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255" tabRatio="449" firstSheet="1"/>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<sst xmlns="http://schemas.openxmlformats.org/spreadsheetml/2006/main" count="38242" uniqueCount="1749">
  <si>
    <t>表征特性</t>
  </si>
  <si>
    <t>土壤信息</t>
  </si>
  <si>
    <t>中试实验</t>
  </si>
  <si>
    <t>钝化实验</t>
  </si>
  <si>
    <t>动力学实验</t>
  </si>
  <si>
    <t>热力学实验</t>
  </si>
  <si>
    <t>数据可信度</t>
  </si>
  <si>
    <t>Cd</t>
  </si>
  <si>
    <t>Cr</t>
  </si>
  <si>
    <r>
      <rPr>
        <b/>
        <sz val="12"/>
        <color theme="1"/>
        <rFont val="宋体"/>
        <charset val="134"/>
        <scheme val="minor"/>
      </rPr>
      <t>As（</t>
    </r>
    <r>
      <rPr>
        <b/>
        <sz val="12"/>
        <color theme="1"/>
        <rFont val="宋体"/>
        <charset val="134"/>
      </rPr>
      <t>Ⅲ</t>
    </r>
    <r>
      <rPr>
        <b/>
        <sz val="12"/>
        <color theme="1"/>
        <rFont val="宋体"/>
        <charset val="134"/>
        <scheme val="minor"/>
      </rPr>
      <t>）</t>
    </r>
  </si>
  <si>
    <t>As（V）</t>
  </si>
  <si>
    <t>Pb</t>
  </si>
  <si>
    <t>Cu</t>
  </si>
  <si>
    <t>Fe</t>
  </si>
  <si>
    <t>Zn</t>
  </si>
  <si>
    <t>Mn</t>
  </si>
  <si>
    <t>Ni</t>
  </si>
  <si>
    <t>形态分析</t>
  </si>
  <si>
    <t>钝化原理</t>
  </si>
  <si>
    <t>序号</t>
  </si>
  <si>
    <t>第一作者</t>
  </si>
  <si>
    <t>材料名称</t>
  </si>
  <si>
    <t>合成方法（共沉淀法、水热法、微波法、离子交换法、煅烧重构法和机械化学法）</t>
  </si>
  <si>
    <t>合成步骤</t>
  </si>
  <si>
    <t>是否插层改性</t>
  </si>
  <si>
    <t>插层离子</t>
  </si>
  <si>
    <t>是否复合组装</t>
  </si>
  <si>
    <t>复合材料种类</t>
  </si>
  <si>
    <t>复合材料负载量%</t>
  </si>
  <si>
    <t>是否煅烧</t>
  </si>
  <si>
    <t>一次煅烧温度℃</t>
  </si>
  <si>
    <t>二次煅烧温度℃</t>
  </si>
  <si>
    <t>二价阳离子种类</t>
  </si>
  <si>
    <t>三价阳离子种类</t>
  </si>
  <si>
    <t>二价阳离子与三价阳离子的原子数比例</t>
  </si>
  <si>
    <t>层间阴离子种类</t>
  </si>
  <si>
    <t>N2吸附-脱附等温线</t>
  </si>
  <si>
    <t>hysteresis loops</t>
  </si>
  <si>
    <t>BET比表面积m2/g</t>
  </si>
  <si>
    <t>孔隙体积cm3/g</t>
  </si>
  <si>
    <t>平均孔径nm</t>
  </si>
  <si>
    <t>层间距d（002）nm</t>
  </si>
  <si>
    <t>层间距d（003）nm</t>
  </si>
  <si>
    <t>层间距d（006）nm</t>
  </si>
  <si>
    <t>晶格间距nm</t>
  </si>
  <si>
    <t>LDH组成元素及占比</t>
  </si>
  <si>
    <t>SEM形态</t>
  </si>
  <si>
    <t>XRD衍射峰°</t>
  </si>
  <si>
    <t>XRD衍射晶面</t>
  </si>
  <si>
    <t>FTIR峰值/cm</t>
  </si>
  <si>
    <t>FTIR官能团</t>
  </si>
  <si>
    <t>国家</t>
  </si>
  <si>
    <t>省</t>
  </si>
  <si>
    <t>市区</t>
  </si>
  <si>
    <t>经度</t>
  </si>
  <si>
    <t>纬度</t>
  </si>
  <si>
    <t>取样对象</t>
  </si>
  <si>
    <t>pH</t>
  </si>
  <si>
    <t>CEC(cmol/kg)</t>
  </si>
  <si>
    <t>有机质g/kg</t>
  </si>
  <si>
    <t>EC(µs/cm)</t>
  </si>
  <si>
    <t>HMs-1</t>
  </si>
  <si>
    <t>HMs-1含量mg/kg</t>
  </si>
  <si>
    <t>HMs-2</t>
  </si>
  <si>
    <t>HMs-2含量mg/kg</t>
  </si>
  <si>
    <t>HMs-3</t>
  </si>
  <si>
    <t>HMs-3含量mg/kg</t>
  </si>
  <si>
    <t>HMs-4</t>
  </si>
  <si>
    <t>HMs-4含量mg/kg</t>
  </si>
  <si>
    <t>HMs-5</t>
  </si>
  <si>
    <t>HMs-5含量mg/kg</t>
  </si>
  <si>
    <t>HMs-6</t>
  </si>
  <si>
    <t>HMs-6含量mg/kg</t>
  </si>
  <si>
    <t>土地类型</t>
  </si>
  <si>
    <t>污染化制备处理</t>
  </si>
  <si>
    <t>HMs提取方法</t>
  </si>
  <si>
    <t>是否为中试实验</t>
  </si>
  <si>
    <t>中试地点</t>
  </si>
  <si>
    <t>场地大小</t>
  </si>
  <si>
    <t>实验对象</t>
  </si>
  <si>
    <t>实验操作</t>
  </si>
  <si>
    <t>溶液体积ml</t>
  </si>
  <si>
    <t>土壤质量g</t>
  </si>
  <si>
    <t>材料添加量g</t>
  </si>
  <si>
    <t>材料浓度g/L</t>
  </si>
  <si>
    <t>材料浓度g/g</t>
  </si>
  <si>
    <t>材料浓度wt%（与土壤）</t>
  </si>
  <si>
    <t>材料浓度kg/ha</t>
  </si>
  <si>
    <t>离子强度mol</t>
  </si>
  <si>
    <t>初始pH</t>
  </si>
  <si>
    <t>控制恒定pH</t>
  </si>
  <si>
    <t>转速rpm</t>
  </si>
  <si>
    <t>反应时间min</t>
  </si>
  <si>
    <t>实验温度℃</t>
  </si>
  <si>
    <t>土壤湿度%</t>
  </si>
  <si>
    <t>光照时间h/天</t>
  </si>
  <si>
    <t>HMs种类/种</t>
  </si>
  <si>
    <t>HMs-1初始浓度mg/L</t>
  </si>
  <si>
    <t>HMs-1初始浓度mg/kg</t>
  </si>
  <si>
    <t>HMs-2初始浓度mg/L</t>
  </si>
  <si>
    <t>HMs-2初始浓度mg/kg</t>
  </si>
  <si>
    <t>HMs-3初始浓度mg/L</t>
  </si>
  <si>
    <t>HMs-3初始浓度mg/kg</t>
  </si>
  <si>
    <t>HMs-4初始浓度mg/L</t>
  </si>
  <si>
    <t>HMs-4初始浓度mg/kg</t>
  </si>
  <si>
    <t>HMs-5初始浓度mg/L</t>
  </si>
  <si>
    <t>HMs-6初始浓度mg/L</t>
  </si>
  <si>
    <t>竞争离子</t>
  </si>
  <si>
    <t>竞争离子浓度mg/L</t>
  </si>
  <si>
    <t>竞争离子浓度mg/kg</t>
  </si>
  <si>
    <t>竞争离子浓度mmol/kg</t>
  </si>
  <si>
    <t>吸附平衡时间min</t>
  </si>
  <si>
    <t>平衡pH</t>
  </si>
  <si>
    <t>动力学模型</t>
  </si>
  <si>
    <t>动力学模型假设说明</t>
  </si>
  <si>
    <t>是否满足分子内扩散模型</t>
  </si>
  <si>
    <t>扩散阶段</t>
  </si>
  <si>
    <t>吸附等温线模型</t>
  </si>
  <si>
    <t>吸附等温线模型假设说明</t>
  </si>
  <si>
    <t>HMs-1实际最大吸附量mg/g</t>
  </si>
  <si>
    <t>HMs-1理论最大吸附量mg/g</t>
  </si>
  <si>
    <t>HMs-2实际最大吸附量mg/g</t>
  </si>
  <si>
    <t>HMs-2理论最大吸附量mg/g</t>
  </si>
  <si>
    <t>HMs-3理论最大吸附量mg/g</t>
  </si>
  <si>
    <t>HMs-4理论最大吸附量mg/g</t>
  </si>
  <si>
    <t>∆H0/kJ mol-1</t>
  </si>
  <si>
    <t>∆S0/kJ mol-1</t>
  </si>
  <si>
    <t>∆G0/kJ mol-1</t>
  </si>
  <si>
    <t>土壤pH</t>
  </si>
  <si>
    <t>n</t>
  </si>
  <si>
    <t>初始浓度</t>
  </si>
  <si>
    <t>cd_ck残余量mg/L</t>
  </si>
  <si>
    <t>cd_ck残余量-sd</t>
  </si>
  <si>
    <t>cd_t残余量mg/L</t>
  </si>
  <si>
    <t>cd_t残余量-sd</t>
  </si>
  <si>
    <t>cd_ck吸附量mg/g</t>
  </si>
  <si>
    <t>cd_ck吸附量-sd</t>
  </si>
  <si>
    <t>cd_t吸附量mg/g</t>
  </si>
  <si>
    <t>cd_t吸附量-sd</t>
  </si>
  <si>
    <t>cd_ck去除率%</t>
  </si>
  <si>
    <t>cd_ck去除率-sd</t>
  </si>
  <si>
    <t>cd_t去除率%</t>
  </si>
  <si>
    <t>cd_t去除率-sd</t>
  </si>
  <si>
    <t>计算用</t>
  </si>
  <si>
    <t>Cd去除率_汇总%</t>
  </si>
  <si>
    <t>cr_ck残余量mg/L</t>
  </si>
  <si>
    <t>cr_ck残余量-sd</t>
  </si>
  <si>
    <t>cr_t残余量mg/L</t>
  </si>
  <si>
    <t>cr_t残余量-sd</t>
  </si>
  <si>
    <t>cr_ck吸附量mg/g</t>
  </si>
  <si>
    <t>cr_ck吸附量-sd</t>
  </si>
  <si>
    <t>cr_t吸附量mg/g</t>
  </si>
  <si>
    <t>cr_t吸附量-sd</t>
  </si>
  <si>
    <t>cr_ck去除率%</t>
  </si>
  <si>
    <t>cr_ck去除率-sd</t>
  </si>
  <si>
    <t>cr_t去除率%</t>
  </si>
  <si>
    <t>cr_t去除率-sd</t>
  </si>
  <si>
    <t>as_ck残余量mg/L</t>
  </si>
  <si>
    <t>as_ck残余量-sd</t>
  </si>
  <si>
    <t>as(Ⅲ)_t残余量mg/L</t>
  </si>
  <si>
    <t>as(Ⅲ)_t残余量-sd</t>
  </si>
  <si>
    <t>as_ck吸附量mg/g</t>
  </si>
  <si>
    <t>as_ck吸附量-sd</t>
  </si>
  <si>
    <t>as(Ⅲ)_t吸附量mg/g</t>
  </si>
  <si>
    <t>as(Ⅲ)_t吸附量-sd</t>
  </si>
  <si>
    <t>as_ck去除率%</t>
  </si>
  <si>
    <t>as_ck去除率-sd</t>
  </si>
  <si>
    <t>as(Ⅲ)_t去除率%</t>
  </si>
  <si>
    <t>as(Ⅲ)_t去除率-sd</t>
  </si>
  <si>
    <t>As-3去除率%_汇总</t>
  </si>
  <si>
    <t>as(V)_ck残余量mg/L</t>
  </si>
  <si>
    <t>as(V)_ck残余量-sd</t>
  </si>
  <si>
    <t>as(V)_t残余量mg/L</t>
  </si>
  <si>
    <t>as(V)_t残余量-sd</t>
  </si>
  <si>
    <t>as(V)_ck吸附量mg/g</t>
  </si>
  <si>
    <t>as(V)_ck吸附量-sd</t>
  </si>
  <si>
    <t>as(V)_t吸附量mg/g</t>
  </si>
  <si>
    <t>as(V)_t吸附量-sd</t>
  </si>
  <si>
    <t>as(V)_ck去除率%</t>
  </si>
  <si>
    <t>as(V)_ck去除率-sd</t>
  </si>
  <si>
    <t>as(V)_t去除率%</t>
  </si>
  <si>
    <t>as(V)_t去除率-sd</t>
  </si>
  <si>
    <t>As_5去除率%_汇总</t>
  </si>
  <si>
    <t>pb_ck残余量mg/L</t>
  </si>
  <si>
    <t>pb_ck残余量-sd</t>
  </si>
  <si>
    <t>pb_t残余量mg/L</t>
  </si>
  <si>
    <t>pb_t残余量-sd</t>
  </si>
  <si>
    <t>pb_ck吸附量mg/g</t>
  </si>
  <si>
    <t>pb_ck吸附量-sd</t>
  </si>
  <si>
    <t>pb_t吸附量mg/g</t>
  </si>
  <si>
    <t>pb_t吸附量-sd</t>
  </si>
  <si>
    <t>pb_ck去除率%</t>
  </si>
  <si>
    <t>pb_ck去除率-sd</t>
  </si>
  <si>
    <t>pb_t去除率%</t>
  </si>
  <si>
    <t>pb_t去除率-sd</t>
  </si>
  <si>
    <t>Pb去除率%_汇总</t>
  </si>
  <si>
    <t>cu_ck残余量mg/L</t>
  </si>
  <si>
    <t>cu_ck残余量-sd</t>
  </si>
  <si>
    <t>cu_t残余量mg/L</t>
  </si>
  <si>
    <t>cu_t残余量-sd</t>
  </si>
  <si>
    <t>cu_ck吸附量mg/g</t>
  </si>
  <si>
    <t>cu_ck吸附量-sd</t>
  </si>
  <si>
    <t>cu_t吸附量mg/g</t>
  </si>
  <si>
    <t>cu_t吸附量-sd</t>
  </si>
  <si>
    <t>cu_ck去除率%</t>
  </si>
  <si>
    <t>cu_ck去除率-sd</t>
  </si>
  <si>
    <t>cu_t去除率%</t>
  </si>
  <si>
    <t>cu_t去除率-sd</t>
  </si>
  <si>
    <t>Cu_去除率%_汇总</t>
  </si>
  <si>
    <t>fe_ck残余量mg/L</t>
  </si>
  <si>
    <t>fe_ck残余量-sd</t>
  </si>
  <si>
    <t>fe_t残余量mg/L</t>
  </si>
  <si>
    <t>fe_t残余量-sd</t>
  </si>
  <si>
    <t>fe_ck吸附量mg/g</t>
  </si>
  <si>
    <t>fe_ck吸附量-sd</t>
  </si>
  <si>
    <t>fe_t吸附量mg/g</t>
  </si>
  <si>
    <t>fe_t吸附量-sd</t>
  </si>
  <si>
    <t>fe_ck去除率%</t>
  </si>
  <si>
    <t>fe_ck去除率-sd</t>
  </si>
  <si>
    <t>fe_t去除率%</t>
  </si>
  <si>
    <t>fe_t去除率-sd</t>
  </si>
  <si>
    <t>计算使用</t>
  </si>
  <si>
    <t>Fe_去除率%_汇总</t>
  </si>
  <si>
    <t>zn_ck残余量mg/L</t>
  </si>
  <si>
    <t>zn_ck残余量-sd</t>
  </si>
  <si>
    <t>zn_t残余量mg/L</t>
  </si>
  <si>
    <t>zn_t残余量-sd</t>
  </si>
  <si>
    <t>zn_ck吸附量mg/g</t>
  </si>
  <si>
    <t>zn_ck吸附量-sd</t>
  </si>
  <si>
    <t>zn_t吸附量mg/g</t>
  </si>
  <si>
    <t>zn_t吸附量-sd</t>
  </si>
  <si>
    <t>zn_ck去除率%</t>
  </si>
  <si>
    <t>zn_ck去除率-sd</t>
  </si>
  <si>
    <t>zn_t去除率%</t>
  </si>
  <si>
    <t>zn_t去除率-sd</t>
  </si>
  <si>
    <t>Zn_去除率%_汇总</t>
  </si>
  <si>
    <t>mn_ck残余量mg/L</t>
  </si>
  <si>
    <t>mn_ck残余量-sd</t>
  </si>
  <si>
    <t>mn_t残余量mg/L</t>
  </si>
  <si>
    <t>mn_t残余量-sd</t>
  </si>
  <si>
    <t>mn_ck吸附量mg/g</t>
  </si>
  <si>
    <t>mn_ck吸附量-sd</t>
  </si>
  <si>
    <t>mn_t吸附量mg/g</t>
  </si>
  <si>
    <t>mn_t吸附量-sd</t>
  </si>
  <si>
    <t>mn_ck去除率%</t>
  </si>
  <si>
    <t>mn_ck去除率-sd</t>
  </si>
  <si>
    <t>mn_t去除率%</t>
  </si>
  <si>
    <t>mn_t去除率-sd</t>
  </si>
  <si>
    <t>ni_ck残余量mg/L</t>
  </si>
  <si>
    <t>ni_ck残余量-sd</t>
  </si>
  <si>
    <t>ni_t残余量mg/L</t>
  </si>
  <si>
    <t>ni_t残余量-sd</t>
  </si>
  <si>
    <t>ni_ck吸附量mg/g</t>
  </si>
  <si>
    <t>ni_ck吸附量-sd</t>
  </si>
  <si>
    <t>ni_t吸附量mg/g</t>
  </si>
  <si>
    <t>ni_t吸附量-sd</t>
  </si>
  <si>
    <t>ni_ck去除率%</t>
  </si>
  <si>
    <t>ni_ck去除率-sd</t>
  </si>
  <si>
    <t>ni_t去除率%</t>
  </si>
  <si>
    <t>ni_t去除率-sd</t>
  </si>
  <si>
    <t>Ni_去除率%_汇总</t>
  </si>
  <si>
    <t>提取方法</t>
  </si>
  <si>
    <t>提取对象</t>
  </si>
  <si>
    <t>HMs-1酸可提取态%</t>
  </si>
  <si>
    <t>sd</t>
  </si>
  <si>
    <t>HMs-1可还原态%</t>
  </si>
  <si>
    <t>HMs-1可氧化态%</t>
  </si>
  <si>
    <t>HMs-1残渣态%</t>
  </si>
  <si>
    <t>HMs-2酸可提取态%</t>
  </si>
  <si>
    <t>HMs-2可还原态%</t>
  </si>
  <si>
    <t>HMs-2可氧化态%</t>
  </si>
  <si>
    <t>HMs-2残渣态%</t>
  </si>
  <si>
    <t>HMs-3酸可提取态%</t>
  </si>
  <si>
    <t>HMs-3可还原态%</t>
  </si>
  <si>
    <t>HMs-3可氧化态%</t>
  </si>
  <si>
    <t>HMs-3残渣态%</t>
  </si>
  <si>
    <t>HMs-4酸可提取态%</t>
  </si>
  <si>
    <t>HMs-4可还原态%</t>
  </si>
  <si>
    <t>HMs-4可氧化态%</t>
  </si>
  <si>
    <t>HMs-4残渣态%</t>
  </si>
  <si>
    <t>HMs-1酸可提取态mg/kg</t>
  </si>
  <si>
    <t>HMs-1可还原态mg/kg</t>
  </si>
  <si>
    <t>HMs-1可氧化态mg/kg</t>
  </si>
  <si>
    <t>HMs-1残渣态mg/kg</t>
  </si>
  <si>
    <t>HMs-2酸可提取态mg/kg</t>
  </si>
  <si>
    <t>HMs-2可还原态mg/kg</t>
  </si>
  <si>
    <t>HMs-2可氧化态mg/kg</t>
  </si>
  <si>
    <t>HMs-2残渣态mg/kg</t>
  </si>
  <si>
    <t>HMs-3酸可提取态mg/kg</t>
  </si>
  <si>
    <t>HMs-3可还原态mg/kg</t>
  </si>
  <si>
    <t>HMs-3可氧化态mg/kg</t>
  </si>
  <si>
    <t>HMs-3残渣态mg/kg</t>
  </si>
  <si>
    <t>HMs-4酸可提取态mg/kg</t>
  </si>
  <si>
    <t>HMs-4可还原态mg/kg</t>
  </si>
  <si>
    <t>HMs-4可氧化态mg/kg</t>
  </si>
  <si>
    <t>HMs-4残渣态mg/kg</t>
  </si>
  <si>
    <t>钝化HMs种类</t>
  </si>
  <si>
    <t>微生物数据</t>
  </si>
  <si>
    <t>Liqin He,Yurong Wang，2024</t>
  </si>
  <si>
    <t>CFA：CaFeAl-LDH</t>
  </si>
  <si>
    <t>共沉淀法</t>
  </si>
  <si>
    <t>A：0.50 mol/L Ca(NO3)2，0.25 mol/L Fe(NO3)3,0.25 mol/L Al(NO3)3组成；B：1.7 mol/L NaOH；插层溶液C：0.25 mol/L MSA。依次加入100 ml溶液A和100 ml溶液B。</t>
  </si>
  <si>
    <r>
      <rPr>
        <sz val="11"/>
        <color theme="1"/>
        <rFont val="宋体"/>
        <charset val="134"/>
        <scheme val="minor"/>
      </rPr>
      <t>Ca</t>
    </r>
    <r>
      <rPr>
        <vertAlign val="superscript"/>
        <sz val="11"/>
        <color theme="1"/>
        <rFont val="宋体"/>
        <charset val="134"/>
        <scheme val="minor"/>
      </rPr>
      <t>2+</t>
    </r>
  </si>
  <si>
    <r>
      <rPr>
        <sz val="11"/>
        <color theme="1"/>
        <rFont val="宋体"/>
        <charset val="134"/>
        <scheme val="minor"/>
      </rPr>
      <t>Fe</t>
    </r>
    <r>
      <rPr>
        <vertAlign val="superscript"/>
        <sz val="11"/>
        <color theme="1"/>
        <rFont val="宋体"/>
        <charset val="134"/>
        <scheme val="minor"/>
      </rPr>
      <t>3+</t>
    </r>
  </si>
  <si>
    <t>H3</t>
  </si>
  <si>
    <t>10.54、21.39、30.40</t>
  </si>
  <si>
    <t>（003）、（006）、（012）</t>
  </si>
  <si>
    <t xml:space="preserve">3448 
792 
664 
559、452 
2990 
1590 </t>
  </si>
  <si>
    <t>-OH
Al-OH
M-OH
M-O, M-O-M or O-M-O
巯基( -SH )
羧基( -COOH )不对称收缩</t>
  </si>
  <si>
    <t>溶液</t>
  </si>
  <si>
    <t>5~140</t>
  </si>
  <si>
    <t>室温</t>
  </si>
  <si>
    <t>Langmuir isotherm</t>
  </si>
  <si>
    <t>单层吸附</t>
  </si>
  <si>
    <t>伪二级动力学模型</t>
  </si>
  <si>
    <t>化学吸附</t>
  </si>
  <si>
    <t>中国</t>
  </si>
  <si>
    <t>江西省</t>
  </si>
  <si>
    <t>贵溪市</t>
  </si>
  <si>
    <t>总Cd</t>
  </si>
  <si>
    <t>土壤水提取液</t>
  </si>
  <si>
    <t>土壤</t>
  </si>
  <si>
    <t>14d</t>
  </si>
  <si>
    <t>25±2</t>
  </si>
  <si>
    <r>
      <rPr>
        <sz val="11"/>
        <color theme="1"/>
        <rFont val="宋体"/>
        <charset val="134"/>
        <scheme val="minor"/>
      </rPr>
      <t>CaCl</t>
    </r>
    <r>
      <rPr>
        <vertAlign val="subscript"/>
        <sz val="11"/>
        <color theme="1"/>
        <rFont val="宋体"/>
        <charset val="134"/>
        <scheme val="minor"/>
      </rPr>
      <t>2</t>
    </r>
  </si>
  <si>
    <t>MSA-CFA</t>
  </si>
  <si>
    <t>共沉淀插入巯基丁二酸( MSA )</t>
  </si>
  <si>
    <t>A：0.50 mol/L Ca(NO3)2，0.25 mol/L Fe(NO3)3,0.25 mol/L Al(NO3)3组成；B：1.7 mol/L NaOH；插层溶液C：0.25 mol/L MSA。向100 ml溶液C中依次加入100 ml溶液A和100 ml溶液B。反应体系在300 rpm下磁力搅拌12 h，条件如下：通过氮气注入实现无氧环境，pH为10.5 ± 0.5，水浴温度为65℃。随后进行固液分离，固体的洗涤，沉淀的干燥和研磨。</t>
  </si>
  <si>
    <t>是</t>
  </si>
  <si>
    <t>巯基丁二酸</t>
  </si>
  <si>
    <t>0.809（015）</t>
  </si>
  <si>
    <t>S：3.6%</t>
  </si>
  <si>
    <t>松散的片层结构</t>
  </si>
  <si>
    <t>单层吸附，典型的均相材料</t>
  </si>
  <si>
    <t>同晶取代和巯基络合</t>
  </si>
  <si>
    <t>同晶替代</t>
  </si>
  <si>
    <t>同晶替代、溶液再沉淀</t>
  </si>
  <si>
    <t>1.983±0.067</t>
  </si>
  <si>
    <t>0.324±0.008</t>
  </si>
  <si>
    <t>0.161±0.002</t>
  </si>
  <si>
    <t>Peng Yu，2025</t>
  </si>
  <si>
    <t>CaAl-LDH</t>
  </si>
  <si>
    <t>采购</t>
  </si>
  <si>
    <t>Al3+</t>
  </si>
  <si>
    <t>11.353
22.657
23.590
31.327
39.009
42.741</t>
  </si>
  <si>
    <t>典型水铝钙石Ca4Al2O6Cl2 · H2O:(002)
(004)
(112)
(0~20)
(-316)
(-208)</t>
  </si>
  <si>
    <t>湖南省</t>
  </si>
  <si>
    <t>株洲市醴陵市茶山镇李家坟组</t>
  </si>
  <si>
    <t xml:space="preserve">113.339E </t>
  </si>
  <si>
    <t>27.618N</t>
  </si>
  <si>
    <t>有效态-DTPA溶液浸提</t>
  </si>
  <si>
    <t>中试场地</t>
  </si>
  <si>
    <t>100d</t>
  </si>
  <si>
    <t>0.199（有效态）</t>
  </si>
  <si>
    <t>18.86（有效态）</t>
  </si>
  <si>
    <t>BCR连续提取法</t>
  </si>
  <si>
    <t>田间试验</t>
  </si>
  <si>
    <t>络合作用</t>
  </si>
  <si>
    <t>MgAl-LDH</t>
  </si>
  <si>
    <t xml:space="preserve"> </t>
  </si>
  <si>
    <t>11.792
23.535
35.004
39.558
47.186</t>
  </si>
  <si>
    <t>典型水铝钙石Mg6Al2(CO3)(OH)16·4H2O:(003)
(006)
(012)
(0~15)
(0~18)</t>
  </si>
  <si>
    <t>Menglan Zhao，2025</t>
  </si>
  <si>
    <t>WM-LDHs-1</t>
  </si>
  <si>
    <t>干湿球磨法</t>
  </si>
  <si>
    <t>将2.496 g Al ( OH ) 3和5.304 g WM-Mg ( OH ) 2混合放入球磨罐中，球料比为1∶50。将混合物在无水条件下球磨1h，然后向体系中加入3 m L水，继续湿磨2 h。</t>
  </si>
  <si>
    <r>
      <rPr>
        <sz val="11"/>
        <color theme="1"/>
        <rFont val="宋体"/>
        <charset val="134"/>
        <scheme val="minor"/>
      </rPr>
      <t>Mg</t>
    </r>
    <r>
      <rPr>
        <vertAlign val="superscript"/>
        <sz val="11"/>
        <color theme="1"/>
        <rFont val="宋体"/>
        <charset val="134"/>
        <scheme val="minor"/>
      </rPr>
      <t>2+</t>
    </r>
  </si>
  <si>
    <r>
      <rPr>
        <sz val="11"/>
        <color theme="1"/>
        <rFont val="宋体"/>
        <charset val="134"/>
        <scheme val="minor"/>
      </rPr>
      <t>Al</t>
    </r>
    <r>
      <rPr>
        <vertAlign val="superscript"/>
        <sz val="11"/>
        <color theme="1"/>
        <rFont val="宋体"/>
        <charset val="134"/>
        <scheme val="minor"/>
      </rPr>
      <t>3+</t>
    </r>
  </si>
  <si>
    <r>
      <rPr>
        <sz val="11"/>
        <color theme="1"/>
        <rFont val="宋体"/>
        <charset val="134"/>
        <scheme val="minor"/>
      </rPr>
      <t>OH</t>
    </r>
    <r>
      <rPr>
        <vertAlign val="superscript"/>
        <sz val="11"/>
        <color theme="1"/>
        <rFont val="宋体"/>
        <charset val="134"/>
        <scheme val="minor"/>
      </rPr>
      <t>-</t>
    </r>
  </si>
  <si>
    <t>11.59
23.41
34.57
38.75 
44.67 
60.92
62.23</t>
  </si>
  <si>
    <t>LDHs的( 003 )
( 006 )
( 009 )
( 015 )
( 018 )
( 110 )
( 113 )</t>
  </si>
  <si>
    <t>山东省</t>
  </si>
  <si>
    <t>Cr(Ⅵ)</t>
  </si>
  <si>
    <t>As(Ⅴ)</t>
  </si>
  <si>
    <t>Pb(Ⅱ)</t>
  </si>
  <si>
    <t>Cu(Ⅱ)</t>
  </si>
  <si>
    <t>5~360</t>
  </si>
  <si>
    <t>Generalized-Langmuir</t>
  </si>
  <si>
    <t>单分子层、非均相吸附</t>
  </si>
  <si>
    <t>WM-LDHs-3</t>
  </si>
  <si>
    <t>将2.496 g Al ( OH ) 3和5.304 g WM-Mg ( OH ) 2混合放入球磨罐中，球料比为1∶50。将混合物在无水条件下球磨3h，然后向体系中加入3 m L水，继续湿磨2 h。</t>
  </si>
  <si>
    <t>离子交换、沉淀、氧化还原、表面络合、静电作用吸附</t>
  </si>
  <si>
    <t>100~600</t>
  </si>
  <si>
    <t>柱浸实验</t>
  </si>
  <si>
    <t>WM-LDHs-5</t>
  </si>
  <si>
    <t>将2.496 g Al ( OH ) 3和5.304 g WM-Mg ( OH ) 2混合放入球磨罐中，球料比为1∶50。将混合物在无水条件下球磨5h，然后向体系中加入3 m L水，继续湿磨2 h。</t>
  </si>
  <si>
    <t>Donghua Zhang，2024</t>
  </si>
  <si>
    <t>LDH-D-未煅烧/MgAl-LDH</t>
  </si>
  <si>
    <t>煅烧法</t>
  </si>
  <si>
    <t>1次</t>
  </si>
  <si>
    <r>
      <rPr>
        <sz val="11"/>
        <color theme="1"/>
        <rFont val="宋体"/>
        <charset val="134"/>
        <scheme val="minor"/>
      </rPr>
      <t>CO</t>
    </r>
    <r>
      <rPr>
        <vertAlign val="subscript"/>
        <sz val="11"/>
        <color theme="1"/>
        <rFont val="宋体"/>
        <charset val="134"/>
        <scheme val="minor"/>
      </rPr>
      <t>3</t>
    </r>
    <r>
      <rPr>
        <vertAlign val="superscript"/>
        <sz val="11"/>
        <color theme="1"/>
        <rFont val="宋体"/>
        <charset val="134"/>
        <scheme val="minor"/>
      </rPr>
      <t>2-</t>
    </r>
  </si>
  <si>
    <t>方形和片状结构</t>
  </si>
  <si>
    <t>11.45
23.29
35.51
29.87、40.02和49.31</t>
  </si>
  <si>
    <t>LDHs的( 003 )
( 006 )
( 009 )
CaCO3（77.6 %）</t>
  </si>
  <si>
    <t>广东省</t>
  </si>
  <si>
    <t>红壤</t>
  </si>
  <si>
    <t>将不同浓度的K2Cr2O7溶液（200、400、600、800和1000mg/L）与土壤样品混合，保持1g:1mL的固液比，然后搅拌混合物直至空气干燥</t>
  </si>
  <si>
    <t>水</t>
  </si>
  <si>
    <t>30±2</t>
  </si>
  <si>
    <t>LDH-D-300</t>
  </si>
  <si>
    <t>煅烧重构法</t>
  </si>
  <si>
    <t>2次</t>
  </si>
  <si>
    <t>六边形片层被彻底破坏,高温分解形成的粗糙表面布满小颗粒</t>
  </si>
  <si>
    <t>LDHs的( 003 )
和( 006 )峰变宽
( 009 )</t>
  </si>
  <si>
    <t>LDH-D-500</t>
  </si>
  <si>
    <t>43.42
29.87</t>
  </si>
  <si>
    <t>Mg(Al)O
CaCO3</t>
  </si>
  <si>
    <t>清洁土壤</t>
  </si>
  <si>
    <t>7d</t>
  </si>
  <si>
    <t>LDH-D-900</t>
  </si>
  <si>
    <t>Mg(Al)O更加锋锐</t>
  </si>
  <si>
    <t>Xuanru Li，2024</t>
  </si>
  <si>
    <t>CaMg/Al-LDH（LDHa）</t>
  </si>
  <si>
    <t>酸浸法和共沉淀法</t>
  </si>
  <si>
    <t>将10 gGGBS溶于200 mL的3 M HCl水溶液中。使用磁力热板将分散液在600 rpm、80℃下混合4 h。随后，将混合物进行真空抽滤。向收集的滤液中滴加4 M Na OH溶液，剧烈搅拌至分散液p H稳定在11.5左右。将所得浆料覆盖，在80℃下陈化24 h，以利于结晶。然后，收集浆料，用去离子水洗涤，并在大约100℃下干燥过夜</t>
  </si>
  <si>
    <r>
      <rPr>
        <sz val="11"/>
        <color theme="1"/>
        <rFont val="宋体"/>
        <charset val="134"/>
        <scheme val="minor"/>
      </rPr>
      <t>Ca</t>
    </r>
    <r>
      <rPr>
        <vertAlign val="superscript"/>
        <sz val="11"/>
        <color theme="1"/>
        <rFont val="宋体"/>
        <charset val="134"/>
        <scheme val="minor"/>
      </rPr>
      <t>2+</t>
    </r>
    <r>
      <rPr>
        <sz val="11"/>
        <color theme="1"/>
        <rFont val="宋体"/>
        <charset val="134"/>
        <scheme val="minor"/>
      </rPr>
      <t>、Mg</t>
    </r>
    <r>
      <rPr>
        <vertAlign val="superscript"/>
        <sz val="11"/>
        <color theme="1"/>
        <rFont val="宋体"/>
        <charset val="134"/>
        <scheme val="minor"/>
      </rPr>
      <t>2+</t>
    </r>
  </si>
  <si>
    <t>堆叠的板状结构、典型六边形和板状特征</t>
  </si>
  <si>
    <t>(003), (006),(009),(010)，(110)</t>
  </si>
  <si>
    <t>3480
1630
1440和874
793和422
540、581 和1040</t>
  </si>
  <si>
    <t>层间水分子羟基的氢键伸缩振动
层间水分子的O - H弯曲振动
层间碳酸根离子的ν3和ν2振动
M - O ( M = Ca , Mg或Al)的晶格振动
M - OH的弯曲振动</t>
  </si>
  <si>
    <t>Cr (Ⅵ)</t>
  </si>
  <si>
    <t>表面吸附和静电引力</t>
  </si>
  <si>
    <t>Cd（+2）</t>
  </si>
  <si>
    <t>引起的土壤p H升高，产生沉淀</t>
  </si>
  <si>
    <t>As</t>
  </si>
  <si>
    <t>静电吸附、表面络合或沉淀</t>
  </si>
  <si>
    <t>0~72h</t>
  </si>
  <si>
    <t>0~300</t>
  </si>
  <si>
    <t>材料的均相表面位点发生了单分子层覆盖</t>
  </si>
  <si>
    <t>As(V)</t>
  </si>
  <si>
    <t>Freundlich</t>
  </si>
  <si>
    <t>更复杂的非均相表面吸附过程</t>
  </si>
  <si>
    <t>西南地区</t>
  </si>
  <si>
    <t>某农田土壤</t>
  </si>
  <si>
    <t>水提取态Cd</t>
  </si>
  <si>
    <t>TCLP-Cd</t>
  </si>
  <si>
    <t>DPTA-Cd</t>
  </si>
  <si>
    <t>水提取态As</t>
  </si>
  <si>
    <t>TCLP-As</t>
  </si>
  <si>
    <t>DPTA-As</t>
  </si>
  <si>
    <t>水淋溶；TCLP淋溶；DPTA提取</t>
  </si>
  <si>
    <t>1.69（有效态dtpa）</t>
  </si>
  <si>
    <t>4.27（有效态）</t>
  </si>
  <si>
    <t>某矿石加工地土壤</t>
  </si>
  <si>
    <t>CaMg/Al-LDH（LDHb）</t>
  </si>
  <si>
    <t>将8g GGBS和2g MgO固体原料溶于200 mL的3 M HCl水溶液中。使用磁力热板将分散液在600 rpm、80℃下混合4 h。随后，将混合物进行真空抽滤。向收集的滤液中滴加4 M Na OH溶液，剧烈搅拌至分散液p H稳定在11.5左右。将所得浆料覆盖，在80℃下陈化24 h，以利于结晶。然后，收集浆料，用去离子水洗涤，并在大约100℃下干燥过夜</t>
  </si>
  <si>
    <t>（002）
（003）</t>
  </si>
  <si>
    <t>层间水分子羟基的氢键伸缩振动
层间水分子的O - H弯曲振动
层间碳酸根离子的ν3和ν2振动
M - O ( M = Ca , Mg或Al)的晶格振动
M - OH的弯曲振动
碳酸根离子带比LDHa中的更加明显</t>
  </si>
  <si>
    <t>Xin Liang， 2023
Weiwei Qin, 2024</t>
  </si>
  <si>
    <t>CaFe-LDH @ CSB(生物炭负载)</t>
  </si>
  <si>
    <t>择600℃碳化的玉米秸秆生物炭作为原始生物炭( CSB )，然后将CSB ( 15.00 g )倒入500 mL烧杯中。然后，加入去离子水( 200 mL )并充分搅拌，直到CSB与溶液混合均匀。随后，配置了A液和B液，以便进一步使用。液体A：首先在100 mL烧杯中加入FeCl3┐6H2O ( 13.65 g )和CaCl2 ( 16.65 g )，然后缓慢加入去离子水并搅拌至FeCl3┐6H2O和CaCl2完全溶解。液体B：将NaOH ( 8.00 g )和Na2CO3 ( 5.30 g )加入100 mL烧杯中，缓慢加入去离子水，搅拌至NaOH和Na2CO3完全溶解。然后，将液体A和液体B缓慢加入到装有CSB的500 mL烧杯中，在电动搅拌器上用橡皮条滴管滴加。搅拌过程中，用p H计( PB-10 ,萨特里厄斯,德国)测定溶液的p H值，使p H值维持在11.0。然后将固液混合物在烘箱中80℃下陈化18 h，真空抽滤得到固体材料。得到的固体材料在80℃烘箱中干燥，最终得到的产物为Ca Fe-LDH @ CSB。</t>
  </si>
  <si>
    <t>600℃碳化的玉米秸秆生物炭</t>
  </si>
  <si>
    <t>层状的CaFe-LDH均匀覆盖在CSB表面</t>
  </si>
  <si>
    <t>21.1、26.8和50.3
10.5、22.1、28.1和60.1
23.2、29.5和36.0</t>
  </si>
  <si>
    <t>SiO2
LDH：( 003 )、( 006 )和( 110 )
CaCO3</t>
  </si>
  <si>
    <t>1418 
3406
712和873</t>
  </si>
  <si>
    <t>-COO振动
-OH振动
Me - O的强振动</t>
  </si>
  <si>
    <t xml:space="preserve">Cd (Ⅱ) </t>
  </si>
  <si>
    <t>Cd(Ⅱ)</t>
  </si>
  <si>
    <t>水相：官能团络合单分子层的化学吸热吸附过程，以沉淀、离子交换为主。
土壤：孔隙填充、官能团作用和静电作用。</t>
  </si>
  <si>
    <t>有</t>
  </si>
  <si>
    <t>25~300</t>
  </si>
  <si>
    <t>单分子层吸附</t>
  </si>
  <si>
    <t>Zn (Ⅱ)</t>
  </si>
  <si>
    <t>Cu (Ⅱ)</t>
  </si>
  <si>
    <t>Pb (Ⅱ)</t>
  </si>
  <si>
    <t>600~1800</t>
  </si>
  <si>
    <t>广西</t>
  </si>
  <si>
    <t>柳州市</t>
  </si>
  <si>
    <t>109 51′87″E</t>
  </si>
  <si>
    <t>25 07′52″N</t>
  </si>
  <si>
    <t>矿区上游</t>
  </si>
  <si>
    <t>45d</t>
  </si>
  <si>
    <t>109 52′54″E</t>
  </si>
  <si>
    <t>25 06′34″N</t>
  </si>
  <si>
    <t>矿区下游</t>
  </si>
  <si>
    <t>Yuanzheng Wang，2024</t>
  </si>
  <si>
    <t>CaAl-LDH/BC（生物炭负载）</t>
  </si>
  <si>
    <t>超声辅助的共沉淀法</t>
  </si>
  <si>
    <t>500℃碳化的玉米芯生物炭</t>
  </si>
  <si>
    <r>
      <rPr>
        <sz val="11"/>
        <color theme="1"/>
        <rFont val="宋体"/>
        <charset val="134"/>
        <scheme val="minor"/>
      </rPr>
      <t>NO</t>
    </r>
    <r>
      <rPr>
        <vertAlign val="subscript"/>
        <sz val="11"/>
        <color theme="1"/>
        <rFont val="宋体"/>
        <charset val="134"/>
        <scheme val="minor"/>
      </rPr>
      <t>3</t>
    </r>
    <r>
      <rPr>
        <vertAlign val="superscript"/>
        <sz val="11"/>
        <color theme="1"/>
        <rFont val="宋体"/>
        <charset val="134"/>
        <scheme val="minor"/>
      </rPr>
      <t>-</t>
    </r>
  </si>
  <si>
    <t>26.54
11.78，23.60，29.38</t>
  </si>
  <si>
    <t>SiO2
LDH：(003),(006),009)</t>
  </si>
  <si>
    <t>875.01
525.36 
3422.59</t>
  </si>
  <si>
    <t>Ca-O
Al-O
羟基特征峰（较小）</t>
  </si>
  <si>
    <t>韶关市</t>
  </si>
  <si>
    <t>农田0~20cm表层土</t>
  </si>
  <si>
    <t>80d</t>
  </si>
  <si>
    <t>30d</t>
  </si>
  <si>
    <t>何雅馨, 2023
何雅馨, 2024</t>
  </si>
  <si>
    <t>FeMnNi-LDH</t>
  </si>
  <si>
    <t>老化辅助的共沉淀法</t>
  </si>
  <si>
    <t>11.31°、22.62°、34.40°、 39.22°、45.72°、60.12°和61.32°</t>
  </si>
  <si>
    <t>003)、(006)、(012)、 (015)、(018)、(110)和(113)</t>
  </si>
  <si>
    <t>5.5±0.1</t>
  </si>
  <si>
    <t>0~1440</t>
  </si>
  <si>
    <t>As(Ⅲ)</t>
  </si>
  <si>
    <t>0~2000</t>
  </si>
  <si>
    <t>0.1 gFA@FeMnNi-LDH（富里酸改性)</t>
  </si>
  <si>
    <t>①用玻璃导管向装有去离子水的容量瓶中持续通入氮气30 min,得到无氧水.
②准确称取6.758 g FeCl3·6H 2O(0.025 mol)、 3.146 g MnCl2(0.025 mol)和11.885 g NiCl 2·6H 2O (0.05mol),n(Fe)∶n(Mn)∶n(Ni)=1∶1∶2(量比),溶于50 mL无氧水中,搅拌均匀,配制相同5组此混合金属离子溶液(A1、A2、A3、A4和A5).称取0.4 g NaOH配制100 mL 0.1 mol·L- 1 的NaOH溶液,加入不同质量(0.01、0.05、0.1、0.5和1 g)的 FA粉末,制得富里酸钠溶液(B1、B2、B3、B4和 B5).③向500 mL的三颈烧瓶分别加入已配制的 100 mL不同质量的富里酸钠溶液(B1、B2、B3、B4 和B5),持续通入氮气10 min.将上述5组混合金属离子溶液(A1、A2、A3、A4和A5)以0.5 mL·min- 1的速度分别滴入装有(B1、B2、B3、B4和B5)富里酸钠溶液的三颈烧瓶内,同时使用2 mol·L- 1NaOH 保持混合溶液pH为10,并用机械搅拌器搅拌.滴加完成后,持续通入氮气,机械搅拌24 h.④搅拌完成后用塑料膜封闭三颈烧瓶瓶口,放入水浴锅,60℃恒温水浴加热12 h.反应后的固体产物用无氧水冲洗至上清液中性,离心,冷冻干燥48 h.干燥后的产物用玛瑙研钵磨碎过100目筛,得到最终FA@ FeMnNi-LDH复合材料(C1、C2、C3、C4和C5),并妥善密封保存于干燥箱中备用.⑥根据以上步骤,制备未加FA改性的原始FeMnNi-LDH材料</t>
  </si>
  <si>
    <t>98.60（0.0986g）</t>
  </si>
  <si>
    <r>
      <rPr>
        <sz val="11"/>
        <color theme="1"/>
        <rFont val="宋体"/>
        <charset val="134"/>
        <scheme val="minor"/>
      </rPr>
      <t>Mn</t>
    </r>
    <r>
      <rPr>
        <vertAlign val="superscript"/>
        <sz val="11"/>
        <color theme="1"/>
        <rFont val="宋体"/>
        <charset val="134"/>
        <scheme val="minor"/>
      </rPr>
      <t>2+</t>
    </r>
    <r>
      <rPr>
        <sz val="11"/>
        <color theme="1"/>
        <rFont val="宋体"/>
        <charset val="134"/>
        <scheme val="minor"/>
      </rPr>
      <t>、Ni</t>
    </r>
    <r>
      <rPr>
        <vertAlign val="superscript"/>
        <sz val="11"/>
        <color theme="1"/>
        <rFont val="宋体"/>
        <charset val="134"/>
        <scheme val="minor"/>
      </rPr>
      <t>2+</t>
    </r>
  </si>
  <si>
    <t>Fe3+</t>
  </si>
  <si>
    <t>近似六边形的片层构成,片层紧密堆积,团聚现象明显</t>
  </si>
  <si>
    <t>003)、(006)、(012)、 (015)、(018)、(110)和(113)
FA(131)晶面使复合材料衍射峰变宽，结晶度变小</t>
  </si>
  <si>
    <t>3442.80
1631.48
1468.5
1383.5
1050.5
650.37
500.43</t>
  </si>
  <si>
    <t>O-H
层间H2O弯曲振动峰
芳香环的C=C骨架振动吸收峰
O—C=O和C—OH伸缩振动峰
C—O伯醇
层状双氢氧化物骨架金属M—O的收缩振动峰
层状双氢氧化物骨架金属M—O的收缩振动峰</t>
  </si>
  <si>
    <t xml:space="preserve">As(Ⅲ)
</t>
  </si>
  <si>
    <t>①氧化,②离子交换,③配位络合</t>
  </si>
  <si>
    <t>①同晶取代,②静电结合,③配位络合和表面沉淀</t>
  </si>
  <si>
    <t>As(Ⅲ)
、Cd(Ⅱ)</t>
  </si>
  <si>
    <t>As(Ⅲ)与Cd(Ⅱ)之间存在协同作用.</t>
  </si>
  <si>
    <t>无</t>
  </si>
  <si>
    <r>
      <rPr>
        <sz val="11"/>
        <color theme="1"/>
        <rFont val="宋体"/>
        <charset val="134"/>
        <scheme val="minor"/>
      </rPr>
      <t>PO</t>
    </r>
    <r>
      <rPr>
        <vertAlign val="subscript"/>
        <sz val="11"/>
        <color theme="1"/>
        <rFont val="宋体"/>
        <charset val="134"/>
        <scheme val="minor"/>
      </rPr>
      <t>4</t>
    </r>
    <r>
      <rPr>
        <vertAlign val="superscript"/>
        <sz val="11"/>
        <color theme="1"/>
        <rFont val="宋体"/>
        <charset val="134"/>
        <scheme val="minor"/>
      </rPr>
      <t>3-</t>
    </r>
  </si>
  <si>
    <r>
      <rPr>
        <sz val="11"/>
        <color theme="1"/>
        <rFont val="宋体"/>
        <charset val="134"/>
        <scheme val="minor"/>
      </rPr>
      <t>Pb</t>
    </r>
    <r>
      <rPr>
        <vertAlign val="superscript"/>
        <sz val="11"/>
        <color theme="1"/>
        <rFont val="宋体"/>
        <charset val="134"/>
        <scheme val="minor"/>
      </rPr>
      <t>2+</t>
    </r>
  </si>
  <si>
    <r>
      <rPr>
        <sz val="11"/>
        <color theme="1"/>
        <rFont val="宋体"/>
        <charset val="134"/>
        <scheme val="minor"/>
      </rPr>
      <t>Cu</t>
    </r>
    <r>
      <rPr>
        <vertAlign val="superscript"/>
        <sz val="11"/>
        <color theme="1"/>
        <rFont val="宋体"/>
        <charset val="134"/>
        <scheme val="minor"/>
      </rPr>
      <t>2+</t>
    </r>
  </si>
  <si>
    <r>
      <rPr>
        <sz val="11"/>
        <color theme="1"/>
        <rFont val="宋体"/>
        <charset val="134"/>
        <scheme val="minor"/>
      </rPr>
      <t>K</t>
    </r>
    <r>
      <rPr>
        <vertAlign val="superscript"/>
        <sz val="11"/>
        <color theme="1"/>
        <rFont val="宋体"/>
        <charset val="134"/>
        <scheme val="minor"/>
      </rPr>
      <t>+</t>
    </r>
  </si>
  <si>
    <t>重庆西南大学紫色土基地</t>
  </si>
  <si>
    <t>耕层0~20cm</t>
  </si>
  <si>
    <t>总As</t>
  </si>
  <si>
    <t>通过向原始土壤添加一定浓度的CdCl2和NaAsO2,设置了4个外源As(Ⅲ)和 Cd(Ⅱ)的复合污染水平.控制土壤含水率为田间最大持水率的60%,室温下避光培养60d, 使土壤自然风干,待土壤中As(Ⅲ)和Cd(Ⅱ)形态稳定后,研磨过2mm筛,测定污染物含量.</t>
  </si>
  <si>
    <t>总As、总Cd：浓酸消解；有效As：NaHCO3浸提法；有效Cd：DTPA提取法</t>
  </si>
  <si>
    <t>60d</t>
  </si>
  <si>
    <t>田间最大持水率的60%</t>
  </si>
  <si>
    <t>总As(Ⅲ)</t>
  </si>
  <si>
    <t>有效态As(Ⅲ)</t>
  </si>
  <si>
    <t>有效态Cd</t>
  </si>
  <si>
    <t>Peng Lyu，2024</t>
  </si>
  <si>
    <t>铁（羟基）氧化物预浸渍的竹源BC负载CaMgAl-LDH( FLBC )</t>
  </si>
  <si>
    <t>水热辅助的共沉淀法</t>
  </si>
  <si>
    <t>将40 g干燥的竹屑浸渍于400 m L 0.37 M Fe ( NO3 ) 3∙9H2O和0.18 M Fe SO4∙7H2O (摩尔比: Fe3 + : Fe2 + = 2 : 1)溶液中，固液比为1∶10 (质量比,生物质:铁氧化物= 1 : 1)。混合物在25 C下振荡3 h，然后过滤，在60 C下干燥8 h。将8 g Fe - BC浸入含有0.12 M AlCl3 · 6H2O，0.18 M CaCl2 · 6H2O和0.18 M MgCl2 · 6H2O的混合溶液中(摩尔比, M3 + : ( M2 + + M2 + )) = 1：3；质量比，Fe-BC：LDH前驱体= 1：1 )，然后在25 C下振荡12 h。接着用5 M NaOH调节悬浮液至pH 10。最后，将混合物在90 C水浴中孵育，直到悬浮水蒸发。将固体用超纯水洗涤数次至p H中性，然后在60 C下烘干，得到的BC、Fe - BC和Fe - BC @ LDH分别用玛瑙研钵研磨，过0.125 mm筛，然后分别置于密封袋中备用。</t>
  </si>
  <si>
    <t>磁性生物炭：铁（羟基）氧化物预浸渍竹源生物炭</t>
  </si>
  <si>
    <t>Ca2+、Mg2+</t>
  </si>
  <si>
    <t>Ⅱ型</t>
  </si>
  <si>
    <t>C:33.23%;H:1.97%;O:24.56%;N:0.39%;S:1.63</t>
  </si>
  <si>
    <t>50~200</t>
  </si>
  <si>
    <t>Ca2+</t>
  </si>
  <si>
    <t>Na+</t>
  </si>
  <si>
    <t>K+</t>
  </si>
  <si>
    <t>Cl-</t>
  </si>
  <si>
    <t>NO3-</t>
  </si>
  <si>
    <t>SO42-</t>
  </si>
  <si>
    <t>CO32-</t>
  </si>
  <si>
    <t>辽宁省</t>
  </si>
  <si>
    <t>大连市某近化工厂废弃地</t>
  </si>
  <si>
    <t>38◦57ʼ15ʼʼ N</t>
  </si>
  <si>
    <t>121°38'64''E</t>
  </si>
  <si>
    <t>黑钙土</t>
  </si>
  <si>
    <t>田间最大持水率的70%</t>
  </si>
  <si>
    <t>0.21(TCLP)</t>
  </si>
  <si>
    <t>4.74(TCLP)</t>
  </si>
  <si>
    <t>Tessier、Wenzel</t>
  </si>
  <si>
    <t>As、Cd</t>
  </si>
  <si>
    <t>株洲市某近冶炼厂农田</t>
  </si>
  <si>
    <t>27°49ʼ39ʼʼ N</t>
  </si>
  <si>
    <t>113°8ʼ2ʼʼ E</t>
  </si>
  <si>
    <t>104d</t>
  </si>
  <si>
    <t>70 %田间持水量</t>
  </si>
  <si>
    <t>CaMgAl-LDH</t>
  </si>
  <si>
    <t>水热法</t>
  </si>
  <si>
    <t>制备200 mL前体溶液，其中含有0.12 M AlCl3∙6H2O、0.18 M CaCl2∙6H2O和0.18 M MgCl2∙6H2O。LDH的M3+与M2+的摩尔质量比等于1:3。然后，用1M NaOH将前体溶液的pH值调节至10，搅拌混合物2小时，然后密封并在聚四氟乙烯内衬的不锈钢高压釜中在150℃下加热15小时，最后以1℃/min的速度冷却，以实现良好的结晶。形成LDH粉末并用超纯水洗涤数次，然后离心、干燥、研磨并通过0.125mm筛</t>
  </si>
  <si>
    <t>C:8.72%;H:0.37%;O:50.95%</t>
  </si>
  <si>
    <t>Shifeng Zhao，2023</t>
  </si>
  <si>
    <t>MoS42-插层、Fe3O4磁改性的MgAl层状双氢氧化物( M-MoS4-LDH )</t>
  </si>
  <si>
    <t>一锅法</t>
  </si>
  <si>
    <t>将0.05 g Fe3O4分散在50 m L 0.5 mmol / L ( NH4 ) 2Mo S4溶液中。采用双滴法，在剧烈搅拌下向废水中同时滴加25 m L含0.154 g Mg ( NO3 ) 2⋅6H2O / 0.113 g Al ( NO3 ) 3⋅9H2O的混合溶液和25 m L Na OH溶液，调节p H至9 ~ 10。将得到的棕色沉淀陈化24 h，4000 r / min离心5 min，60℃干燥过夜</t>
  </si>
  <si>
    <t>MoS42 -</t>
  </si>
  <si>
    <t>Mg2+</t>
  </si>
  <si>
    <t>MoS42-</t>
  </si>
  <si>
    <t>30.22、36.65、44.02、56.95和62.74
11.34、23.24、32.35、34.97、39.68、61.03和62.36</t>
  </si>
  <si>
    <t>Fe3SO4：( 220 )、( 311 )、( 400 )、( 511 )和( 440 )
典型的( 003 )、( 006 )、( 009 )、( 018 )、( 012 )、( 110 )和( 013 )</t>
  </si>
  <si>
    <t>1633
3436 
1357
480</t>
  </si>
  <si>
    <t>H - O - H
- OH伸缩
LDHs中NO - 3的伸缩振动
Mo - S振动</t>
  </si>
  <si>
    <t>8.20±0.1</t>
  </si>
  <si>
    <t>21±2.9</t>
  </si>
  <si>
    <t>27.43±2.56</t>
  </si>
  <si>
    <t>3.5± 1.54</t>
  </si>
  <si>
    <t>62.66±3.78</t>
  </si>
  <si>
    <t>4.75±1.26</t>
  </si>
  <si>
    <t>制备了浓度为30-800mg/L的CuSO4·5H2O、Zn（NO3）2·6H2O、NiCl2·6H2O和Pb（NO3）2。将土壤放入聚乙烯烧杯中，将重金属储存溶液以1mL溶液对1g土壤的比例加入土壤中，充分搅拌并混合均匀，使重金属尽可能均匀地分布在土壤中。受污染的土壤在室温下避光保存7天。忽略了原始重金属含量和制备过程中损失的影响。将受污染的土壤风干，研磨成粉末状，在室温下密封保存。</t>
  </si>
  <si>
    <t>0~600</t>
  </si>
  <si>
    <t>吸附过程可以分为表面扩散、颗粒内扩散和吸附平衡三个阶段</t>
  </si>
  <si>
    <t>50~1000</t>
  </si>
  <si>
    <t>Cu2+/Pb2+：Freundlich模型
Zn2+/Ni2+：Langmuir模型</t>
  </si>
  <si>
    <t>Cu2+/Pb2+：非均相表面多层吸附；
Zn2+/Ni2+：均相表面单分子层吸附，吸附位点较多</t>
  </si>
  <si>
    <t>HPO42-</t>
  </si>
  <si>
    <t>11.34、23.24、32.35、34.97、39.68、61.03和62.36</t>
  </si>
  <si>
    <t>典型的( 003 )、( 006 )、( 009 )、( 018 )、( 012 )、( 110 )和( 013 )</t>
  </si>
  <si>
    <t>1640 
3437
1361</t>
  </si>
  <si>
    <t>H - O - H
- OH伸缩
LDHs中NO - 3的伸缩振动</t>
  </si>
  <si>
    <t>否</t>
  </si>
  <si>
    <t>只存在表面扩散和平衡阶段，无内扩散过程</t>
  </si>
  <si>
    <t>Zhenhui Li，2023</t>
  </si>
  <si>
    <t>0%LDH-AL</t>
  </si>
  <si>
    <t>11.39、23.11、35.13</t>
  </si>
  <si>
    <t>LDHs的( 003 )、( 006 )、( 012 )</t>
  </si>
  <si>
    <t>江苏省</t>
  </si>
  <si>
    <t>无铬土壤样品</t>
  </si>
  <si>
    <t>将一定浓度的K2Cr2O4溶液( 10 mL )与土壤样品( 10 g )混合，搅拌至混合物风干至恒重。然后对土壤样品进行测试，以确定负载的Cr (Ⅵ)浓度。除用0.1 M HCl或0.1 M NaOH调节Cr (Ⅵ)污染土壤的p H外，其余步骤相同，制备不同p H的土壤样品</t>
  </si>
  <si>
    <t>2%LDH-AL</t>
  </si>
  <si>
    <t>海藻酸盐</t>
  </si>
  <si>
    <t>NO3-、CO32-</t>
  </si>
  <si>
    <t>清晰地看到褐藻胶，微球中的LDH被完全包裹</t>
  </si>
  <si>
    <t>11.39、23.11、35.13
27.0</t>
  </si>
  <si>
    <t>3400
1600 
1400和1360</t>
  </si>
  <si>
    <t>O - H伸缩振动
H - O - H弯曲
N - O和C - O伸缩振动</t>
  </si>
  <si>
    <t>6%LDH-AL</t>
  </si>
  <si>
    <t>C:24.48%;O:58.70%;Mg:9.35%;Al:5.52%;Ca:1.22%</t>
  </si>
  <si>
    <t>8%LDH-AL</t>
  </si>
  <si>
    <t>层间离子交换、表面吸附</t>
  </si>
  <si>
    <t>Ldhs - M 层状双金属氢氧化物和磁性颗粒封装到海藻酸盐微球</t>
  </si>
  <si>
    <t>海藻酸钙微球共负载法</t>
  </si>
  <si>
    <t>磁性氧化铁、海藻酸盐</t>
  </si>
  <si>
    <t>O:52.71%;C:18.28%;Mg:18.62%;Al:8.07%;N:2%;Fe:0.32%</t>
  </si>
  <si>
    <t>珠子表面不光滑。得益于海藻酸钙的交联特性，LDHs和磁性氧化铁被包裹在磁珠中。两种成分均散落在珠子中，偶尔可观察到。</t>
  </si>
  <si>
    <t xml:space="preserve">11.27
22.57 
34.54 </t>
  </si>
  <si>
    <t>(003)
(006)
(012)</t>
  </si>
  <si>
    <t>3300 ~ 3400
1406.3
1362.9
1064.5
1608.5</t>
  </si>
  <si>
    <t>O - H键的伸缩振动
N = O伸缩振动，归属于NO3 -
C=O（CO32 -的红外特征振动）
C-O（CO32 -的红外特征振动）
水分子O - H的弯曲振动</t>
  </si>
  <si>
    <t>将不同浓度的K2Cr2O4溶液与铬与土壤的比例为1:1的无铬土壤混合。将混合物在磁力搅拌器上搅拌3小时，并干燥至恒重。然后得到不同Cr（VI）浓度的土壤（200mg/kg、400mg/kg、600mg/kg、800mg/kg和1000mg/kg）</t>
  </si>
  <si>
    <t xml:space="preserve">LDHs-M：(7-1)% </t>
  </si>
  <si>
    <t>( i )层间NO3 -与Cr (Ⅵ)的阴离子交换是主要的固定机理；( ii )络合作用依赖于珠子表面质子化羟基提供的静电引力；( iii ) Cr (Ⅵ)与晶格元素发生同构置换。</t>
  </si>
  <si>
    <t>（8LDHs-0磁性氧化铁）%LDHs-M</t>
  </si>
  <si>
    <t>（6-2）%LDHs-M</t>
  </si>
  <si>
    <t>（5-3）%LDHs-M</t>
  </si>
  <si>
    <t>Pengling Shao，2023</t>
  </si>
  <si>
    <t>LB/生物炭负载FeMnMg-LDH</t>
  </si>
  <si>
    <t>生物炭</t>
  </si>
  <si>
    <t>Mn2+、Mg2+</t>
  </si>
  <si>
    <t>生物炭表面密集生长着大量具有均匀片层结构的LDH，为重金属的吸附提供了更多的活性位点</t>
  </si>
  <si>
    <t>11.19、22.00、34.27</t>
  </si>
  <si>
    <t>类水滑石晶面( 003 )、( 006 )和( 009 )
同时具有生物炭的特征峰</t>
  </si>
  <si>
    <t>3700 ~ 3000
1630
1384\866
1200 ~ 1000
595 ~ 400</t>
  </si>
  <si>
    <t>-OH振动
H-O-H伸缩振动
层间的CO32-
生物炭中C-OH键
LDH的晶格振动，如O-M-O或M-O-M(M代表Fe、Mn、Mg)振动</t>
  </si>
  <si>
    <t>向20 m L分散有Cu / As的蒸馏水中加入一定质量的吸附剂( 12mg , As为20mg)，对比BC和LB对重金属( Cu、As)的吸附能力。混合物在恒温往复式摇床上以200 r / min的速度振荡40 min ( As )和400 min ( Cu )，然后将悬浮液在4000 r / min下离心10 min以获得用于测试的上清液.在动力学研究中，Cu和As的浓度分别为40和8 mg / L，然后在预先设计的时间间隔( 0 ~ 8小时)内抽出2 m L离心后的上清液</t>
  </si>
  <si>
    <t>0~480</t>
  </si>
  <si>
    <t>类质同象置换、沉淀和静电吸附为主</t>
  </si>
  <si>
    <t>伪一级动力学模型</t>
  </si>
  <si>
    <t>简单络合作用</t>
  </si>
  <si>
    <t>20~150</t>
  </si>
  <si>
    <t>单分子层均相吸附</t>
  </si>
  <si>
    <t>2~50</t>
  </si>
  <si>
    <t>华南理工大学</t>
  </si>
  <si>
    <t>校园表层土0~20cm</t>
  </si>
  <si>
    <t>加入重金属溶液(含Cu 1000 mg / L , As 200 mg / L)，陈化3个月，风干后过2 mm筛。</t>
  </si>
  <si>
    <t>60 %田间持水量</t>
  </si>
  <si>
    <t>有效态Cu (Ⅱ)</t>
  </si>
  <si>
    <t>有效态As(III)</t>
  </si>
  <si>
    <t>70.18（有效态）</t>
  </si>
  <si>
    <t>3625.5（有效态）</t>
  </si>
  <si>
    <t>Zewen Sun，2023</t>
  </si>
  <si>
    <t>CaAl-SO4-LDH</t>
  </si>
  <si>
    <t>CaO在900℃马弗炉中煅烧3 h。然后，将1.6824 g煅烧CaO加入到50 mL煮沸的去离子水中，搅拌形成Ca ( OH ) 2。在上述Ca ( OH ) 2悬浮液中加入0.7800 g Al ( OH ) 3和1.3614 g CaSO4，加入无CO2的去离子水，直到混合溶液的体积为100 mL。上述混合物在磁力搅拌下搅拌10 min，并在搅拌过程中通入N2以消除CO2的干扰。然后将反应混合物转移到100 m L搅拌的不锈钢反应釜中，在120℃下水热反应10 h，搅拌速度为400 r⋅min-1，搅拌时间为12 h。在水热反应过程中，注入循环水进行冷却。反应结束后，温度降至室温，将浆料在4000 r⋅min - 1下离心5 min，分离固体。所得固体部分在65℃恒温干燥箱中干燥16 h。</t>
  </si>
  <si>
    <t>六边形片状形貌结构，尺寸分布相对均匀</t>
  </si>
  <si>
    <t xml:space="preserve">10.12、20.09、22.41、31.25 </t>
  </si>
  <si>
    <t>CaAl-SO4-LDH
的标准谱图Ca4Al2(SO4)(OH)12⋅6H2O, JCPDS 50–1607
：( 006 )、( 0012 )、( 018 )和( 110 )</t>
  </si>
  <si>
    <t>3430
1665 
1110
791、540和420</t>
  </si>
  <si>
    <t>LDH层板和层间水分子的羟基
水分子的弯曲振动
S - O的伸缩振动</t>
  </si>
  <si>
    <t>Cu2+</t>
  </si>
  <si>
    <t>Cu2 +和Zn2 +</t>
  </si>
  <si>
    <t>层状Ca的同构置换和溶解-再沉淀作用形成Cu Al - LDH和Zn Al - LDH矿化产物</t>
  </si>
  <si>
    <t>Zn2+</t>
  </si>
  <si>
    <t>Pb2 +</t>
  </si>
  <si>
    <t>与CaAl - LDH的羟基和反应溶液中溶解的CO2反应而去除，最终形成Pb3 ( CO3 ) 2 ( OH ) 2沉淀</t>
  </si>
  <si>
    <t>Pb2+</t>
  </si>
  <si>
    <t>甘肃省</t>
  </si>
  <si>
    <t>白银市</t>
  </si>
  <si>
    <t>CaCl2溶液法：有效态</t>
  </si>
  <si>
    <t>最大田间持水量的80%</t>
  </si>
  <si>
    <t>有效态Zn</t>
  </si>
  <si>
    <t>有效态Pb</t>
  </si>
  <si>
    <t>0.6043（有效态）</t>
  </si>
  <si>
    <t>0.00672（有效态）</t>
  </si>
  <si>
    <t>1.15有效态</t>
  </si>
  <si>
    <t>4.678（有效态)</t>
  </si>
  <si>
    <t>甘肃省白银市</t>
  </si>
  <si>
    <t>将试验田划分为17个小区，每个小区3.5 m×5 m</t>
  </si>
  <si>
    <t>84d</t>
  </si>
  <si>
    <t>Peng Lyu，2023</t>
  </si>
  <si>
    <t>CMAL ( A、B、C) 0.12，0.18和0.18M，M3 +与M2 +的摩尔质量比均为1：3。用1 M Na OH调节溶液p H至10，搅拌2 h，然后密封并在150℃的聚四氟乙烯内衬不锈钢高压釜中加热15 h，最后以1℃/ min的速度冷却，以使结晶良好。形成LDH粉末，用超纯水洗涤数次，离心、干燥、研磨，过0.125 mm筛。</t>
  </si>
  <si>
    <t>IV型</t>
  </si>
  <si>
    <t>H4</t>
  </si>
  <si>
    <t>表面上呈现为圆形、楔形和平坦的狭缝的孔隙形状，其独特的互连纳米片证实了一种明确的分级结构。外层和内层板具有微孔和介孔特征</t>
  </si>
  <si>
    <t>11.052 、22.239、34.346、38.258、45.429、60.266和61.525</t>
  </si>
  <si>
    <t>Mg6Al2(OH)18•4 H2O (JCPDS PDF 38–0478)：（003）、（006）、（012）、（015）、（018）、（110）、（113）</t>
  </si>
  <si>
    <t>3461和1620
1377和1492
613和876
1071</t>
  </si>
  <si>
    <t>LDHs层板中羟基- OH和水分子H - O - H的伸缩振动,强度显著降低,更强疏水性
含Cl-单齿配位的不对称振动
M1 - OH或M1 - O基团( M1 = Mg或Al)的晶格弯曲振动
M3 - O / OH基团( M3代表Ca、Mg或Al离子)</t>
  </si>
  <si>
    <t>大连市某退役化工厂厂址1 km范围内的荒地</t>
  </si>
  <si>
    <t>121◦38ʼ64ʼʼ E</t>
  </si>
  <si>
    <t>表层土0~20cm</t>
  </si>
  <si>
    <t>8.20±0.02</t>
  </si>
  <si>
    <t>185.15±14.71</t>
  </si>
  <si>
    <t>8.92±0.58</t>
  </si>
  <si>
    <t>78.61±3.47</t>
  </si>
  <si>
    <t>黑壤</t>
  </si>
  <si>
    <t>TCLP</t>
  </si>
  <si>
    <t>50d</t>
  </si>
  <si>
    <t>TCLP-Pb</t>
  </si>
  <si>
    <t>0.187(TCLP)</t>
  </si>
  <si>
    <t>3.61(TCLP-As)</t>
  </si>
  <si>
    <t>1.663（tclp-pb）</t>
  </si>
  <si>
    <t>（1）关键含金属基团如Ca-O和Mg-O与PTE离子络合，形成Ca-O-As/Cd或Mg-O-As/Cd/Pb络合物；（2） Ca/Fe-As或Cd（OH）2的共沉淀；（3） Fe-（氢）氧化物嵌入CMAL分层，形成钙桥三元配合物（FeO-Ca-As/Cd）</t>
  </si>
  <si>
    <t>常德市石门矿集区附近1 km范围内的弃耕地</t>
  </si>
  <si>
    <t>29◦39ʼ27ʼʼ N</t>
  </si>
  <si>
    <t>111◦31ʼ12ʼʼ E</t>
  </si>
  <si>
    <t>6.58±0.05</t>
  </si>
  <si>
    <t>330.75±23.24</t>
  </si>
  <si>
    <t>12.20±0.43</t>
  </si>
  <si>
    <t>74.25±4.61</t>
  </si>
  <si>
    <t>MAL ( A、B) 0.12和0.36 M，M3 +与M2 +的摩尔质量比均为1：3。用1 M Na OH调节溶液p H至10，搅拌2 h，然后密封并在150℃的聚四氟乙烯内衬不锈钢高压釜中加热15 h，最后以1℃/ min的速度冷却，以使结晶良好。形成LDH粉末，用超纯水洗涤数次，离心、干燥、研磨，过0.125 mm筛。</t>
  </si>
  <si>
    <t>3461和1620
1377和1492
613和876</t>
  </si>
  <si>
    <t>LDHs层板中羟基- OH和水分子H - O - H的伸缩振动
含Cl-单齿配位的不对称振动
M1 - OH或M1 - O基团( M1 = Mg或Al)的晶格弯曲振动</t>
  </si>
  <si>
    <t>CAL ( A , C) 0.12和0.36 M，M3 +与M2 +的摩尔质量比均为1：3。用1 M Na OH调节溶液p H至10，搅拌2 h，然后密封并在150℃的聚四氟乙烯内衬不锈钢高压釜中加热15 h，最后以1℃/ min的速度冷却，以使结晶良好。形成LDH粉末，用超纯水洗涤数次，离心、干燥、研磨，过0.125 mm筛。</t>
  </si>
  <si>
    <t>Ⅲ型</t>
  </si>
  <si>
    <t>表面致密光滑</t>
  </si>
  <si>
    <t>11.052 、22.239、34.346、38.258、45.429、60.266和61.525
11.292、22.611、23.158、31.195、26.289、33.251、36.264、38.003、38.966、42.645、43.117</t>
  </si>
  <si>
    <t>Mg6Al2(OH)18•4 H2O (JCPDS PDF 38-0478)：（003）、（006）、（012）、（015）、（018）、（110）、（113）
Ca2Al(OH)6(H2O)2Cl(JCPDS PDF 31-0245)：(002)、(004)、(112)、(0~20)、(-114)、(-122)、(-116)、(-316)、(-404)、(-406)、(-208)</t>
  </si>
  <si>
    <t>Fangshu He，2023</t>
  </si>
  <si>
    <t>CaAl-MoS4-LDH</t>
  </si>
  <si>
    <t>离子交换反应</t>
  </si>
  <si>
    <t>LDH/MoS4 was fabricated via an ion exchange reaction using (NH4)2MoS4 as the source of [MoS4]2− clusters. Briefly, 0.5 g of CaAl-LDHs were dispersed in 50 mL of 0.2 mmol L−1 (NH4)2 MoS4. The mixture was then stirred at ambient temperature for 6 h, resulting in the formation of an orange solution of suspended particles. Finally, the mixture was filtered, washed with alcohol, and dried under vacuum at room temperature, obtaining an orange powder, labeled LDH/MoS4 and preserved
in a desiccator</t>
  </si>
  <si>
    <t>Ⅳ型</t>
  </si>
  <si>
    <t>板状二维形貌</t>
  </si>
  <si>
    <t>10.1
32.7</t>
  </si>
  <si>
    <t>（003）
（009）</t>
  </si>
  <si>
    <t>Mo-S</t>
  </si>
  <si>
    <t>Pb-S键合产生沉淀</t>
  </si>
  <si>
    <t>表面非均相吸附、活性位点非均相性的多层化学吸附</t>
  </si>
  <si>
    <t>Ca和Cd的同晶替代</t>
  </si>
  <si>
    <t>均相单层吸附</t>
  </si>
  <si>
    <t>LDH/NO3 was synthesized by a co-precipitation method.30,31 Briefly, 1.89 g of Ca(NO3)2·4H2O and 0.75 g of Al(NO3)3·9H2O were dissolved in 100 mL of deionized water, obtaining bimetallic mixed solution A. Meanwhile, 8.8 g of NaOH was dissolved in 50 mL of deionized water to obtain alkali solution B. The pH of the mixture was maintained at about 11, and the mixture was stirred at 800 rpm for 30 min at room temperature. After that, the filtrate was filtered, washed, and then dried in a vacuum at 60 °C. The solid material was ground to finally obtain a white dried powder.</t>
  </si>
  <si>
    <t>0.272（009）</t>
  </si>
  <si>
    <t>六边形形貌的纳米片组装结构</t>
  </si>
  <si>
    <t xml:space="preserve">10.4
32.8
</t>
  </si>
  <si>
    <t xml:space="preserve">NO3− </t>
  </si>
  <si>
    <t>Donghua Zhang，2022</t>
  </si>
  <si>
    <t>MgAl-LDH/LDH - D</t>
  </si>
  <si>
    <t>将天然白云石在900℃的马弗炉中煅烧3 h，冷却至室温。然后，使用砂浆将煅烧后的沉淀物研磨成粉末。将2.0 g粉体分散在100 m L溶液中，其中1.51 g Al ( NO3 ) 3⋅9H2O在搅拌下预先溶解。由于p H值在13.3左右，且在高p H下Al3 -会转变为Al ( OH ) - 4，因此用1mol / L HNO3调节p H至10.0。随后，将混合物转移到100 m L Teflon容器中，在100℃烘箱中放置36 h。冷却后的浆料在10000 rpm下离心5 min分离，并用超纯水洗涤数次。将白色残渣在50℃烘箱中烘干</t>
  </si>
  <si>
    <t>Mg0.73Al0.33(OH)2･ (NO3− )0.03(CO32− )0.21・nH2O。LDHs和Ca CO3的质量分数分别为22.39 %和77.61 %</t>
  </si>
  <si>
    <t>片层形成的球体覆盖在聚集的颗粒表面</t>
  </si>
  <si>
    <t xml:space="preserve">11.45
23.29
35.51
29.87,40.02,49.31
</t>
  </si>
  <si>
    <t>（003）
（006）
（009）
CaCO3,JCPDS78-3262</t>
  </si>
  <si>
    <t>3300 - 3500
1622
1356
500 ~ 800</t>
  </si>
  <si>
    <t>氢键O-H伸缩
水分子H-O-H弯曲振动
CO32-中C-O的不对称伸缩振动
Al-O、Mg-O和Ca-O振动</t>
  </si>
  <si>
    <t>红黏土</t>
  </si>
  <si>
    <t>不同浓度的重铬酸钾溶液( 200、400、600、800、1000 mg / L)与土样混合，保持固液比为1 g：1 m L，搅拌至气干(张杰等, 2021)。随后，将干燥的Cr污染土壤研磨粉碎，作为目标污染土壤。将未经进一步处理的土壤样品的淋洗浓度确定为空白浓度。Cd污染土壤的制备与上述Cr污染土壤的制备方法相同，所用试剂为CdNO3。配制不同土壤样品的Cd NO3浓度分别为500、1000、1500和2001 mg / L。</t>
  </si>
  <si>
    <t>期通过络合作用和CdCO3的形成而迅速被固定;反应后期，Cd的固定方式可能发生改变，部分Cd取代了LDH中的Mg2 +，形成更稳定的形态。</t>
  </si>
  <si>
    <t>表面吸附作用</t>
  </si>
  <si>
    <t>Wenying Yuan，2022</t>
  </si>
  <si>
    <t>活性炭纤维负载FeAl-LDH/FeAl-LDH @ ACF</t>
  </si>
  <si>
    <t>活性炭纤维</t>
  </si>
  <si>
    <t>Fe2+</t>
  </si>
  <si>
    <t>ACF上可以观察到不规则的层状结构，致密的团聚颗粒结构，粒径均一，分散性良好。</t>
  </si>
  <si>
    <t>11.24
22.88</t>
  </si>
  <si>
    <t xml:space="preserve">FeAl - LDH：（003）
（006）
</t>
  </si>
  <si>
    <t>3380 
1639</t>
  </si>
  <si>
    <t>层状双氢氧化物或插层水分子中的OH伸缩振动
水分子中OH基团的伸缩</t>
  </si>
  <si>
    <t>普通土壤</t>
  </si>
  <si>
    <t>将重铬酸钾溶于去离子水中，静置，配制不同浓度的Cr (Ⅵ)溶液。称取清洁土壤于烧杯中，将上述不同浓度的含Cr (Ⅵ)溶液适量加入烧杯中，使土壤质量与溶液体积比为1 g：1 ml，搅拌3 h。混匀后置于烘箱中烘干过夜，将烘干后的含铬土壤粉碎，用于固定化实验。配制浓度分别为200、400、800和1000 mg / kg的Cr (Ⅵ)污染土壤。</t>
  </si>
  <si>
    <t xml:space="preserve">Cr (Ⅵ) </t>
  </si>
  <si>
    <t>固定化-还原过程</t>
  </si>
  <si>
    <t>200~1000</t>
  </si>
  <si>
    <t>Shuwang Zhang，2022</t>
  </si>
  <si>
    <t xml:space="preserve"> MgAl-LDH</t>
  </si>
  <si>
    <t>水热辅助尿素均匀沉淀法</t>
  </si>
  <si>
    <t>堆叠的六边形片状形貌</t>
  </si>
  <si>
    <t xml:space="preserve">11.78、23.82 </t>
  </si>
  <si>
    <t>典型的( 003 )、( 006 )</t>
  </si>
  <si>
    <t>3300~3700
1355 
500 ~ 800</t>
  </si>
  <si>
    <t>层间- OH基团( νO-H )的伸缩振动
CO32-的伸缩振动
Al - O、Mg - O和Ca - O的振动</t>
  </si>
  <si>
    <t>将配置好的不同浓度( 500、1000、1500、2000 mg / L)的Cd溶液以1 g：1 mL的固液比加入到一定量的过筛土壤中，置于磁力搅拌器中。随后，将Cd污染的风干土壤研磨、粉碎，作为目标污染土壤。然后，确定土壤样品的淋洗浓度为空白浓度。</t>
  </si>
  <si>
    <t>强酸消解：总浓度;水浸提法：水溶态；CaCl2溶液法：有效态</t>
  </si>
  <si>
    <t>水溶态Cd</t>
  </si>
  <si>
    <t>0.323有效态</t>
  </si>
  <si>
    <t>层间阴离子形成CdCO3沉淀；与表面去质子化的O-结合；LDH部分溶解，Cd与羟基结合；</t>
  </si>
  <si>
    <t>单层MgAl-LDH/S-Mg-LDH/Mg-LDH</t>
  </si>
  <si>
    <t>水热辅助尿素均匀沉淀-甲酰胺插层剥离法</t>
  </si>
  <si>
    <t>部分中心塌陷和边缘缺陷，片状结构仍然保持</t>
  </si>
  <si>
    <t>18.8、20.9</t>
  </si>
  <si>
    <t>Al(OH)3</t>
  </si>
  <si>
    <t>3300~3700
1700~1610
1690和1390
500 ~ 800</t>
  </si>
  <si>
    <t>层间- OH基团( νO-H )的伸缩振动
层间吸附水分子( ν H - O - H)的弯曲振动
甲酰胺中C - - O和N - O的伸缩振动
Al - O、Mg - O和Ca - O的振动</t>
  </si>
  <si>
    <t>10.32、20.83</t>
  </si>
  <si>
    <t>典型的( 002 )、( 004 )</t>
  </si>
  <si>
    <t>3300~3700
1700~1610
1387
500 ~ 800</t>
  </si>
  <si>
    <t>层间- OH基团( νO-H )的伸缩振动
层间吸附水分子( ν H - O - H)的弯曲振动
NO-3的伸缩振动
Al - O、Mg - O和Ca - O的振动</t>
  </si>
  <si>
    <t>络合、CO2的吸收；与表面去质子化的O-结合；LDH部分溶解，Cd与羟基结合；Cd2+和Ca2+同晶替代；</t>
  </si>
  <si>
    <t>单层CaAl-LDH/S-Ca-LDH/Ca-LDH</t>
  </si>
  <si>
    <t>共沉淀-甲酰胺插层剥离法</t>
  </si>
  <si>
    <t xml:space="preserve">3300~3700
1700~1610
</t>
  </si>
  <si>
    <t xml:space="preserve">层间- OH基团( νO-H )的伸缩振动
层间吸附水分子( ν H - O - H)的弯曲振动
</t>
  </si>
  <si>
    <t>陈晓晨，2022</t>
  </si>
  <si>
    <t>CaAl-Cl LDH</t>
  </si>
  <si>
    <t>福建省</t>
  </si>
  <si>
    <t xml:space="preserve">福州市鼓楼区山地
</t>
  </si>
  <si>
    <t>制备成Cd含量为180 mg/kg的污染土壤，保持土壤含水率为50%，在室温环境下培养30 d以实现Cd与土壤的稳定结合，之后再次风干，分别过10目和100目筛。</t>
  </si>
  <si>
    <t>90d</t>
  </si>
  <si>
    <t>？数据来源</t>
  </si>
  <si>
    <t>表面配位、层间阴离子交换-吸附、溶解-沉淀、 同晶置换</t>
  </si>
  <si>
    <t>北京市怀柔区山地</t>
  </si>
  <si>
    <t>棕壤</t>
  </si>
  <si>
    <t>南京市栖霞区山地</t>
  </si>
  <si>
    <t>褐土</t>
  </si>
  <si>
    <t>吉林省</t>
  </si>
  <si>
    <t>公主岭市范家屯农地</t>
  </si>
  <si>
    <t>黑土</t>
  </si>
  <si>
    <t>余杰，2021</t>
  </si>
  <si>
    <t>FeMnCa-LDHs</t>
  </si>
  <si>
    <t>准确称取 5.549gCaCl2、6.758 gFeCl3·6H2O、4.947gMnCl2·4H2O 溶于 50 mL 无氧水中，搅拌均匀，再向 500 mL 的三颈烧瓶加入 100 mL无氧水，之后用 2 mol·L−1NaOH 溶液调节无氧水pH为 12，持续通入氮气 10 min；将混合金属离子溶液以 0.5 mL·min−1 的速度滴入三颈烧瓶内，同时使用 2 mol·L−1NaOH 调节溶液pH 为 12，并用机械搅拌器搅拌；滴加完成后，持续通入氮气，机械搅拌 24 h；搅拌完成后用塑料膜封闭三颈烧瓶瓶口，放入水浴锅，60 ℃ 恒温水浴加热 12 h；反应后的固体产物用无氧水冲洗至中性，离心，冷冻干燥；干燥后的产物用玛瑙研钵磨碎过 100 目筛，妥善密封保存于干燥箱中</t>
  </si>
  <si>
    <t>分子之间排列不规则，暴露出许多孔隙，且有一定的片层结构</t>
  </si>
  <si>
    <t>11.26 
22.58 
32.54</t>
  </si>
  <si>
    <t>（003）
（006）
（009）</t>
  </si>
  <si>
    <t>2~3 个羟基和层间水分子的伸缩振动叠加</t>
  </si>
  <si>
    <t>重庆市江津区白沙镇河口村稻田</t>
  </si>
  <si>
    <t>低水平：7.93mg/kgAs，0.45mg/kgCd</t>
  </si>
  <si>
    <t>中水平：150mg/kgAs，0.6mg/kgCd</t>
  </si>
  <si>
    <t>高水平：230mg/kgAs，2.0mg/kgCd</t>
  </si>
  <si>
    <t>Lixun Zhang，2022</t>
  </si>
  <si>
    <t>DDTC-LDH</t>
  </si>
  <si>
    <t>煅烧复原法</t>
  </si>
  <si>
    <t>在恒定的pH (=10)和温度(=70℃)条件下，同时向溶液中加入1molL-1的Mg2+/Al3 +摩尔比为3：1的混合金属氯化物和1.5 molL-1的NaOH和1.0 molL-1的Na2CO3的混合物。经陈化、离心、洗涤、干燥、球磨后得到CO32-LDH。然后，将纳米CO32-LDH在500℃下煅烧3 h，得到层状双氧化物(LDO)颗粒。然后，在氮气气氛下，将一定量的LDO加入到0.4 mol⋅L - 1的DDTC溶液中。将混合物在70℃下剧烈搅拌48 h，直至形成质量良好的LDH晶体。最后，将沉淀离心，洗涤真空干燥，过0.45 mm筛</t>
  </si>
  <si>
    <t>二乙基二硫代氨基甲酸根</t>
  </si>
  <si>
    <t>(003),(006),(009)</t>
  </si>
  <si>
    <t>300~600</t>
  </si>
  <si>
    <t>( 1 )由于DDTC - LDH具有较高的正电荷密度，Cr (Ⅵ)通过静电引力被DDTC - LDH表面强烈捕获。( 2 ) Cr (Ⅵ)与C - S和C _ S基团中的硫原子之间的强亲和力促进了Cr (Ⅵ)通过强路易斯软-软相互作用进入层间空间。( 3 ) Cr (Ⅵ)被C - S和C _ S快速还原为Cr (Ⅲ)新的C - SOx基团形成。( 4 ) Cr (Ⅲ) (硬路易斯酸)与C - SOx (硬路易斯碱)键合迅速且牢固。其他的吸附机制，如Cr (Ⅵ)和CO32 -之间的阴离子交换和Cr (Ⅲ)的表面沉淀，也可以发生，但对溶液中Cr (Ⅵ)的去除贡献很小。</t>
  </si>
  <si>
    <t>化学吸附，传质非限时步骤</t>
  </si>
  <si>
    <t>0~60</t>
  </si>
  <si>
    <t>Freundlich and Redlich-Peterson models</t>
  </si>
  <si>
    <t>活性吸附位点非均匀分布，表面多层吸附是主要步骤</t>
  </si>
  <si>
    <t>PO43-</t>
  </si>
  <si>
    <t>常州市</t>
  </si>
  <si>
    <t>将原土按1：1的质量体积比浸入400mg/LK2Cr2O7溶液中，然后在室温下培养1个月，使外源Cr (Ⅵ)与土壤中的内源Cr (Ⅵ)均匀化</t>
  </si>
  <si>
    <t>35d</t>
  </si>
  <si>
    <t>24.8±1.7</t>
  </si>
  <si>
    <t>Langmuir-Hinshelwood一级动力学模型</t>
  </si>
  <si>
    <t>Barbora Hudcova´，2022</t>
  </si>
  <si>
    <t>MgFe-LDH</t>
  </si>
  <si>
    <t>每个LDH / BC混合物中含有40 %的LDH，BC表面的Mg / Fe摩尔比为4：1。在标准的LDH / BC合成中，将10 g BC置于盛有100 m L MgCl2⋅6H2O ( 0.75 M )和FeCl3⋅6H2O ( 0.19 M )溶液的烧杯中。然后，用2.5 M KOH将悬浮液滴定至pH 13.3，并在室温下搅拌24小时。混合液用去离子水过滤洗涤数次。将湿固体样品在120℃下干燥12 h。随后，将干燥的样品研磨并过筛( &lt; 250μm )</t>
  </si>
  <si>
    <t>O:33.3%；Mg:24.0%</t>
  </si>
  <si>
    <t>3454
1361 
659、540</t>
  </si>
  <si>
    <t>羟基的伸缩振动
碳酸根离子的吸收带
金属氧化物/氢氧化物</t>
  </si>
  <si>
    <t>Czech Republic</t>
  </si>
  <si>
    <t>Trhove ´ Duísníky , Píríbram</t>
  </si>
  <si>
    <t>受当地冶炼厂影响的河流冲积物中收集的Zn污染土壤</t>
  </si>
  <si>
    <t>总Zn (Ⅱ)</t>
  </si>
  <si>
    <t>将单个土壤样品与去离子水( 1：5w / v )混合并振荡96小时。随后，将获得的悬浮液通过0.45 μ m醋酸纤维素滤膜过滤</t>
  </si>
  <si>
    <t>伪一/二级动力学模型</t>
  </si>
  <si>
    <t>在低金属(类)浓度下，主要的去除机制是吸附，特别是内层表面络合作用。然而，我们的数据表明，增加Zn ( II )和As ( V )的浓度会导致其他去除机制，例如表面沉淀，而增加As ( V )的浓度会导致LDH结构的逐渐破坏，这可能是由于无定形砷酸铁的形成。</t>
  </si>
  <si>
    <t xml:space="preserve">Smolotely , Príbram </t>
  </si>
  <si>
    <t>有天然含砷矿物的森林地区</t>
  </si>
  <si>
    <t>6.538~653.8</t>
  </si>
  <si>
    <t>7.49216~749.216</t>
  </si>
  <si>
    <t>MgFe-LDH/commercial biochar</t>
  </si>
  <si>
    <t>商用生物炭</t>
  </si>
  <si>
    <t>O:35.2\Mg:19.3\Si:0.17</t>
  </si>
  <si>
    <t>3452 
1411
582、457</t>
  </si>
  <si>
    <t>LDH相的吸附控制;BC上的吸附.在低金属(类)浓度下，主要的去除机制是吸附，特别是内层表面络合作用。然而，我们的数据表明，增加Zn ( II )和As ( V )的浓度会导致其他去除机制，例如表面沉淀，而增加As ( V )的浓度会导致LDH结构的逐渐破坏，这可能是由于无定形砷酸铁的形成。</t>
  </si>
  <si>
    <t>MgFe-LDH/standard wheat straw biochar</t>
  </si>
  <si>
    <t>标准麦秸生物炭</t>
  </si>
  <si>
    <t>O:16.6\Mg:18.3\Si:3.91\P:0.10\S:0.13</t>
  </si>
  <si>
    <t>3373 
1393
563、439
1030</t>
  </si>
  <si>
    <t>羟基的伸缩振动
碳酸根离子的吸收带
金属氧化物/氢氧化物
O-Si-O</t>
  </si>
  <si>
    <t>MgFe-LDH /grape stalk biochar</t>
  </si>
  <si>
    <t>葡萄秆生物炭</t>
  </si>
  <si>
    <t>O:32.5\Mg:18.5\Si:0.14\P:0.19\S:0.14</t>
  </si>
  <si>
    <t>3396
1394 
561、407</t>
  </si>
  <si>
    <t>Massimo Pigna，2015</t>
  </si>
  <si>
    <t>CuAl-LDH</t>
  </si>
  <si>
    <t>将适量MgCl2·6H2O、FeCl2·6H2O、CuCl2·2H2O、ZnCl2·2H2O和AlCl3·6H2O (初始Mg / Al、Mg / Fe、Cu / Al或Zn / Al摩尔比等于2)溶液缓慢加入到p H 10.0、20℃的Na OH溶液中搅拌。在20 ° C下，加入0.5 mol / L的Na OH，使各悬浮液的p H保持恒定24 h。24 h后，用去离子水洗涤5次，10 000 g / min离心0.5 h。然后将悬浮液透析(分子量截止为15 , 000) 21天，冷冻干燥，轻轻研磨过0.315 mm筛。温度为p H = 10的Na OH溶液。保持pH值恒定24小时，然后将悬浮液洗涤，离心，透析15天，冷冻干燥并轻轻粉碎。</t>
  </si>
  <si>
    <t>305(lang)</t>
  </si>
  <si>
    <t>0.760、0.380、0.260、0.153和0.150 nm和一些高角度( &gt; 30 ° 2h )的不对称峰</t>
  </si>
  <si>
    <t>水滑石</t>
  </si>
  <si>
    <t>0.0375~3.75</t>
  </si>
  <si>
    <t>F-</t>
  </si>
  <si>
    <t>ZnAl-LDH</t>
  </si>
  <si>
    <t>Massimo Pigna，2020</t>
  </si>
  <si>
    <t xml:space="preserve"> Cu-Al LDH</t>
  </si>
  <si>
    <t>Xianggui Kong，2021</t>
  </si>
  <si>
    <t>将28.34 g的Ca ( NO3 ) 2·4H2O和24.00 g的Al ( NO3 ) 3·9H2O溶于200 mL的去离子水(溶液A )中。将17.6 g的NaOH溶于200 mL去离子水中，得到溶液B。然后将两种溶液( A和B)以3000 rpm的转速倒入磨机中，混合时间为1 min。反应结束后收集产物，并用去离子水和无水乙醇多次洗涤。然后收集样品，在40℃烘箱中干燥12小时。</t>
  </si>
  <si>
    <t>CaAl - LDH的标准图谱( JPCDS：54 - 0849)</t>
  </si>
  <si>
    <t>OH -离子触发了Cd2 +、Al3 + (或Al ( OH ) 4 - )、OH -和CO32 -之间的共沉淀反应，形成了CdAl - LDH。同时，Cd Al - LDH也可以通过同构置换的方式产生，这是由于Cd2 +取代了Ca Al - LDH层板中的Ca2 +</t>
  </si>
  <si>
    <t>0~28d</t>
  </si>
  <si>
    <t>有效态Cd(Ⅱ)</t>
  </si>
  <si>
    <t>28d</t>
  </si>
  <si>
    <t>10ha</t>
  </si>
  <si>
    <t>Sami S. Alotaibi，2024</t>
  </si>
  <si>
    <t>LDH-MZ（LDH沸石的微米粒径）</t>
  </si>
  <si>
    <t>将采集的沉积物用去离子水( DI )洗涤去除杂质，室温下风干48 h，粉碎，过筛至&lt; 0.1 mm粒径，筛分后的沸石样品保存在密闭的丙烯酸容器中，并标记为NZ。将0.01 M Al ( NO3 ) 3和0.02 M Mg ( NO3 ) 2混合在100 m L去离子水中，然后按3：7的比例加入NZ和LDH / NZ。使用1 M NaOH和0.5 M Na2CO3溶液调节溶液pH至11。将溶液转移到热板上，在80℃下充分混合4 h，直至得到均一的混合物。之后，将溶液从热板上取出，用华特曼滤纸42过滤。从滤纸上收集固体物质，用去离子水洗涤3次以除去杂质。收集的固体材料在70℃下烘干，研磨成细微颗粒，保存在密闭的丙烯酸容器中，并标记为LDH - Z</t>
  </si>
  <si>
    <t>沸石</t>
  </si>
  <si>
    <t>500~700
400~500
1500~1700
3300~3500</t>
  </si>
  <si>
    <t>NO3 -基团的小振动
Si - O基团
Al-O\Si-O
-OH</t>
  </si>
  <si>
    <t>the Kingdom of Saudi Arabia (KSA)</t>
  </si>
  <si>
    <t>the Mahad Adahab gold mining area</t>
  </si>
  <si>
    <t>40◦51′56.72′′ E</t>
  </si>
  <si>
    <t>23◦29′59.88′′ N</t>
  </si>
  <si>
    <t>LDH-NZ(LDH沸石的纳米颗粒)</t>
  </si>
  <si>
    <t>更光滑的表面和发达的表面孔隙</t>
  </si>
  <si>
    <t>500~700
1500~1700</t>
  </si>
  <si>
    <t>NO3 -基团的小振动
Al-O\Si-O</t>
  </si>
  <si>
    <t>一级和伪二级动力学模型</t>
  </si>
  <si>
    <t>表面吸附又是化学吸附</t>
  </si>
  <si>
    <t>0d</t>
  </si>
  <si>
    <t>23±2</t>
  </si>
  <si>
    <t>38d</t>
  </si>
  <si>
    <t>56d</t>
  </si>
  <si>
    <t>112d</t>
  </si>
  <si>
    <t>Fangming Yu，2023</t>
  </si>
  <si>
    <t>广西省</t>
  </si>
  <si>
    <t>柳州市四定矿区下游</t>
  </si>
  <si>
    <t xml:space="preserve"> 109 ° 52′54″E</t>
  </si>
  <si>
    <t>25 ° 06′34″N</t>
  </si>
  <si>
    <t>Menglan Zhao，2023</t>
  </si>
  <si>
    <t>LDHs</t>
  </si>
  <si>
    <t>明显的层状结构，且尺寸均一</t>
  </si>
  <si>
    <t>11.58、23.48、35.95、38.42</t>
  </si>
  <si>
    <t>768、677
1355
1646
3450</t>
  </si>
  <si>
    <t>M-O、M-O-H的红外吸收
层间阴离子NO - 3的振动
层间水分子的- OH振动
水分子中O - H键的伸缩振动和氢氧化物中- OH的氢键作用</t>
  </si>
  <si>
    <t>5~420</t>
  </si>
  <si>
    <t>40~400</t>
  </si>
  <si>
    <t>Cu、Pb：Freundlich
Zn、Cd：Langmuir</t>
  </si>
  <si>
    <t>Cu、Pb：非均相过程，通过吸附在吸附剂位点上的多层离子发生
Zn、Cd：有限数量的吸附位点，所有位点具有相同的结合力，且每个位点的吸附是独立的，表面吸附</t>
  </si>
  <si>
    <t>LDH-DTC60</t>
  </si>
  <si>
    <t>二硫代氨基甲酸盐(DTC)</t>
  </si>
  <si>
    <t>仍然表现出层状结构，这是因为小分子量的DTC60不能包裹在LDHs层外</t>
  </si>
  <si>
    <t>11.58、23.48、35.95、38.42、60.63、62.02</t>
  </si>
  <si>
    <t>LDHs的( 003 )、( 006 )、( 009 )、( 015 )、( 110 )和( 113 )</t>
  </si>
  <si>
    <t>3316、1510、1385和1228
2965、1093</t>
  </si>
  <si>
    <t>DTC官能团的N-H、N-C=S、C-N和C=S振动的特征谱带
仲酰胺基团的C - H伸缩</t>
  </si>
  <si>
    <t>LDH-DTC600</t>
  </si>
  <si>
    <t>DTC链包覆在LDHs层表面，表面更光滑，典型的层状形貌消失</t>
  </si>
  <si>
    <t>LDH-DTC1800</t>
  </si>
  <si>
    <t>被包裹的越来越紧密，表面层也越来越致密</t>
  </si>
  <si>
    <t>LDH-DTC10000</t>
  </si>
  <si>
    <t>表面出现了明显的褶皱，这是由于DTC过长导致更多的团聚物堆积。</t>
  </si>
  <si>
    <t>Tong Lin，2024</t>
  </si>
  <si>
    <t>MgFe-CO3-LDHs</t>
  </si>
  <si>
    <t>分步成核法</t>
  </si>
  <si>
    <t>A中含有9.23 g的Mg ( NO3 ) 2 · 6H2O和4.85 g的Fe ( NO3 ) 3 · 9H2O，均匀分散在160 mL的DI中。溶液B由1.92 g NaOH和5.08 g Na2CO3均匀分散在160 mL DI中组成。然后将溶液A和溶液B迅速倒入胶体磨中，转子转速为4000 r / min，混合2 min。反应2 min后，得到浆料，用DI洗涤数次。随后，获得这些样品，并在70℃烘箱中干燥过夜。</t>
  </si>
  <si>
    <t>0.229（015）</t>
  </si>
  <si>
    <t>片层形貌，粒径约为100 nm</t>
  </si>
  <si>
    <t>11.7 、23.5、34.6、60.5、62</t>
  </si>
  <si>
    <t xml:space="preserve"> MgFe-LDH(JPCDS NO.14-0365)：(003)、(006)、(012)、(110)和(113)</t>
  </si>
  <si>
    <t>CO32 ·的伸缩振动</t>
  </si>
  <si>
    <t>0~1800</t>
  </si>
  <si>
    <t>AsO43+</t>
  </si>
  <si>
    <t>AsO43-</t>
  </si>
  <si>
    <t>表面吸附</t>
  </si>
  <si>
    <t>Cd2+</t>
  </si>
  <si>
    <t>Cd CO3表面沉淀</t>
  </si>
  <si>
    <t>Pb3(CO3)2(OH)2</t>
  </si>
  <si>
    <t>10~2000</t>
  </si>
  <si>
    <t>Langmuir</t>
  </si>
  <si>
    <t>株洲市</t>
  </si>
  <si>
    <t>农业土壤</t>
  </si>
  <si>
    <t>3d</t>
  </si>
  <si>
    <t>80 %田间持水量</t>
  </si>
  <si>
    <t>有效态As</t>
  </si>
  <si>
    <t>2.17（有效态）</t>
  </si>
  <si>
    <t>5.9（有效态）</t>
  </si>
  <si>
    <t>6d</t>
  </si>
  <si>
    <t>MgFe-NO3-LDHs</t>
  </si>
  <si>
    <t>离子交换法</t>
  </si>
  <si>
    <t>在一个典型的合成步骤中，500 mg的MgFe - CO3粉末通过磁力搅拌均匀地分散在45 mL甲醇中6 h，而溶解在5 mL甲醇中的HNO3则逐滴加入悬浮液中反应6 h。整个阴离子交换过程在N2气氛下进行。</t>
  </si>
  <si>
    <t>0.197（018）</t>
  </si>
  <si>
    <t>9.8、19.7</t>
  </si>
  <si>
    <t>（003）、（006）</t>
  </si>
  <si>
    <t>NO3-的伸缩振动</t>
  </si>
  <si>
    <t>CdCO3、Cd(OH)2表面沉淀</t>
  </si>
  <si>
    <t>1.96（有效态）</t>
  </si>
  <si>
    <t>Yulin Xiang，2019</t>
  </si>
  <si>
    <t>磁性Fe3O4\MgAl-LDHs</t>
  </si>
  <si>
    <t>首先，根据之前的报告合成了Fe3O4纳米粒子。将FeCl3·6H2O(2.0g)利FeC12·4H20(0.84 g)溶解在20 mL乙二醇溶剂中。在磁力搅拌下，加入6mL NH3·H20(80wt%)和3.0gNaOH。然后将混合物密封在50ml内衬聚四氟乙烯的不锈钢高压釜中，在90”C下加热10小时。冷却后，用去离子水洗涤黑色粉末数次，并在55+5℃下干燥。其次，采用共沉淀法制备了磁性Fe3O4/MgA1-LDH。将9.38 gA1(NO3)3·9H20和12.80 g Mg(NO3)2·6H20用150 m去离子水稀释，然后将制备的Fe304(1.93g)加入混合物中。将混合溶液在60℃水浴中用磁力搅拌器快速搅拌10秒。然后，在磁力搅拌下将混合盐溶液缓慢加入200m含Na2C03(5.29 g)和Na0H(6.75 g)的碱性溶液中40分钟。在搅拌下将悬浮液在80°C下陈化10小时。过滤收集沉淀物，然后用脱碳水直至乳化液呈中性。将样品在60°c(油浴)下干燥数小洗涤，然后研磨和筛分(200目)。获得了磁性Fe304/MgA1 LDH样品</t>
  </si>
  <si>
    <t>Fe304</t>
  </si>
  <si>
    <t>MgAl-LDH（JCPDS22-700）：(003), (006), (012), (015), (018), (110)，(113)</t>
  </si>
  <si>
    <t>3447 
2358
578</t>
  </si>
  <si>
    <t>O-H从层表面和/或层间水分子的伸缩带
二氧化碳的不对称伸缩振动
Fe3O4的Fe - O伸缩振动</t>
  </si>
  <si>
    <t>陕西省</t>
  </si>
  <si>
    <t>榆林市神府矿区</t>
  </si>
  <si>
    <t>0~50cm分三层取样（表面、25cm以内、50cm以内）</t>
  </si>
  <si>
    <t>HA改性-磁性Fe3O4\MgAl-LDHs</t>
  </si>
  <si>
    <t>共沉淀吸附制备法</t>
  </si>
  <si>
    <t>通过吸附制备腐殖酸改性的磁性Fe304/MgAl-LDH，制备了150cm3的腐殖酸溶液(150 mgdm-3)，并用Na0H浴派将pH值调节至7-8。将100 mgFe3O4/MgA1-LDH浸入腐殖酸溶液中,然后搅拌8小时。然后，用0.45μm膜过滤器过滤混合物。将剩余的固体冷冻干燥、研磨，然后过筛(200目)。获得HA-LDH，并在黑暗和凉爽条件下储存。</t>
  </si>
  <si>
    <t>Fe304、腐殖酸HA</t>
  </si>
  <si>
    <t>1560、1378、783、679
3442
1608
1738
2925</t>
  </si>
  <si>
    <t>制备的MgAl-LDH中得到了CO32-的振动
腐殖酸的N - H伸缩振动
苯骨架的伸缩
COO -中C=O的伸缩
CH2中脂肪族C - H的不对称伸缩</t>
  </si>
  <si>
    <t>Shifeng Zhao，2021</t>
  </si>
  <si>
    <t>Mg2Al-LDH</t>
  </si>
  <si>
    <t>典型的板状层状形貌，具有良好的晶体结构，且LDHs层间紧密堆叠</t>
  </si>
  <si>
    <t>11.8、23.6、34.9、46.7、62.1</t>
  </si>
  <si>
    <t>典型的( 003 )、( 006 )、( 018 )、( 012 )、（013）</t>
  </si>
  <si>
    <t>建筑工地</t>
  </si>
  <si>
    <t>8.1±0.2</t>
  </si>
  <si>
    <t>0~720</t>
  </si>
  <si>
    <t>表面扩散和最终吸附平衡</t>
  </si>
  <si>
    <t>5~300</t>
  </si>
  <si>
    <t>Mg2Al-LDH-WT</t>
  </si>
  <si>
    <t>载体辅助共沉淀法</t>
  </si>
  <si>
    <t>将Mg / Al比为2：1的Mg ( NO3 ) 2⋅6H2O ( 0.01 mol )和Al ( NO3 ) 3⋅9H2O ( 0.005 mol )加入到300 m L去离子水中，将1 g WT浸泡在该混合盐溶液中4 h。在剧烈搅拌下，将NaOH溶液( 0.5 mol / L )逐滴加入到混合液中，调节pH至10。所得样品陈化24 h，70℃干燥过夜</t>
  </si>
  <si>
    <t>废旧纺织品WT</t>
  </si>
  <si>
    <t>表面明显粗糙。大量尺寸均一的纳米片相互交织在WT表面</t>
  </si>
  <si>
    <t>表面扩散、颗粒内扩散和最终吸附平衡</t>
  </si>
  <si>
    <t>SO42 -</t>
  </si>
  <si>
    <t>HPO42 -</t>
  </si>
  <si>
    <t>HCO3-</t>
  </si>
  <si>
    <t>Cl -</t>
  </si>
  <si>
    <t>F -</t>
  </si>
  <si>
    <t>Mg3Al-LDH-WT</t>
  </si>
  <si>
    <t>Mg4Al-LDH-WT</t>
  </si>
  <si>
    <t>Xiaofeng Huang，2024</t>
  </si>
  <si>
    <t>弱结晶度Ca1Fe-LDH</t>
  </si>
  <si>
    <t>16mMCaCl2和4mMFeCl3⋅6H2O的水溶液40.0mL滴加至10.0 m L水溶液中。同时，逐滴加入1 mol L-1NaOH溶液，在室温磁力搅拌下维持体系p H为12，反应24 h ( h )。离心收集沉淀的，用去离子水洗涤并干燥。</t>
  </si>
  <si>
    <t>无定型结构</t>
  </si>
  <si>
    <t>正交形状</t>
  </si>
  <si>
    <t>非晶态，未形成Ca Fe - LDH晶相
25 ~ 30</t>
  </si>
  <si>
    <t>CaCO3杂相</t>
  </si>
  <si>
    <t>3424、1647
1410
1380
878</t>
  </si>
  <si>
    <t>层板中羟基和水分子的伸缩振动
Cl -物种单齿配位的不对称振动
CO32 -的反对称伸缩振动
M1 - OH或M1 - O基团( M1 = Fe)的晶格弯曲振动</t>
  </si>
  <si>
    <t>Cd(II)</t>
  </si>
  <si>
    <t>20~200</t>
  </si>
  <si>
    <t>弱结晶度Ca2Fe-LDH</t>
  </si>
  <si>
    <t>针状</t>
  </si>
  <si>
    <t>衡阳市稻田</t>
  </si>
  <si>
    <t>弱结晶度Ca3Fe-LDH</t>
  </si>
  <si>
    <t>球形</t>
  </si>
  <si>
    <t>弱结晶度Ca4Fe-LDH</t>
  </si>
  <si>
    <t>无定形结构，较差的结晶结构，并伴随有少量有序的晶格条纹</t>
  </si>
  <si>
    <t>六边形</t>
  </si>
  <si>
    <t>较差的晶态结构
25 ~ 30</t>
  </si>
  <si>
    <t>CaCO3杂相
（003）、（010）</t>
  </si>
  <si>
    <t>强结晶度Ca4Fe-LDH</t>
  </si>
  <si>
    <t>Yuqi Jing，2024</t>
  </si>
  <si>
    <t>CaFe-LDH</t>
  </si>
  <si>
    <t xml:space="preserve">分别称取0.9446 g Ca ( NO3 ) 2 · 4H2O、0.8080 g Fe ( NO3 ) 3 · 9H2O和0.5120 g NaOH，按Ca：Fe = 2：1的比例溶解于80 mL溶液中。混合水溶液磁力搅拌30 min，保持p H在11.8 ~ 12.2之间。然后将充分混合的悬浮液转移到聚四氟乙烯容器中，并在120℃下处理48小时。反应完成后，混合物被冷却到室温，收集，洗涤，并用去离子水离心。所得浆料在50℃烘箱中干燥，研磨，并标记为CaFe - LDH </t>
  </si>
  <si>
    <t>水滑石的六方层状结构特征。然而，表面显得更加粗糙，由堆叠的小碎片和附着的小颗粒组成</t>
  </si>
  <si>
    <t>11.5，23.1，29.8
19.7, 25.5, 34.3</t>
  </si>
  <si>
    <t xml:space="preserve">LDH( PDF48-0065)典型( 001 )，( 002 )和( 110 )
Ca(OH)2
</t>
  </si>
  <si>
    <t>3400~3700
3631
3045
~1620
~1345
~1053</t>
  </si>
  <si>
    <t>与Ca+相关的晶格水和-OH基的伸缩振动
LDH的-OH基伸缩振动
水
层间水分子弯曲振动
M-NO³-的对称O-N-O伸缩振动
Fe-OH</t>
  </si>
  <si>
    <t>四水硝酸镉配制成特定镉浓度的溶液，然后按1 g ~ 1 m L的固液比与干净土样混合。将混合物充分搅拌，风干，研磨，密封保存。另外，用0.1 M HNO3和0.1 M HCl调节p H，制备不同p H的土壤样品。</t>
  </si>
  <si>
    <t>Huifeng Wang，2023</t>
  </si>
  <si>
    <t>CaAl-LDH（Ca4Al2(OH)12Cl2⋅4H2O）</t>
  </si>
  <si>
    <t>购自江苏隆昌化工股份有限公司</t>
  </si>
  <si>
    <t>层状结构</t>
  </si>
  <si>
    <t xml:space="preserve">
29.5, 39.5, 47.6, 56.7
35.9, 48.5
20.9, 24.9, 27.0, 32.7, 43.8,49.9</t>
  </si>
  <si>
    <t>No. PDF#19–0201; (CaO)3(Al2O3)(CaCl2)(H2O)10)：(006), (012), (0012), (018), (110), (1112)
碳酸钙
方解石
球霰石</t>
  </si>
  <si>
    <t>3456 
1626
2916
1467
857、1455
792
1455
1420
875</t>
  </si>
  <si>
    <t>水的-OH伸缩振动
C=O伸缩振动
-CH3的C-H伸缩振动
-CH2的C-H弯曲振动
碳酸根阴离子的伸缩振动和反对称伸缩振动
M-O或M-OH的晶格振动，其中M为Ca或Al
无定形碳酸钙
方解石
球霰石</t>
  </si>
  <si>
    <t>苏州市</t>
  </si>
  <si>
    <t>121°6′24.19′E</t>
  </si>
  <si>
    <t>31°20′55.11′N</t>
  </si>
  <si>
    <t>0~42d</t>
  </si>
  <si>
    <t>42d</t>
  </si>
  <si>
    <t>江苏省苏州市</t>
  </si>
  <si>
    <t>2m*3m*36</t>
  </si>
  <si>
    <t>Ruisen Jing，2024</t>
  </si>
  <si>
    <t>HMS-MgAl-LDH</t>
  </si>
  <si>
    <t>由微米尺度的微球组成，表现出单分散的特性，内腔中空，微球由几十个松散压实的不规则六边形薄片组成，壳层由许多纳米晶体组成</t>
  </si>
  <si>
    <t>( 003 )、( 006 )、( 009 )、( 018 )、( 012 )和( 110 )衍射峰均属于LDHs晶体结构</t>
  </si>
  <si>
    <t>淄博市</t>
  </si>
  <si>
    <t>6.4±0.3</t>
  </si>
  <si>
    <t>25.12±2.32</t>
  </si>
  <si>
    <t>14.03±1.27</t>
  </si>
  <si>
    <t>As (Ⅴ)</t>
  </si>
  <si>
    <t>13.44±1.78</t>
  </si>
  <si>
    <t>22.57±1.96</t>
  </si>
  <si>
    <t>实验过程中将10 g土壤和250 m L重金属悬浮液混合进行</t>
  </si>
  <si>
    <t>6.5~6.7</t>
  </si>
  <si>
    <t>Cu(Ⅱ)/Pb(Ⅱ):Langmuir - Freundlich
As(V)/Cr(VI):General Langmuir</t>
  </si>
  <si>
    <t>Cu(Ⅱ)/Pb(Ⅱ):离子与吸附剂之间的相互作用而进行的多层吸附
As(V)/Cr(VI):主要发生在可利用位点</t>
  </si>
  <si>
    <t>5~240</t>
  </si>
  <si>
    <t>Ruisen Jing， 2024</t>
  </si>
  <si>
    <t>micro MgAl-LDHs</t>
  </si>
  <si>
    <t>尿素辅助的共沉淀法</t>
  </si>
  <si>
    <t>将Mg（NO3）2·6H2O、Al（NO3）3·9H2O和尿素分别溶解在浓度分别为0.08、0.04和0.48mol/L的去离子水中。将混合物在配备有回流冷凝器的三颈圆底烧瓶中在100°C下连续搅拌24小时。</t>
  </si>
  <si>
    <t>均匀的微米级片层结构，且Micro - LDH片层直径大于3 μ m。</t>
  </si>
  <si>
    <t>nano MgAl-LDHs</t>
  </si>
  <si>
    <t>将所需量的Mg（NO3）2·6H2O、Al（NO3）3·9H2O和尿素分别溶解在浓度分别为0.02、0.01和0.1 mol/L的去离子水中。然后，将混合物转移到衬有特氟纶的不锈钢高压釜中，在150°C下加热24小时。</t>
  </si>
  <si>
    <t>ultra MgAl-LDHs</t>
  </si>
  <si>
    <t>将10 mmol Mg（NO3）2·6H2O、5 mmol Al（NO3）3·9H2O和15 mmol尿素溶解在50 mL蒸馏水中，形成混合透明溶液，将溶液转移到容量为60 mL的聚四氟乙烯内衬高压釜中，密封并在100°C下保持24小时。</t>
  </si>
  <si>
    <t>大量超薄LDHs片层</t>
  </si>
  <si>
    <t>Xiaoxian Zhang，2023</t>
  </si>
  <si>
    <t>MgAlCl-LDH-doped CMB-1 ( MHs )：掺杂鸡粪生物炭</t>
  </si>
  <si>
    <t>在1000 m L三口烧瓶中溶解0.15 mol Mg Cl2和0.075 mol Al Cl3，在剧烈搅拌下加入5 g鸡粪生物炭，反应45 min。3个试验的初始p H均为1.2。然后用2 mol / L的NaOH将pH值调至9.5左右，然后将混合物在80℃下老化18 h。上述过程在N2气氛下进行。冷却至室温后，用去离子水洗涤沉淀并离心8次，所得复合材料在80℃下干燥12 h。</t>
  </si>
  <si>
    <t>鸡粪生物炭</t>
  </si>
  <si>
    <t>Mg14.83、Al5.77、CMB18.8</t>
  </si>
  <si>
    <t>MgAlCl-LDH-doped CMB-2 ( MHs )：掺杂鸡粪生物炭</t>
  </si>
  <si>
    <t>在1000 m L三口烧瓶中溶解0.15 mol Mg Cl2和0.075 mol Al Cl3，在剧烈搅拌下加入15 g鸡粪生物炭，反应45 min。3个试验的初始p H均为1.2。然后用2 mol / L的NaOH将pH值调至9.5左右，然后将混合物在80℃下老化18 h。上述过程在N2气氛下进行。冷却至室温后，用去离子水洗涤沉淀并离心8次，所得复合材料在80℃下干燥12 h。</t>
  </si>
  <si>
    <t xml:space="preserve">Mg9.87、Al4.56、CMB34.0 </t>
  </si>
  <si>
    <t>1627
1373
1040
400~800</t>
  </si>
  <si>
    <t>LDH中的水分子
LDH层间CO32 -和CMB中残留的碳酸盐的伸缩振动
CO32 -和脂肪族C - O的振动
LDH层中M - O ( H )的晶格振动</t>
  </si>
  <si>
    <t>白银市冶炼厂</t>
  </si>
  <si>
    <t>104 ° 130E</t>
  </si>
  <si>
    <t>36 ° 330N</t>
  </si>
  <si>
    <t>25d</t>
  </si>
  <si>
    <t>水提取态Pb</t>
  </si>
  <si>
    <t>MgAlCl-LDH-doped CMB-3 ( MHs )：掺杂鸡粪生物炭</t>
  </si>
  <si>
    <t>在1000 m L三口烧瓶中溶解0.15 mol Mg Cl2和0.075 mol Al Cl3，在剧烈搅拌下加入30 g鸡粪生物炭，反应45 min。3个试验的初始p H均为1.2。然后用2 mol / L的NaOH将pH值调至9.5左右，然后将混合物在80℃下老化18 h。上述过程在N2气氛下进行。冷却至室温后，用去离子水洗涤沉淀并离心8次，所得复合材料在80℃下干燥12 h。</t>
  </si>
  <si>
    <t>Mg8.93、Al4.09、CMB57.6</t>
  </si>
  <si>
    <t>MgAlCl-LDH</t>
  </si>
  <si>
    <t>1627、1484、1087、447</t>
  </si>
  <si>
    <t>LDH中的水分子</t>
  </si>
  <si>
    <t>Thi Bich Hanh Nguyen， 2024</t>
  </si>
  <si>
    <t>MgAl-LDH-沸石</t>
  </si>
  <si>
    <t>首先，将各组分在400 ml玻璃烧杯中充分混合，配制成含0.01 mol Al ( NO3 ) 3和0.02 mol Mg ( NO3 ) 2 (简称为Mg / Al LDH溶液)的溶液。随后，加入一定量的沸石，得到30 % Mg / Al LDH和70 %沸石的混合物，然后剧烈搅拌。缓慢加入1 M Na OH和0.5 M Na2CO3溶液至p H为11。将混合物在80 ° C下连续搅拌4 h。离心将固相从液体中分离出来，并用双蒸水洗涤5次。最后，将固体在100 ° C下干燥24 h，形成Mg / Al LDH -沸石复合材料。</t>
  </si>
  <si>
    <t>结晶和高度多孔结构</t>
  </si>
  <si>
    <t>Vietnam</t>
  </si>
  <si>
    <t>Thai Nguyen province</t>
  </si>
  <si>
    <t>Lang Hich - Dong Hy district,</t>
  </si>
  <si>
    <t>105°41'12″E</t>
  </si>
  <si>
    <t>21°38'50″N</t>
  </si>
  <si>
    <t>铅锌矿周围，垃圾场附近和下坡的田地和花园的土壤，采样深度：0-20cm</t>
  </si>
  <si>
    <t>6.33±0.52</t>
  </si>
  <si>
    <t>139.79±132</t>
  </si>
  <si>
    <t>5.64±0.05</t>
  </si>
  <si>
    <t>39.81±2.01</t>
  </si>
  <si>
    <t>Tessier连续提取法</t>
  </si>
  <si>
    <t>可交换态Pb</t>
  </si>
  <si>
    <t>可交换态Cd</t>
  </si>
  <si>
    <t>可交换态Cr</t>
  </si>
  <si>
    <t>1.518(可交换态)</t>
  </si>
  <si>
    <t>30（可交换态）</t>
  </si>
  <si>
    <t>表面络合、层间离子交换、沉淀和共沉淀</t>
  </si>
  <si>
    <t>Ha Thuong - Dai Tu district</t>
  </si>
  <si>
    <t>105°48'11″E</t>
  </si>
  <si>
    <t>21°35'39″N</t>
  </si>
  <si>
    <t>锡矿附近，农田以前用于种植水稻，但现在由于严重污染而被废弃。采样深度：0-20cm。采样周期：</t>
  </si>
  <si>
    <t>6.26±0.37</t>
  </si>
  <si>
    <t>583.97±1,56</t>
  </si>
  <si>
    <t>2.3±0.13</t>
  </si>
  <si>
    <t>640.84±4.27</t>
  </si>
  <si>
    <t>吸附、表面络合、层间离子交换（与金属含氧阴离子）</t>
  </si>
  <si>
    <t>102d</t>
  </si>
  <si>
    <t>室外</t>
  </si>
  <si>
    <t>1.202（可交换态）</t>
  </si>
  <si>
    <t>28.981（可交换态）</t>
  </si>
  <si>
    <t>Peng Yu，2022</t>
  </si>
  <si>
    <t>LDH-102A</t>
  </si>
  <si>
    <t>购自山东万信纳材料科技有限公司</t>
  </si>
  <si>
    <t>由镁铝层状双氢氧化物( Mg Al LDH )和Ca ( OH ) 2组成</t>
  </si>
  <si>
    <t>益阳市赫山区</t>
  </si>
  <si>
    <t>112.5361 ° E</t>
  </si>
  <si>
    <t>28.4757 ° N</t>
  </si>
  <si>
    <t>湖南省益阳市</t>
  </si>
  <si>
    <t>Peng Yu， 2022</t>
  </si>
  <si>
    <t>LDH-112A</t>
  </si>
  <si>
    <t>钙铝层状双氢氧化物( Ca Al LDH )</t>
  </si>
  <si>
    <t>Juntong Su，2024</t>
  </si>
  <si>
    <t>尺寸均一、表面光滑、边缘干净且尖锐</t>
  </si>
  <si>
    <t>3443
1630
400 ~ 800</t>
  </si>
  <si>
    <t>-OH
层间水分子的伸缩振动
M - O的振动</t>
  </si>
  <si>
    <t>6.6±0.4</t>
  </si>
  <si>
    <t>25.23±2.18</t>
  </si>
  <si>
    <t>14.24±1.21</t>
  </si>
  <si>
    <t>污染处理</t>
  </si>
  <si>
    <t>60~600</t>
  </si>
  <si>
    <t>单分子层吸附，吸附位点是制约吸附的主要因素</t>
  </si>
  <si>
    <t>表面吸附、颗粒内扩散和吸附平衡</t>
  </si>
  <si>
    <t>LDHs-TMT0.2</t>
  </si>
  <si>
    <t>首先将Mg(NO3)2⋅6H2O(4mmoL)和Al (NO3) 2⋅9H2O (2mmoL)溶于100 m L去离子水中。然后向溶液中加入不同量的TMT ( TMT与Al的摩尔比分别为0.2)。然后逐滴加入NaOH溶液(1moL/L)在搅拌下加入上一步溶液，直到溶液的p H为9。将得到的悬浮液陈化24 h，然后将沉淀离心，用去离子水洗涤三次，在80℃下干燥</t>
  </si>
  <si>
    <t>片层尺寸变小，片层结构边缘变得粗糙</t>
  </si>
  <si>
    <t>11.5、22.6、34.6、60.6、61.7</t>
  </si>
  <si>
    <t>LDH：( 003 )、( 006 )、( 012 )、( 110 )、( 113 )</t>
  </si>
  <si>
    <t>3443
1630
400 ~ 800
1206、858
1459、1503、1561</t>
  </si>
  <si>
    <t>-OH
层间水分子的伸缩振动
M - O的振动
TMT所具有的C-S键
TMT中C=N键</t>
  </si>
  <si>
    <t>TMT分子优先与LDHs层间的Cu (Ⅱ) / Pb (Ⅱ)结合，导致层间距增大。随着Cu (Ⅱ) / Pb (Ⅱ)浓度的增加，TMT分子上的所有吸附位点被占据，Cu (Ⅱ) / Pb (Ⅱ)进一步夺取LDHs结构上的羟基，导致相应的氢氧化物沉淀的形成和部分LDHs结构的破坏。</t>
  </si>
  <si>
    <t>LDHs-TMT0.4</t>
  </si>
  <si>
    <t>首先将Mg(NO3)2⋅6H2O(4mmoL)和Al (NO3) 2⋅9H2O (2mmoL)溶于100 m L去离子水中。然后向溶液中加入不同量的TMT ( TMT与Al的摩尔比分别为0.4)。然后逐滴加入NaOH溶液(1moL/L)在搅拌下加入上一步溶液，直到溶液的p H为9。将得到的悬浮液陈化24 h，然后将沉淀离心，用去离子水洗涤三次，在80℃下干燥</t>
  </si>
  <si>
    <t>LDHs-TMT0.6</t>
  </si>
  <si>
    <t>首先将Mg(NO3)2⋅6H2O(4mmoL)和Al (NO3) 2⋅9H2O (2mmoL)溶于100 m L去离子水中。然后向溶液中加入不同量的TMT ( TMT与Al的摩尔比分别为0.6)。然后逐滴加入NaOH溶液(1moL/L)在搅拌下加入上一步溶液，直到溶液的p H为9。将得到的悬浮液陈化24 h，然后将沉淀离心，用去离子水洗涤三次，在80℃下干燥</t>
  </si>
  <si>
    <t>LDHs-TMT0.8</t>
  </si>
  <si>
    <t>首先将Mg(NO3)2⋅6H2O(4mmoL)和Al (NO3) 2⋅9H2O (2mmoL)溶于100 m L去离子水中。然后向溶液中加入不同量的TMT ( TMT与Al的摩尔比分别为0.8)。然后逐滴加入NaOH溶液(1moL/L)在搅拌下加入上一步溶液，直到溶液的p H为9。将得到的悬浮液陈化24 h，然后将沉淀离心，用去离子水洗涤三次，在80℃下干燥</t>
  </si>
  <si>
    <t>LDHs-TMT1.0</t>
  </si>
  <si>
    <t>首先将Mg(NO3)2⋅6H2O(4mmoL)和Al (NO3) 2⋅9H2O (2mmoL)溶于100 m L去离子水中。然后向溶液中加入不同量的TMT ( TMT与Al的摩尔比分别为1)。然后逐滴加入NaOH溶液(1moL/L)在搅拌下加入上一步溶液，直到溶液的p H为9。将得到的悬浮液陈化24 h，然后将沉淀离心，用去离子水洗涤三次，在80℃下干燥</t>
  </si>
  <si>
    <t>聚集的块状结构</t>
  </si>
  <si>
    <t>Qiuling Yin， 2022</t>
  </si>
  <si>
    <t>MgAl-LDH @PBC</t>
  </si>
  <si>
    <t>水热共沉淀法</t>
  </si>
  <si>
    <t>用KH2PO4溶液浸渍的干燥生物质在N2真空管式炉中700℃热解2 h制备原始生物炭(PBC)。然后，利用Mg - Al LDH与PBC之间的水热反应，将20 g的PBC与250 mL的( 0.08M AlCl3·6H2O和0.24 M MgCl2·6H2O)溶液以1：12的固液比混合，然后在25℃下振荡24 h，得到PBC @ LDH稳定剂。用氢氧化钠( Na OH , 1 M)将悬浮液调至pH10。随后将混合液置于90℃的水浴锅中孵育，直至悬浮液水分蒸发。然后将混合物过滤，用超纯水洗涤三次，并在60℃下真空干燥。材料用研钵研磨，过100目筛。</t>
  </si>
  <si>
    <t>抚州市某UMT工地附近</t>
  </si>
  <si>
    <t>50 g营养土(购自中国黑龙江,无任何重金属污染)作为生长介质，与实验UMT土壤均匀混合</t>
  </si>
  <si>
    <t>表面官能团与Pb的固定、还原和共沉淀</t>
  </si>
  <si>
    <t>Xiaoyue Zhang，2024</t>
  </si>
  <si>
    <t>CAC-LDH-1/3</t>
  </si>
  <si>
    <t>采用常压干燥法制备了海藻酸钙干凝胶( CAX )。将20 m L海藻酸钠溶液( 5wt % )和20 m L CaCl2溶液( 0.2wt %、1wt %和5wt %)超声混合时间为30 min。然后将混合物在60℃下干燥6小时。根据CaCl2溶液的质量百分比浓度( X )，将得到的干凝胶命名为CAX - X。将CAX - X在N2气氛中以10℃/ min的升温速率在700℃下煅烧2 h，冷却至室温得到多孔碳。得到的多孔碳材料命名为CAC - X，其中X代表CaCl2溶液的浓度。选择CAC - 1作为载体材料，采用共沉淀法制备CACLDH - X。将1 g CAC - 1、不同质量的Mg ( NO3 ) 2⋅6 H2O和Al ( NO3 ) 3⋅9 H2O混合于50 m L去离子水中。剧烈搅拌下，用5 % Na2CO3调节p H至10。将混合物转移到烘箱中，在80℃下晶化10 h。产物经过滤分离，干燥后得到CAC - LDH - X，其中X为Al ( NO3 ) 3┐9H2O与CAC - 1的质量比。实验中X值分别为1：3、1：1和3：1，对应的样品分别命名为CAC - LDH - 1 / 3、CAC - LDH - 1和CAC - LDH - 3。</t>
  </si>
  <si>
    <t>疏松的微米孔三维结构</t>
  </si>
  <si>
    <t>平衡</t>
  </si>
  <si>
    <t>CAC-LDH-1</t>
  </si>
  <si>
    <t>含有大量100 nm左右的孔洞</t>
  </si>
  <si>
    <t>11.7,23.4,35.2,39.4,47.90,60.80,60.98</t>
  </si>
  <si>
    <t>MgAl-LDHs的( 003 )、( 006 )、( 009 )、( 015 )、( 0012)、( 110 )和( 0015 )</t>
  </si>
  <si>
    <t>LDHs层板中M-O( Mg-O/ Al-O)的晶格振动
CO32 -在LDHs层间的伸缩振动</t>
  </si>
  <si>
    <t>表面扩散、介孔和微孔扩散和平衡阶段</t>
  </si>
  <si>
    <t>吸附；表面络合</t>
  </si>
  <si>
    <t>与C - O的表面络合、Cd (Ⅱ)的类质同象置换反应；同构替代Mg</t>
  </si>
  <si>
    <t>Sips模型</t>
  </si>
  <si>
    <t>可能涉及多层吸附</t>
  </si>
  <si>
    <t>50~100</t>
  </si>
  <si>
    <t>Langmuir，Freundlich和Sips模型（R2最高）</t>
  </si>
  <si>
    <t>单层吸附在As ( V )吸附过程中占主导地位，而多层吸附影响吸附过程</t>
  </si>
  <si>
    <t>K +</t>
  </si>
  <si>
    <t>泰安市山东农业大学试验田</t>
  </si>
  <si>
    <t>分别加入一定量的Cd ( NO3 ) 2⋅4H2O和Na2HAsO4⋅7H2O，使其分别达到20.0和20.0 mg / kg</t>
  </si>
  <si>
    <t>BCR</t>
  </si>
  <si>
    <t>CAC-LDH-3</t>
  </si>
  <si>
    <t>较为紧密的微米孔三维结构</t>
  </si>
  <si>
    <t>Lixun Zhang，2023</t>
  </si>
  <si>
    <t>MgFe-LDH @生物炭复合材料</t>
  </si>
  <si>
    <t>将制备好的20克预活化生物炭加入到100 mL沸水瓶中，用磁力搅拌器搅拌。用HCl溶液将固/水混合液调节至一定的p H值，并用N2气体持续吹扫一段时间。然后，使用KOH溶液将混合物的pH调节至10后，将1 mol / L的Mg2 + / Fe3 +比例为5：1的混合金属氯化物( 500 mL )和1.5 mol / L的KOH溶液同时加入到固体/水混合物中，同时保持pH在10左右，并在70 ° C和N2气氛下剧烈搅拌。搅拌30 min后，将沉淀物在70 ° C下真空陈化24 h。然后，将沉淀物离心并洗涤数次以除去杂质(即,盐类)，并在70 ° C下真空干燥。最后，将复合材料粉碎并过筛至均匀的&lt; 0.45 mm大小</t>
  </si>
  <si>
    <t>33.42±0.74</t>
  </si>
  <si>
    <t>C18.8 H2.68 N0.28 Mg15.51 Fe6.07</t>
  </si>
  <si>
    <t>明显的三维网状结构，表面粗糙多孔</t>
  </si>
  <si>
    <t>（001）、( 003 )、( 006 )和( 009 )</t>
  </si>
  <si>
    <t>3700 ~ 3000
1381
1100~1000</t>
  </si>
  <si>
    <t>O-H伸缩振动
CO32-的伸缩振动
Si-O-Si伸缩振动</t>
  </si>
  <si>
    <t>表面沉淀;同构替代;表面络合</t>
  </si>
  <si>
    <t>表面沉淀</t>
  </si>
  <si>
    <t>同构替代;表面络合</t>
  </si>
  <si>
    <t>未知</t>
  </si>
  <si>
    <t>将原始土壤浸入混合HM溶液中并在室温下风干，以调整活性HMs的含量为20 mg Cu / kg，25 mg Zn / kg，4 mg Ni / kg，8 mg Pb / kg和0.2 mg Cd / kg</t>
  </si>
  <si>
    <t>1.11mg</t>
  </si>
  <si>
    <t>MgFe-Cl-LDH</t>
  </si>
  <si>
    <t>在不添加生物炭的情况下，采用相同的方法合成了单一的LDH纳米颗粒</t>
  </si>
  <si>
    <t>C0.41 H3.29 N0 Mg22.91 Fe10.68</t>
  </si>
  <si>
    <t>片状结构</t>
  </si>
  <si>
    <t>3700 ~ 3000
567、428</t>
  </si>
  <si>
    <t>O - H伸缩振动
M-O和O-M-(M=Mg,Fe)振动</t>
  </si>
  <si>
    <t>MgFe-（CO32-）-LDH</t>
  </si>
  <si>
    <t>在不添加生物炭的情况下，采用相同的方法合成了单一的LDH纳米颗粒，将1.5 mol / L KOH溶液替换为1.5 mol / L KOH和0.25 mol / L K2CO3的混合液</t>
  </si>
  <si>
    <t>C52.39 H1.47 N0.72 Mg0.026 Fe0.007</t>
  </si>
  <si>
    <t>3700 ~ 3000</t>
  </si>
  <si>
    <t>O - H伸缩振动</t>
  </si>
  <si>
    <t>Shuang Xu，2020</t>
  </si>
  <si>
    <t>尿素法</t>
  </si>
  <si>
    <t>将3.09 g Al(NO3)3·9H2O、4.29 g Mg(NO3)2·6H2O、4.90 g尿素溶于50 mL去离子水中。然后，将溶液转移到聚四氟乙烯容器中，并在100℃的烘箱中放置36小时。然后，在9000 rpm下离心5 min分离浆液，用去离子水洗涤，然后在50 ℃的烘箱中干燥。</t>
  </si>
  <si>
    <t xml:space="preserve">六边形片状形貌，尺寸约为2 mm </t>
  </si>
  <si>
    <t>12.11、24.29、35.99</t>
  </si>
  <si>
    <t>3300~3500
1622
1356</t>
  </si>
  <si>
    <t>氢键O-H伸缩振动
H-O-H水分子震动
CO32-中C-O不对称伸缩振动</t>
  </si>
  <si>
    <t>将一定浓度的K2Cr2O4溶液( 10 mL )与土壤样品( 10 g )混合，搅拌至混合物风干至恒重，制备含Cr (Ⅵ)的土壤样品。然后对土壤样品进行测试，以确定负载的Cr (Ⅵ)浓度。除用0.1 M HCl或0.1 M NaOH调节K2Cr2O7溶液的p H外，其余步骤相同，制备不同p H的土样。</t>
  </si>
  <si>
    <t>Cr (Ⅵ)的吸附是通过单层覆盖进行的</t>
  </si>
  <si>
    <t>4.93±0.05</t>
  </si>
  <si>
    <t>Se MgAl-LDH</t>
  </si>
  <si>
    <t>液相剥离法</t>
  </si>
  <si>
    <t>将上述制备的一定量的MgAl-LDH与500ml甲酰胺混合。然后，将混合物超声10分钟，并放置在磁力搅拌器上12小时。之后，对浆料进行固液分离。所得固体用乙醇洗涤，然后在50℃烘箱中干燥</t>
  </si>
  <si>
    <t>片层结构的尺寸没有明显变化，但大多数片层采用了明显的环形形状</t>
  </si>
  <si>
    <t>约25</t>
  </si>
  <si>
    <t>1622 
1560</t>
  </si>
  <si>
    <t>H-O-H水分子震动
CO32-中C-O不对称伸缩振动</t>
  </si>
  <si>
    <t>在(pH&gt;11.5)高碱性条件下合成CaAl - LDH。将Ca(NO3)2·4H2O(3.78g)和Al(NO3)3·9H2O(3.09g)溶于50 m L 0.5 mol/L Na NO3溶液中，用2 mol/L Na OH调节p H至12。将获得的浆料转移到聚四氟乙烯容器中，然后用金属外壳密封，并在100℃的烘箱中放置36小时。冷却至室温后，9000 rpm离心5 min进行固液分离，并用去离子水洗涤数次。然后将固体残留物在烘箱中干燥。</t>
  </si>
  <si>
    <t>六边形片状的标准LDHs，尺寸高达5 mm</t>
  </si>
  <si>
    <t>10.37、20.95、31.77</t>
  </si>
  <si>
    <t>3300~3500
1622</t>
  </si>
  <si>
    <t>氢键O-H伸缩振动
H-O-H水分子震动</t>
  </si>
  <si>
    <t>Se CaAl-LDH</t>
  </si>
  <si>
    <t>将上述制备的一定量的CaAl-LDH与500ml甲酰胺混合。然后，将混合物超声10分钟，并放置在磁力搅拌器上12小时。之后，对浆料进行固液分离。所得固体用乙醇洗涤，然后在50℃烘箱中干燥</t>
  </si>
  <si>
    <t>晶型有明显的不同，但分层后的形貌并没有明显的变化</t>
  </si>
  <si>
    <t>H-O-H水分子震动</t>
  </si>
  <si>
    <t>Hanhan Huang，2022</t>
  </si>
  <si>
    <t>LDH</t>
  </si>
  <si>
    <t>1.4、23.1、29.3、34.4、38.8和55.5</t>
  </si>
  <si>
    <t>Mg Al-LDHs ( JCPDSNo.38-0478 )的( 003 )、( 006 )、( 009 )、( 018 )、( 012 )和( 110 )</t>
  </si>
  <si>
    <t>3473
1643
1357
445</t>
  </si>
  <si>
    <t>表面O-H的伸缩振动
层间水分子
层间NO3-振动
金属氧化物振动</t>
  </si>
  <si>
    <t>25.12 ± 2.32</t>
  </si>
  <si>
    <t>14.03 ± 1.27</t>
  </si>
  <si>
    <t>1 g土壤和25 m L含污染物的溶液混合于150 m L锥形瓶</t>
  </si>
  <si>
    <t>15~750</t>
  </si>
  <si>
    <t>夺取LDHs的羟基，然后破坏LDHs的结构，最终形成Cu(OH)2沉淀</t>
  </si>
  <si>
    <t>0~240</t>
  </si>
  <si>
    <t>夺取LDHs的羟基，然后破坏LDHs的结构，最终形成Pb(OH)2沉淀</t>
  </si>
  <si>
    <t>Hanhan Huang， 2022</t>
  </si>
  <si>
    <t>1-LDH-BT</t>
  </si>
  <si>
    <t>将0.4 g Bt加入到100 mL n(Mg2+)/n(Al3+) =2：1的混合盐溶液中，超声4 h，得到深绿色悬浮液。在剧烈搅拌下向悬浮液中滴加0.5 mol/L的NaOH，调节pH至10。然后将所得样品陈化24 h，4000 r/min离心10 min，80℃干燥过夜</t>
  </si>
  <si>
    <t>2-LDH-BT</t>
  </si>
  <si>
    <t>1.4、23.1、29.3、34.4、38.8和55.5
8.6、26.5、35.6和44.7</t>
  </si>
  <si>
    <t xml:space="preserve">Mg Al-LDHs ( JCPDSNo.38-0478 )的( 003 )、( 006 )、( 009 )、( 018 )、( 012 )和( 110 )
Bt ( JCPDS No.76-929)的反射平面( 002 )、( 024 )、( 008 )和( 224 ) </t>
  </si>
  <si>
    <t>3473
1643
1357
445
1008
497</t>
  </si>
  <si>
    <t>表面O-H的伸缩振动
层间水分子
层间NO3-振动
金属氧化物振动
Si-O-Si弯曲震动
Fe-O伸缩振动</t>
  </si>
  <si>
    <t>4-LDH-BT</t>
  </si>
  <si>
    <t>层状结构坍塌，LDHs层逐渐堆叠在一起</t>
  </si>
  <si>
    <t>Shifeng Zhao，2020</t>
  </si>
  <si>
    <t>LDH-VMT</t>
  </si>
  <si>
    <t>将原料蛭石置于坩埚中，在马弗炉中于空气中1000 ° C煅烧4 h。将煅烧后的蛭石自然冷却至25℃后研磨至粉末状。将15 mg煅烧后的蛭石与100 mL蒸馏水在室温下超声4 h，得到剥离蛭石，记为VMT。将VMT ( 2 g )、Mg ( NO3 ) 2 · 6H2O ( 5.12 g )和Al ( NO3 ) 3 · 9H2O ( 3.75 g )混合于300 mL蒸馏水中，超声4 h，得到深棕色悬浮液。将Na2CO3 ( 0.5 Mol / L )、Naoh ( 0.5 Mol / L )混合溶液在剧烈搅拌下滴加到悬浮液中，调节p H至10。所得沉淀物陈化24 h，4000 r / min离心10 min，70℃烘干过夜</t>
  </si>
  <si>
    <t>蛭石</t>
  </si>
  <si>
    <t>大量尺寸均匀的LDH密集生长在VMT表面，形成粗糙的表面和多孔结构；LDH在VMT层表面生长比较均匀</t>
  </si>
  <si>
    <t>3.78 °、6.08 °、7.44 °、18.60 °、28.6 °和29.9 °
其他</t>
  </si>
  <si>
    <t>蛭石
LDH</t>
  </si>
  <si>
    <t>3700 ~ 3000
1630
1387
1020、835
667、833</t>
  </si>
  <si>
    <t>-OH振动
H-O-H伸缩振动
LDH层间的CO32-
VMT中的Si-O、Si-O-Si
LDH中的Mg-OH、Al-OH伸缩振动</t>
  </si>
  <si>
    <t>8.2±0.4</t>
  </si>
  <si>
    <t>8.2±0.2</t>
  </si>
  <si>
    <t>沉淀</t>
  </si>
  <si>
    <t>同晶替代Mg2+</t>
  </si>
  <si>
    <t xml:space="preserve">Ca2+ </t>
  </si>
  <si>
    <t>30~800</t>
  </si>
  <si>
    <t>Cu2 +和Pb2 +：Freundlich
Zn2 +和Ni2 +：Langmuir</t>
  </si>
  <si>
    <t>Zn2 +和Ni2 +吸附在均匀的表面上，吸附质为单层覆盖的</t>
  </si>
  <si>
    <t>CaAl-LDHs</t>
  </si>
  <si>
    <t>机械化学辅助-水热法</t>
  </si>
  <si>
    <t>溶液A中含有0.024 mol Ca ( NO3 ) 2⋅4H2O和0.012 mol Al ( NO3 ) 3⋅9H2O，溶于400 m L去离子水中。溶液B由0.88 mol Na OH和400 m L去离子水组成。然后将两种溶液( A和B)一起倒入磨机中，转子转速分别为2000、3000和4000 rpm，混合时间为1 min。(分别记为CaAl - LDHs - 2000 , 3000和4000rpm)。然后，将浆料在500 mL的特氟龙反应釜中分别在80、100和120℃下结晶12 h。反应结束后收集浆液，用去离子水洗涤数次，直至上清液p H为7。然后收集样品，在60℃烘箱中干燥12 h。</t>
  </si>
  <si>
    <t>典型CaAl-LDHs：( 002 )，( 004 )，( 110 )，( 113 )和( 022 )的</t>
  </si>
  <si>
    <t>表面扩散、颗粒内扩散和吸附平衡阶段</t>
  </si>
  <si>
    <t>1 )同构取代机理：Cu2 +可以取代Ca Al - LDHs中的Ca2 +，从而形成Cu Ca Al - LDHs，最终形成Cu Al - LDHs；2 )溶解-重组机制：Ca Al - LDHs和Cu Al - LDHs在极短的矿化时间内( 5 mins )共存，说明释放的Ca2 +和Al3 +可以与Cu2 +发生重组，形成Cu Ca Al - LDHs和Cu Al - LDHs。</t>
  </si>
  <si>
    <t>10~1100</t>
  </si>
  <si>
    <t>CaAl-LDHs / 9PAN</t>
  </si>
  <si>
    <t>在典型的制备过程中，将200 mg CaAl - LDHs包裹在两块面积为3 * 3 cm的PAN膜中制备CaAl - LDHs / PAN，用于吸附动力学和等温线的测定。在土柱淋溶实验中，将3 g的CaAl - LDHs用两块15 * 15 cm的PAN膜包裹，制备了两种CaAl - LDHs / PANs，用于两步法的超稳定矿化实验。吸附剂在土壤中的有效含量为2 g / kg</t>
  </si>
  <si>
    <t>0~2880</t>
  </si>
  <si>
    <t>Kai Zhong，2021</t>
  </si>
  <si>
    <t>MgAlFe-LDHs</t>
  </si>
  <si>
    <t>溶液A是将152.25 g的MgCl2 · 6H2O、42.236 g的AlCl3 · 6H2O和20.23 g的FeCl2 · 6H2O溶于500 mL蒸馏水中得到。溶液B是将80.00 g的NaOH和20.75 g的Na2CO3溶于500 mL蒸馏水中得到。将这两种AB溶液准备好后，在室温磁力搅拌条件下，以相同的速度滴加到烧杯中。加料结束后继续搅拌2 h。然后将混合物放入装有80 %体积的水热反应釜中。水热反应釜在80℃的烘箱中晶化12 h。之后，结晶析出物用蒸馏水洗涤以除去残留的反应物。然后将洗涤后的沉淀在60℃的干燥箱中干燥24 h。</t>
  </si>
  <si>
    <t>丰富的片状层状孔隙结构</t>
  </si>
  <si>
    <t>( 003 )、( 006 )、( 009 )、( 110 )和( 113 )晶面的对称衍射峰，以及( 012 )和( 015 )晶面的非对称衍射峰</t>
  </si>
  <si>
    <t>3460 
1640
785、1375、1570</t>
  </si>
  <si>
    <t xml:space="preserve">-OH伸缩振动和层间水分子振动
水分子弯曲振动-OH
碳酸盐不对称伸缩振动C-O </t>
  </si>
  <si>
    <t>广西壮族自治区</t>
  </si>
  <si>
    <t>废弃砷工厂</t>
  </si>
  <si>
    <t>农田0~30cm土壤</t>
  </si>
  <si>
    <t>水可提取态Cd</t>
  </si>
  <si>
    <t>水可提取态Zn</t>
  </si>
  <si>
    <t>水可提取态Cu</t>
  </si>
  <si>
    <t>水可提取态As</t>
  </si>
  <si>
    <t>水浸提：水可提取态；</t>
  </si>
  <si>
    <t>25±1</t>
  </si>
  <si>
    <t>Cd、Zn、Cu、As</t>
  </si>
  <si>
    <t>( 1 )活化或沉淀重金属；( 2 ) Mg Al Fe - LDHs对重金属的吸附。</t>
  </si>
  <si>
    <t>酸可提取态Cd</t>
  </si>
  <si>
    <t>酸可提取态Zn</t>
  </si>
  <si>
    <t>酸可提取态Cu</t>
  </si>
  <si>
    <t>酸浸提：酸可提取态</t>
  </si>
  <si>
    <t>MgAl-LDHs</t>
  </si>
  <si>
    <t>Soyoung Jeon，2024</t>
  </si>
  <si>
    <t xml:space="preserve"> 将200 g硫酸铁和500 g硫酸镁溶于1 L水中，60 rpm搅拌1 h ("溶液1")。向"溶液1"中加入180 g氢氧化钠，加入("溶液2")后搅拌2 h。调节"溶液2 "的p H至10。将沉淀物在150 ~ 180℃下干燥24 h，得到LDH</t>
  </si>
  <si>
    <t>典型层状结构</t>
  </si>
  <si>
    <t>典型的LDH结构：( 003 )，( 006 )，( 110 )和( 113 )面的对称峰和( 009 )，( 015 )和( 018 )面的宽的不对称峰的反射</t>
  </si>
  <si>
    <t xml:space="preserve">South Korea
</t>
  </si>
  <si>
    <t>Cheonan-si</t>
  </si>
  <si>
    <t>Seobuk-gu</t>
  </si>
  <si>
    <t>表层混合土层( '砂壤土'按土壤质地划分: S1 )，厚度为0.5 ~ 0.6 m；</t>
  </si>
  <si>
    <t>149.4±19.1</t>
  </si>
  <si>
    <t>337.8±15.2</t>
  </si>
  <si>
    <t>103.8±18.0</t>
  </si>
  <si>
    <t>G MgFe-LDH</t>
  </si>
  <si>
    <t>将650克粉末LDH（或OS）和350克淀粉与200克水混合，使用制丸系统成型直径为5~6毫米的颗粒</t>
  </si>
  <si>
    <t>典型的层状结构LDH和圆整的淀粉颗粒</t>
  </si>
  <si>
    <t>典型的LDH结构：( 003 )，( 006 )，( 110 )和( 113 )面的对称峰和( 009 )，( 015 )和( 019 )面的宽的不对称峰的反射</t>
  </si>
  <si>
    <t>Xin Pan，2025</t>
  </si>
  <si>
    <t>MgFe-LDH-生物炭(MFB)</t>
  </si>
  <si>
    <t>以山东青岛家具厂的木屑为原料，在60 º C下干燥72 h后热解，采用本课题组前期研究的慢速热解方法制备木屑生物炭( SB )。简而言之，木屑在真空管式炉中于500 º C下炭化2 h，升温速率为10 º C min - 1(流速200 mL min-1).SB过120目筛。此后,采用共沉淀法制备了Mg - Fe LDH生物炭复合材料。将2g SB与MgCl2 ( 0.075 mol )和FeCl3 ( 0.019 mol )在pH为10的恒温水中混合，并在80℃下150 rpm搅拌12 h。得到的Mg - Fe LDH生物炭复合材料用去离子水洗涤至pH达到中性，然后标记为MFB</t>
  </si>
  <si>
    <t>木屑生物炭</t>
  </si>
  <si>
    <t>Mg - Fe LDH的许多特征三维层状结构，交错排列的Mg - Fe LDH超薄纳米片</t>
  </si>
  <si>
    <t>典型的水滑石JCPDS # 36-0383：( 003 )、( 006 )、( 009 )、( 015 )、( 110 )和( 113 )</t>
  </si>
  <si>
    <t>3624 
419
1351</t>
  </si>
  <si>
    <t>羟基( - OH )的伸缩振动
 Mg-O / Fe - O键
CO32 -的C - O</t>
  </si>
  <si>
    <t>30~4320</t>
  </si>
  <si>
    <t>10~1000</t>
  </si>
  <si>
    <t>单分子层覆盖过程吸附在均质表面</t>
  </si>
  <si>
    <t>青岛市某农业区</t>
  </si>
  <si>
    <t>在混合土壤( 200 g )中分别加入50 mL Pb和Cd标准溶液( 1gL - 1)，使其浓度达到200 mg/kg</t>
  </si>
  <si>
    <t>22~25</t>
  </si>
  <si>
    <t>22酸提取态</t>
  </si>
  <si>
    <t>33.67酸提取态</t>
  </si>
  <si>
    <t>有机-MgFe-LDH-生物炭(MSB)</t>
  </si>
  <si>
    <t>将2 g镁铁水滑石( MFB )与2 g十二烷基硫酸钠( SDS )溶液在磁力搅拌器上以500 rpm搅拌24 h合成有机镁铁水滑石生物炭</t>
  </si>
  <si>
    <t>表面活性剂：十二烷基硫酸钠</t>
  </si>
  <si>
    <t>25.1酸提取态</t>
  </si>
  <si>
    <t>35.71酸提取态</t>
  </si>
  <si>
    <t>Haoran Wang， 2025</t>
  </si>
  <si>
    <t>MgAl-NO3-LDH</t>
  </si>
  <si>
    <t>阴离子交换法</t>
  </si>
  <si>
    <t>将1.0 g制备的Mg Al - CO3分散到90 m L甲醇中，在25℃、N2气氛下搅拌6 h。将616 μ L浓HNO3溶于10 m L甲醇中，加入到悬浮液中，继续搅拌6 h。反应结束后，产物用甲醇洗涤数次。Mg Al - NO3在60℃下干燥1 d。</t>
  </si>
  <si>
    <t>IV</t>
  </si>
  <si>
    <t>H2</t>
  </si>
  <si>
    <t>0.196(018)</t>
  </si>
  <si>
    <t>9.82、19.84</t>
  </si>
  <si>
    <t>3450
1000以下
1384</t>
  </si>
  <si>
    <t>-OH的特征振动峰
M - OH伸缩振动
NO - 3的对称伸缩振动</t>
  </si>
  <si>
    <t>0~3960</t>
  </si>
  <si>
    <t>通过化学吸附而不是非均相吸附和/或物理吸附</t>
  </si>
  <si>
    <t>Cd (Ⅱ)</t>
  </si>
  <si>
    <t>同构替代Mg2+</t>
  </si>
  <si>
    <t>以Pb3(CO3)2(OH)2沉淀</t>
  </si>
  <si>
    <t>空白土壤</t>
  </si>
  <si>
    <t>采用重金属混合水溶液浸泡空白土壤12 h模拟Cd ( 736.90 mg kg-1)、Pb ( 1044.62 mg kg-1)和As ( 107.86 mg kg-1 )复合污染土壤</t>
  </si>
  <si>
    <t>有效态Cd、Pb和As的提取分别采用CaCl2法和DPTA缓冲溶液提取法</t>
  </si>
  <si>
    <t>69.4（有效态）</t>
  </si>
  <si>
    <t>MgAl-CO3-LDH</t>
  </si>
  <si>
    <t>将2.18 g Mg ( NO3 ) 2⋅6H2O和1.60 g Al ( NO3 ) 3⋅9H2O溶于25 m L DI中形成溶液1，将4.00 g Na OH和10.75 g Na2CO3加入到100 m L DI中，记为溶液2。在70℃下，将溶液1和溶液2同时逐滴注入50 mL DI中，并将pH值维持在~ 10。加入全部溶液1后，用DI和乙醇对产物进行多次洗涤。Mg Al - CO3在60℃下干燥1 d</t>
  </si>
  <si>
    <t>0.195(018)</t>
  </si>
  <si>
    <t>11.24、22.70</t>
  </si>
  <si>
    <t>3450
1000以下
1370</t>
  </si>
  <si>
    <t>-OH的特征振动峰
M - OH伸缩振动
CO32-的对称伸缩振动</t>
  </si>
  <si>
    <t>MIL-101(Fe) @ MgFe-LDH</t>
  </si>
  <si>
    <t>原位成核和转化方法</t>
  </si>
  <si>
    <t>通常将0.676 g Fe Cl3⋅6H2O溶于15 m L DMF中，持续搅拌。随后，在上述混合物中加入0.208 g的TPA。之后，将均匀搅拌的溶液在超声环境下处理30 min。然后将溶液转移到聚四氟乙烯内衬的高压反应釜中，在110℃的烘箱中反应20 h。冷却至室温后，将沉淀离心并用DMF和乙醇洗涤数次。最后，收集MIL - 101 ( Fe )，在60℃下干燥12 h。将0.127 g的MIL - 101 ( Fe )分散在40 mL的DI和甲醇( V甲醇: VDI = 1 : 1)的混合溶液中形成溶液A，然后将0.256 g的Mg ( NO3 ) 2·6H2O溶解在15 mL的甲醇/ DI中将0.200 g氢氧化钠和0.265 g碳酸钠溶于另20 mL甲醇/释放度( V甲醇: VDI = 1 : 1)溶液中形成溶液C。先滴加溶液C调节溶液A的pH值为10，然后在室温下将溶液B和溶液C同时滴加到溶液A中。同时，溶液的p H值维持在10左右。加入全部溶液后，将所得浆料在80℃下分别晶化1、2和3 h。冷却至室温后，离心，沉淀用DI和甲醇洗涤数次。最后，收集MIL - 101 ( Fe ) @ MgFe-LDH，在60℃下干燥12 h</t>
  </si>
  <si>
    <t>0.222（015）</t>
  </si>
  <si>
    <t xml:space="preserve">11.64、23.04、33.88、59.50
</t>
  </si>
  <si>
    <t xml:space="preserve">MgFe - LDH的( 003 )、( 006 )、( 012 )和( 110 )晶面 </t>
  </si>
  <si>
    <t>561和485
3432
1420</t>
  </si>
  <si>
    <t>Fe-OH和Mg-OH的伸缩振动
主体层羟基和层间水分子的-OH伸缩振动
对苯二甲酸的C=O弯曲振动</t>
  </si>
  <si>
    <t>沉淀CdCO3</t>
  </si>
  <si>
    <t>单分子层吸附模式和吸附位点的均匀分布</t>
  </si>
  <si>
    <t>柱淋滤试验的上层土壤</t>
  </si>
  <si>
    <t>柱淋滤试验的中层土壤</t>
  </si>
  <si>
    <t>柱淋滤试验的下层土壤</t>
  </si>
  <si>
    <t>将0.808 g的Fe ( NO3 ) 3·9H2O和1.026 g的Mg ( NO3 ) 2·6H2O溶于40 ml的DI中形成溶液A，然后将0.400 g的NaOH和0.530 g的Na2CO3溶于40 ml的DI中形成溶液B。MgFe - LDH的其他合成过程与MIL - 101 ( Fe ) @ MgFe - LDH类似。</t>
  </si>
  <si>
    <t>Ao Chai，2024</t>
  </si>
  <si>
    <t>赤泥基MgFeAl-LDH</t>
  </si>
  <si>
    <t>两步水热合成法</t>
  </si>
  <si>
    <t>使用前，赤泥在电鼓风干燥炉中干燥以去除水分，然后粉碎并通过100目筛。将预处理的赤泥粉末(5.0g)与盐酸(3 mo1/L:100m;固液比1:20)混合，并使用磁力加热搅拌器快速搅拌(在90°C下搅拌2小时)。然后通过过滤获得废渣和澄清的酸浸溶液。随后，加入100不同浓度(0.05、0.75、1.0、1.2 mol/L)的MgCl·6(H2O)以调节酸浸溶液中的Mg2/Fe3++Al3+,并将摩尔比保持在2、3、4、5。当MgC12·6(H20)完全溶解后，用Na0H(1 mol/L)将pH值调节至9、10、11、12。加入六亚甲基四胺(0.1mol/L 50mL)并搅拌。反应前体迅速转移到PTFE衬里的水热反应器(100°C、120°C、140°C、160C)中。反应结束后，过滤产物，用去离子水冲洗几次，放入105°C的烤箱中干燥、研磨粉碎并准备使用。</t>
  </si>
  <si>
    <t>Fe3+、Al3+</t>
  </si>
  <si>
    <t>重叠层状结构，形成大量堆积</t>
  </si>
  <si>
    <t>3381.14
2917.82、2850.32
1540.87
1374.54
1005.71</t>
  </si>
  <si>
    <t>O-H键伸缩振动
C-H键拉伸
O-H键弯曲振动
CO32-伸缩振动
-CH2基团的摆动振动</t>
  </si>
  <si>
    <t>四川省</t>
  </si>
  <si>
    <t>硫化铁矿区</t>
  </si>
  <si>
    <t>20d</t>
  </si>
  <si>
    <t>Dong Zhang，2024</t>
  </si>
  <si>
    <t>Mg2AlCO3-LDH</t>
  </si>
  <si>
    <t>将250 m L镁铝盐混合物滴加到250 m L含有Na2CO3 ( 0.4 mol L-1)的溶液中，并在剧烈的磁力搅拌下，用Na OH将溶液p H稳定在10 ± 1。</t>
  </si>
  <si>
    <t>片状和片层结构，具有六方晶格，是典型的LDH形貌</t>
  </si>
  <si>
    <t>11.1、22.6、34.6、38.8、45.8、60.6和61.7</t>
  </si>
  <si>
    <t>典型LDHs的( 003 )、( 006 )、( 012 )、( 015 )、( 018 )、( 110 )和( 133 )</t>
  </si>
  <si>
    <t>0~4320</t>
  </si>
  <si>
    <t>0~100</t>
  </si>
  <si>
    <t>Mg3AlCO3-LDH</t>
  </si>
  <si>
    <t>Mg4AlCO3-LDH</t>
  </si>
  <si>
    <t>Mg2AlCl - LDH</t>
  </si>
  <si>
    <t>在氮气保护下，250 mL无CO2的去离子水中滴加250 mL混合盐，在三颈瓶中剧烈磁力搅拌，期间用NaOH保持溶液pH稳定在10 ± 1。反应结束后，将浆料产物密封，在65℃下陈化24 h，然后用无CO2去离子水洗涤数次。收集样品并在105℃烘箱中过夜干燥</t>
  </si>
  <si>
    <t>Mg3AlCl - LDH</t>
  </si>
  <si>
    <t>0~150</t>
  </si>
  <si>
    <t>Mg4AlCl - LDH</t>
  </si>
  <si>
    <t>Mg3AlSO4 - LDH</t>
  </si>
  <si>
    <t>Mg3AlNO3 - LDH</t>
  </si>
  <si>
    <t>Ca3AlCl - LDH</t>
  </si>
  <si>
    <t>0~200</t>
  </si>
  <si>
    <t>Zn3AlCl - LDH</t>
  </si>
  <si>
    <t>Ni3AlCl - LDH</t>
  </si>
  <si>
    <t>0~500</t>
  </si>
  <si>
    <t>Zhenhui Li，2024</t>
  </si>
  <si>
    <t>PAM-MgAl-LDH微球</t>
  </si>
  <si>
    <t>自由基聚合-离子交联协同液滴模板法</t>
  </si>
  <si>
    <t>将磁性氧化铁( 1 g )、LDH ( 4 g )和尿素( 8 g )加入到100 m L去离子水中，搅拌30 min。随后，在混合物中引入丙烯酰胺( AM , 10 g)、N，N′-亚甲基双丙烯酰胺( MBA : 0.05 ~ 0.15 g溶于5 m L水溶液)和海藻酸钠( 2 g )。在70℃的水浴中持续搅拌30 min以确保完全溶解，从而形成预混剂A。同时，将CaCl2 ( 2 g )和过硫酸钾( APS )溶解在含有100 mL去离子水的独立烧杯中，并搅拌以获得均一的溶液，称为溶液B。然后，使用带有2 mm直径针头的10 mL注射器抽取预混剂A ( 10 mL )，并从特定高度小心地加入到溶液B中。将混合物孵育3小时后，用去离子水洗涤3次，然后在50℃下完全干燥。通过这个过程，成功地合成了PAM - LDH微球。</t>
  </si>
  <si>
    <t>11.39、23.11、35.13
24.28、26.14、29.71、30.42、36.78</t>
  </si>
  <si>
    <t>LDH：( 003 )、( 006 )、( 012 )
( NH4 ) 2CO3⋅H2O</t>
  </si>
  <si>
    <t>3336.3
1600 ~ 1650
1120
1297.9</t>
  </si>
  <si>
    <t>-OH和-NH2
酰胺( O=C-NH2)伸缩振动
C - N伸缩振动
- C - O - C -伸缩振动</t>
  </si>
  <si>
    <t>将不同浓度（200 mg/L、400 mg/L、600 mg/L、800 mg/L和1000 mg/L）的K2Cr2O4溶液与铬与土壤的比例为1:1的无铬土壤混合。将混合物在磁力搅拌器上搅拌3小时，并干燥至恒重。然后获得了不同Cr（VI）浓度的土壤（200mg/kg、400mg/kg、600mg/kg、800mg/kg和1000mg/kg）。</t>
  </si>
  <si>
    <t>10d</t>
  </si>
  <si>
    <t>Luping Zhang，2021</t>
  </si>
  <si>
    <t>将用作起始原料的Mg（NO3）2·6H2O和Al（NO3）3·9H2O称重到预先装有50ml超纯水的烧杯中，加入过量尿素，然后搅拌完全溶解。将溶液转移到聚四氟乙烯管中，用金属外壳密封，在100°C下老化36小时。冷却后，通过离心收集白色沉淀物，用超纯水洗涤三次进行纯化。最终，将干燥产物在研杵中研磨</t>
  </si>
  <si>
    <t>11.71、23.53和34.73</t>
  </si>
  <si>
    <t>LDHs的特征峰</t>
  </si>
  <si>
    <t>3440 
1356</t>
  </si>
  <si>
    <t>O - H伸缩振动
尿素中CO32-的C-O振动吸收峰</t>
  </si>
  <si>
    <t>阴离子交换和表面吸附</t>
  </si>
  <si>
    <t>宿迁市</t>
  </si>
  <si>
    <t>将一定量的不同浓度的铬（VI）溶液和土壤以1:1的土壤：液体比混合。</t>
  </si>
  <si>
    <t>0~90</t>
  </si>
  <si>
    <t>F-MgAl-LDH</t>
  </si>
  <si>
    <t>甲酰胺插层剥离法</t>
  </si>
  <si>
    <t>制备的MgAl-LDH与甲酰胺的混合物，直接连续搅拌12小时。最终，完全分散的溶液表现为胶体材料，通过离心浓缩，并用乙醇洗涤-离心约三次。</t>
  </si>
  <si>
    <t>甲酰胺</t>
  </si>
  <si>
    <t>20 ~ 30</t>
  </si>
  <si>
    <t>3440 
1356
1640</t>
  </si>
  <si>
    <t>O - H伸缩振动
尿素中CO32-的C-O振动吸收峰
甲酰胺的C=O振动峰</t>
  </si>
  <si>
    <t>F-U-MgAl-LDH</t>
  </si>
  <si>
    <t>超声-甲酰胺插层剥离法</t>
  </si>
  <si>
    <t>制备的MgAl-LDH与甲酰胺的混合物，在连续搅拌前用超声波辅助溶解足够的时间，再连续搅拌12小时。最终，完全分散的溶液表现为胶体材料，通过离心浓缩，并用乙醇洗涤-离心约三次。</t>
  </si>
  <si>
    <t>阴离子交换、表面吸附、静电引力</t>
  </si>
  <si>
    <t>Wenjing Zong, 2023</t>
  </si>
  <si>
    <t>Al3 +和Mg2 +的混合溶液(浓度分别为0.4 M和1.2 M)中逐步滴加4 M Na OH，在80℃的热水浴中生成Mg - Al LDHs。随后，将混合物在80℃下静置24 h，以允许LDHs晶体的生长。所得晶体材料用超纯水洗涤3次，然后在烘箱中烘干。</t>
  </si>
  <si>
    <t>污染工业场地1</t>
  </si>
  <si>
    <t>污染工业场地2</t>
  </si>
  <si>
    <t>污染工业场地3</t>
  </si>
  <si>
    <t>污染工业场地4</t>
  </si>
  <si>
    <t>污染工业场地5</t>
  </si>
  <si>
    <t>污染工业场地6</t>
  </si>
  <si>
    <t>污染工业场地7</t>
  </si>
  <si>
    <t>污染工业场地8</t>
  </si>
  <si>
    <t>污染工业场地9</t>
  </si>
  <si>
    <t>污染工业场地10</t>
  </si>
  <si>
    <t>污染工业场地11</t>
  </si>
  <si>
    <t>污染工业场地12</t>
  </si>
  <si>
    <t>污染工业场地13</t>
  </si>
  <si>
    <t>污染工业场地14</t>
  </si>
  <si>
    <t>污染工业场地15</t>
  </si>
  <si>
    <t>污染工业场地16</t>
  </si>
  <si>
    <t>6m</t>
  </si>
  <si>
    <t>N.D.</t>
  </si>
  <si>
    <t>1y</t>
  </si>
  <si>
    <t>Jikang Wang，2023</t>
  </si>
  <si>
    <t>超薄MgFe-LDH纳米片( LDH-S )</t>
  </si>
  <si>
    <t>首先取50 m L水溶液配制了含24 mmol MgCl2 · 6H2O和12 mmol六水合三氯化铁的溶液(溶液A )。其次，配制80 mmol Na OH溶液200 m L (溶液B )。然后，溶液A被迅速加入到溶液B中，随后高速搅拌800 rpm。固体沉淀物通过离心收集，用水洗涤数次，并在60℃下干燥。</t>
  </si>
  <si>
    <t>典型(00l)：( 003 )、( 006 )、（015）、（018）、（110）、（113）</t>
  </si>
  <si>
    <t>通过将土壤( 80 g )彻底浸泡在含Cu溶液( 400 mg / L , 400 m L)中12 h</t>
  </si>
  <si>
    <t>25~28</t>
  </si>
  <si>
    <t>50~70</t>
  </si>
  <si>
    <t>王启豪，2023</t>
  </si>
  <si>
    <t>MgAl-LDHs-A</t>
  </si>
  <si>
    <t>津衡蓝海科技有限公司</t>
  </si>
  <si>
    <t>太仓市</t>
  </si>
  <si>
    <t>48.09(有效态)</t>
  </si>
  <si>
    <t>MgAl-LDHs-B</t>
  </si>
  <si>
    <t>优索化工科技有限公司</t>
  </si>
  <si>
    <t>MgAl-LDHs-C</t>
  </si>
  <si>
    <t>泰克莱尔科技有限公司</t>
  </si>
  <si>
    <t>3448 
1640
1355
1027
786、673
550</t>
  </si>
  <si>
    <t>O–H伸缩振动
–COO–的不对称伸缩振动
MgAl–LDHs层间CO23–阴离子的伸缩振动
C–O的伸缩振动
Mg–O和Al–O伸缩与弯曲振动
Fe–O键吸收峰</t>
  </si>
  <si>
    <t>浙江</t>
  </si>
  <si>
    <t>台州市</t>
  </si>
  <si>
    <t>MgAl-LDHs-D</t>
  </si>
  <si>
    <t>①巯基改性：将硅烷偶联剂按1∶6∶8∶83质量比与MgAl-LDHs材料、无水乙醇、去离子水混合，振荡2.5 h后清洗烘干并磨碎备用；②滴制小球：将巯基改性后的 MgAl-LDHs、海藻酸钠、Fe3O4按质量比1.5∶1∶1 置于烧杯中，按1∶20质量比加入去离子水，搅拌均匀至呈凝胶状；将混合液超声脱气15 min后，用蠕动泵将混合液滴加入2%的氯化钙溶液中成球，磁性小球在溶液中固化12 h，然后用去离子水洗涤3 ~ 5 次后，置于100 ℃烘箱中干燥24 h，得到磁性颗粒修复材料。</t>
  </si>
  <si>
    <t>王玉环，2019</t>
  </si>
  <si>
    <t>没有重复，无n、sd</t>
  </si>
  <si>
    <t>Zaiwei Yang， 2024</t>
  </si>
  <si>
    <t>将6.63g的CaCl2、16.23g的FeCl3·6H2O和0.06g的NaOH溶解在150ml超纯水中并在磁力搅拌器300r min-1条件下搅拌，在80°C下反应36h。反应后冷却至室温后离心收集。用超纯水洗涤三次后放50°C烘箱中干燥然后研磨收集备用</t>
  </si>
  <si>
    <t>典型片状结构，层片之间相互堆叠，粒径较小，片层大小大小约在200-500nm之间，分散比较均匀</t>
  </si>
  <si>
    <t>某重金属采矿尾矿土壤</t>
  </si>
  <si>
    <t>63d</t>
  </si>
  <si>
    <t>将11.25g的Ca(NO3)2·4H2O和9.28g的Al(NO3)3·9H2O溶解在150mL，浓度为0.5M的NaNO3溶液中，反应0.5h等溶解完全后，用2M的NaOH溶液将混合液的pH调节至12.00左右，在80°C下反应36h。反应后冷却至
室温后离心收集，用超纯水洗涤三次后放50°C烘箱中干燥后研磨备用</t>
  </si>
  <si>
    <t>Liu Zilong, 2022</t>
  </si>
  <si>
    <t>Mg3AlCO3-LDH/BC</t>
  </si>
  <si>
    <t>Na</t>
  </si>
  <si>
    <t>K</t>
  </si>
  <si>
    <t>浙江省</t>
  </si>
  <si>
    <t>杭州市下沙</t>
  </si>
  <si>
    <t>表层水稻土</t>
  </si>
  <si>
    <t>2d</t>
  </si>
  <si>
    <t>Mg3AlNO3-LDH/BC</t>
  </si>
  <si>
    <t>Mg3AlNO3-LDH</t>
  </si>
  <si>
    <t>Liu Zilong，2022</t>
  </si>
  <si>
    <t>Yanping Gan，2024</t>
  </si>
  <si>
    <t>LDH/CSB 500</t>
  </si>
  <si>
    <t>Mn2+、Ni2+</t>
  </si>
  <si>
    <t>西安市</t>
  </si>
  <si>
    <t>塿土，表层土0~20cm</t>
  </si>
  <si>
    <t>称取1500 g风干过筛土样，分别将一定量的Pb(NO3)2溶解到定量的去离子水中，加入到土壤中，充分拌匀并保持20%左右的含水率，室温下避光培养</t>
  </si>
  <si>
    <t>重复</t>
  </si>
  <si>
    <t>Van Minh Dang,2021</t>
  </si>
  <si>
    <t>用于粒径小于1mm实验的天然沸石购自日本NitoFunkaKogyoK.公司。在400mL烧杯中，100mL含有0.01mol.A(NO3)3和0.02molMg(NO3)2的溶液与一定量的沸石混合，该沸石按LDH/沸石比3:7计
算，溶液pH用1MNaOH和0.5MNa2CO3调节至11.然后将混合物加热到80C并在此温度下保持4小时。Mg2+、A3+、OH一和CO3-离子反应形成镁／铝LDHs。然后，用Iter膜将所得固体从液体中分离出来，洗涤、干燥并储存在塑料袋中。这种固体
就是镁/铝LDH沸石吸附剂。</t>
  </si>
  <si>
    <t>异质结构</t>
  </si>
  <si>
    <t>628、693、801、860
553
1010、1215
1369
1020
1640
3460</t>
  </si>
  <si>
    <t>-CH
Al-O拉伸振动
C-O
层状双氢氧化物层间碳酸盐基团中的 C–O 基团
C=C
羟基</t>
  </si>
  <si>
    <t>VietNam</t>
  </si>
  <si>
    <t>Thai Nguyen Province</t>
  </si>
  <si>
    <t>Thai Nguyen University</t>
  </si>
  <si>
    <t>自然土地，山丘顶层0~50cm</t>
  </si>
  <si>
    <t>4.71±0.3</t>
  </si>
  <si>
    <t>每公斤土壤与含有50mgCd2+和50mgPb2+的金属原液混合，密封，保持土壤水分70%</t>
  </si>
  <si>
    <t>21.34（可交换态）</t>
  </si>
  <si>
    <t>21.81（可交换态）</t>
  </si>
  <si>
    <t>CK</t>
  </si>
  <si>
    <t>15d</t>
  </si>
  <si>
    <t>Liqin He</t>
  </si>
  <si>
    <t xml:space="preserve"> 1. 共沉淀法合成钙基水滑石；
2. 插入硫代琥珀酸（MSA）；
3. 干燥处理（50℃, 24小时）。</t>
  </si>
  <si>
    <t>-SH（硫基）、-COOH（羧酸根）和SO₄²⁻。</t>
  </si>
  <si>
    <t>稻田土壤</t>
  </si>
  <si>
    <t>历史污水灌溉导致镉污染</t>
  </si>
  <si>
    <t>17d</t>
  </si>
  <si>
    <t>表面配位（-SH与Cd²⁺螯合）和离子交换</t>
  </si>
  <si>
    <t>无机酸化</t>
  </si>
  <si>
    <t>有机酸化</t>
  </si>
  <si>
    <t>Wuhui Luo</t>
  </si>
  <si>
    <t>MgAl-LDH/生物碳</t>
  </si>
  <si>
    <t>六边形片状</t>
  </si>
  <si>
    <t>11.0、22.1、34.4、60.8</t>
  </si>
  <si>
    <t>003)、(006)、(110)</t>
  </si>
  <si>
    <t>1383、1054、400-700</t>
  </si>
  <si>
    <t>NO₃⁻、PO₄³⁻、Al-O/Mg-O键</t>
  </si>
  <si>
    <t>赣州市</t>
  </si>
  <si>
    <t>添加Cd(NO₃)₂溶液至50 mg Cd/kg</t>
  </si>
  <si>
    <t>4d</t>
  </si>
  <si>
    <t>All</t>
  </si>
  <si>
    <t>8d</t>
  </si>
  <si>
    <t>12d</t>
  </si>
  <si>
    <t>16d</t>
  </si>
  <si>
    <t>24d</t>
  </si>
  <si>
    <t>32d</t>
  </si>
  <si>
    <t>37d</t>
  </si>
  <si>
    <t>47d</t>
  </si>
  <si>
    <t>Xiaohui Zhu</t>
  </si>
  <si>
    <t>Mg/Fe-LBC</t>
  </si>
  <si>
    <t xml:space="preserve"> 1. 将FBC浸入MgCl₂·6H₂O和FeCl₃·6H₂O的悬浮液中，调节pH至13，搅拌24小时
2. 洗涤、干燥后得到Mg/Fe-LBC</t>
  </si>
  <si>
    <t>沟槽结构</t>
  </si>
  <si>
    <t>11.5、22.9</t>
  </si>
  <si>
    <t>(012)、(104)、(110)</t>
  </si>
  <si>
    <t>568、1399、1594、3430</t>
  </si>
  <si>
    <t>羟基、芳香碳、碳酸根、磷酸根、金属氧化物键</t>
  </si>
  <si>
    <t>宁波市</t>
  </si>
  <si>
    <t>模拟污染：添加100 mg/L Cd标准溶液（72 mL/600 g土壤）</t>
  </si>
  <si>
    <t>Xuanru Li，2025</t>
  </si>
  <si>
    <t>Sb</t>
  </si>
  <si>
    <t>0.5a</t>
  </si>
  <si>
    <t>1a</t>
  </si>
  <si>
    <t>1.5a</t>
  </si>
  <si>
    <t>2a</t>
  </si>
  <si>
    <t>2.5a</t>
  </si>
  <si>
    <t>MgAl-LDH@Fe</t>
  </si>
  <si>
    <t>CaAl-LDH@Fe</t>
  </si>
  <si>
    <t>Xusheng Gao，2025</t>
  </si>
  <si>
    <t>（i）采用共沉淀缩合法制备未改性LDHs前驱体；（ii）随后进行巯基官能团修饰。</t>
  </si>
  <si>
    <t>河南省</t>
  </si>
  <si>
    <t>卫辉市</t>
  </si>
  <si>
    <t>（i）采用共沉淀缩合法[26]制备未改性LDHs前驱体；（ii）随后进行巯基官能团修饰。</t>
  </si>
  <si>
    <t>湘潭市</t>
  </si>
  <si>
    <t>新乡市</t>
  </si>
  <si>
    <t>1d</t>
  </si>
  <si>
    <t>5d</t>
  </si>
  <si>
    <t>贵州省</t>
  </si>
  <si>
    <t>荔波市</t>
  </si>
  <si>
    <t>MgAl-MA-A-LDH</t>
  </si>
  <si>
    <t>(3-巯基丙基)三甲氧基硅烷（MPTMS）</t>
  </si>
  <si>
    <t>MgAl-MA-B-LDH</t>
  </si>
  <si>
    <t>ZnAl-MA-A-LDH</t>
  </si>
  <si>
    <t>ZnAl-MA-B-LDH</t>
  </si>
  <si>
    <t>Shikai Li，2025</t>
  </si>
  <si>
    <t>Mg-SAA-LDH</t>
  </si>
  <si>
    <t>SAA</t>
  </si>
  <si>
    <t>（003）、（006）、（012）、（015）、（018）、（110）和（113）</t>
  </si>
  <si>
    <t>宁乡市</t>
  </si>
  <si>
    <t>化学作用，单层吸附</t>
  </si>
  <si>
    <t>Pei Zhao,2025</t>
  </si>
  <si>
    <t>LDH-CP</t>
  </si>
  <si>
    <t>003)、(006)、(012)、</t>
  </si>
  <si>
    <t>Xiao Tan，2025</t>
  </si>
  <si>
    <t>FeAl-LDH</t>
  </si>
  <si>
    <t>(003), (006), (009), (015), (018), and (110)</t>
  </si>
  <si>
    <t>长沙市</t>
  </si>
  <si>
    <t>铬盐厂</t>
  </si>
  <si>
    <t>0液态材料</t>
  </si>
  <si>
    <t>0.2ml/g</t>
  </si>
  <si>
    <t>0.5ml/g</t>
  </si>
  <si>
    <t>1ml/g</t>
  </si>
  <si>
    <t>180d</t>
  </si>
  <si>
    <t>360d</t>
  </si>
  <si>
    <t>黑龙江省</t>
  </si>
  <si>
    <t>哈尔滨市</t>
  </si>
  <si>
    <t>荒地</t>
  </si>
  <si>
    <t>将重铬酸钾（K2Cr2O7）溶液均匀喷洒于无污染的黑龙江土壤样品上，持续搅拌使污染物与土壤充分混合。定期补充自来水并搅拌，使土壤含水量保持在40%。经过4周老化处理后，BS土壤样品的制备即告完成。</t>
  </si>
  <si>
    <t>0固体材料</t>
  </si>
  <si>
    <t>0.05ml/g</t>
  </si>
  <si>
    <t>0.1ml/g</t>
  </si>
  <si>
    <t>Hongguang Zhou，2025</t>
  </si>
  <si>
    <t>称取1500g风干过筛土样，将定量Pb(NO₃)₂溶于精确体积的去离子水中，喷洒入土体充分混匀。培养过程中保持土壤含水量约20%，于室温避光条件下培养，最终测定土壤中Pb总量及其形态分布。根据GB 15618-2018标准农用地筛选值与控制值，本研究设定三个Pb污染梯度：轻度污染（250mg/kg）、中度污染（900mg/kg）和重度污染（2500mg/kg）。</t>
  </si>
  <si>
    <t>Kai Zheng,2025</t>
  </si>
  <si>
    <t>GLDA-ZnAl-LDH</t>
  </si>
  <si>
    <t>四钠谷氨酸二乙酸酯</t>
  </si>
  <si>
    <t>(003), (006), (009), and (110)</t>
  </si>
  <si>
    <t>广州市</t>
  </si>
  <si>
    <t>将100克前驱土壤与200毫升含0.4克/升Pb(II)和0.3克/升Cd(II)的溶液充分混合，经干燥研磨后制得。</t>
  </si>
  <si>
    <t>随后取50克干燥的Pb(II)和Cd(II)污染土壤，分装至三个250毫升锥形瓶中。其中两个锥形瓶分别添加0.5克GLDA-LDH吸附剂和100毫升去离子水，第三个锥形瓶作为未处理对照组。含吸附剂的锥形瓶分为两组处理：一组置于298 K恒温振荡器中震荡6小时以模拟动态环境条件，另一组保持静置相同时间以模拟静态自然环境。6小时后，三个样品分别进行过滤。滤液经10分钟离心后取上清液，稀释后采用原子吸收分光光度计测定Pb(II)和Cd(II)浓度。所有实验均设置三个平行样，最终数值取三次独立测量的平均值。</t>
  </si>
  <si>
    <t>Zixin Lin。2025</t>
  </si>
  <si>
    <t>ZnBC/MgFe-LDH</t>
  </si>
  <si>
    <t>（003）、（012）、（006）、（015）、（110）和（113）、（100）</t>
  </si>
  <si>
    <t>南昌市</t>
  </si>
  <si>
    <t>8.10-C</t>
  </si>
  <si>
    <t>供试土壤为经风干后过10目筛的0~20 cm表层土，随后用自来水冲洗去除悬浮物和水溶性成分，经风干研磨后过10目筛装袋备用。将预处理土壤与一定浓度的硝酸镉水溶液及溶于甲醇的阿特拉津混合均匀，静置7天后自然风干，置于密闭聚乙烯容器中老化60天。</t>
  </si>
  <si>
    <t>（003）、（012）、（006）、（015）、（110）和（113）</t>
  </si>
  <si>
    <t>Jiaqian Zhang，2025</t>
  </si>
  <si>
    <t>ATP/MgFe-LDH</t>
  </si>
  <si>
    <t>凹凸棒石黏土</t>
  </si>
  <si>
    <t>3500\1672\1463\880\400-1000\1037\572\478</t>
  </si>
  <si>
    <t>云南省</t>
  </si>
  <si>
    <t>个旧市</t>
  </si>
  <si>
    <t>某矿渣堆场附近农田0-20 cm表层土</t>
  </si>
  <si>
    <t>22d</t>
  </si>
  <si>
    <t>Chun-Yan Cao，2025</t>
  </si>
  <si>
    <t>MgAlCO3-LDH-0</t>
  </si>
  <si>
    <t>锦州市</t>
  </si>
  <si>
    <t>农田土壤表层（0-20厘米）</t>
  </si>
  <si>
    <t>通过将干燥土壤与硝酸铅溶液均匀混合制备铅污染土壤，使土壤中铅含量达到400毫克/千克。</t>
  </si>
  <si>
    <t>150d</t>
  </si>
  <si>
    <t>MgAlCO3-LDH-200</t>
  </si>
  <si>
    <t>MgAlCO3-LDH-400</t>
  </si>
  <si>
    <t>MgAlCO3-LDH-600</t>
  </si>
  <si>
    <t>MgAlCO3-LDH-800</t>
  </si>
  <si>
    <t>Jeonghyeon Lee，2025</t>
  </si>
  <si>
    <t>牡蛎壳-MgFe-LDH</t>
  </si>
  <si>
    <t>牡蛎壳</t>
  </si>
  <si>
    <t>South Korea</t>
  </si>
  <si>
    <t>Chungnam</t>
  </si>
  <si>
    <t>镉污染农业用地</t>
  </si>
  <si>
    <t>540d</t>
  </si>
  <si>
    <t>Acidic stability and mechanisms of soil cadmium immobilization by layered double hydroxides intercalated with mercaptosuccinic acid</t>
  </si>
  <si>
    <t>Enrichment of nitrogen and phosphorus by navel orange peel–derived biochars coated with different metal (hydro)oxides for the subsequent immobilization of Cd in soil</t>
  </si>
  <si>
    <t>Functional materials based on kitchen waste fermentation residue for the remediation of cadmium-contaminated soil</t>
  </si>
  <si>
    <t>Long-term soil remediation using layered double hydroxides: Field evidence for simultaneous immobilization of both cations and oxyanions</t>
  </si>
  <si>
    <t>Mercapto-modified layered double hydroxide: High-efficiency emerging amendment for cadmium immobilization in cadmium-contaminated acidic and alkaline soil</t>
  </si>
  <si>
    <t>Mg-Al layered double hydroxides derived from secondary aluminum ash for soil remediation contaminated with Cd(Ⅱ) and Cr(Ⅵ)</t>
  </si>
  <si>
    <t>Preparation of quaternary layered double hydroxides from coal gangue and phosphorus tailings for immobilizing Cr(VI) and Cd(II) in contaminated soil</t>
  </si>
  <si>
    <t>Reduction-stabilization characteristics, long-term stability and biotoxicity evaluation of Fe(II)/Al layered double hydroxides on Cr(VI) in contaminated soil</t>
  </si>
  <si>
    <t>Remediation of lead-contaminated soil by Fe-Mn-Ni layered double hydroxide composite biochar</t>
  </si>
  <si>
    <t>Robust Adsorption of Pb(II) and Cd(II) by GLDA-Intercalated ZnAl-LDH: Structural Engineering, Mechanistic Insights, and Environmental Applications</t>
  </si>
  <si>
    <t>Stabilization remediation of atrazine and cadmium co-contaminated soil using zinc-modified biochar loaded Mg-Fe layered double hydroxide: Performance, plant responses and mechanism</t>
  </si>
  <si>
    <t>Synthesis and application of layered double hydroxides-attapulgite for remediation of Cd and Pb contaminated soil: Immobilization mechanisms and remediation effects</t>
  </si>
  <si>
    <t>Remediation of Pb-contaminated soils using thermally activated MgAl hydrotalcite</t>
  </si>
  <si>
    <t>The effect of heavy metal stabilizers in arsenic‐contaminated soil: using bioavailability</t>
  </si>
  <si>
    <t>Bar0</t>
  </si>
  <si>
    <t>Bar1</t>
  </si>
  <si>
    <t>Bar2</t>
  </si>
  <si>
    <t>Bar3</t>
  </si>
  <si>
    <t>Bar4</t>
  </si>
  <si>
    <t>Bar5</t>
  </si>
  <si>
    <t>Bar6</t>
  </si>
  <si>
    <t>Bar7</t>
  </si>
  <si>
    <t>Bar8</t>
  </si>
  <si>
    <t>Bar9</t>
  </si>
  <si>
    <t>Bar10</t>
  </si>
  <si>
    <t>Bar11</t>
  </si>
  <si>
    <t>Bar12</t>
  </si>
  <si>
    <t>Bar30</t>
  </si>
  <si>
    <t>Bar13</t>
  </si>
  <si>
    <t>Bar31</t>
  </si>
  <si>
    <t>Bar14</t>
  </si>
  <si>
    <t>Bar32</t>
  </si>
  <si>
    <t>Bar15</t>
  </si>
  <si>
    <t>Bar33</t>
  </si>
  <si>
    <t>Bar34</t>
  </si>
  <si>
    <t>Bar35</t>
  </si>
  <si>
    <t>Bar36</t>
  </si>
  <si>
    <t>Bar37</t>
  </si>
  <si>
    <t>Bar38</t>
  </si>
  <si>
    <t>Bar39</t>
  </si>
  <si>
    <t>Bar40</t>
  </si>
  <si>
    <t>Bar41</t>
  </si>
  <si>
    <t>Bar42</t>
  </si>
  <si>
    <t>Bar43</t>
  </si>
  <si>
    <t>Bar44</t>
  </si>
  <si>
    <t>Bar45</t>
  </si>
  <si>
    <t>Bar46</t>
  </si>
  <si>
    <t>Bar47</t>
  </si>
  <si>
    <t>Bar48</t>
  </si>
  <si>
    <t>Bar49</t>
  </si>
  <si>
    <t>Bar50</t>
  </si>
  <si>
    <t>Bar51</t>
  </si>
  <si>
    <t>Bar52</t>
  </si>
  <si>
    <t>Bar53</t>
  </si>
  <si>
    <t>Bar54</t>
  </si>
  <si>
    <t>Bar55</t>
  </si>
  <si>
    <t>Bar56</t>
  </si>
  <si>
    <t>Bar57</t>
  </si>
  <si>
    <t>Bar58</t>
  </si>
  <si>
    <t>Bar59</t>
  </si>
  <si>
    <t>Bar60</t>
  </si>
  <si>
    <t>Bar61</t>
  </si>
  <si>
    <t>Bar62</t>
  </si>
  <si>
    <t>Bar63</t>
  </si>
  <si>
    <t>Bar64</t>
  </si>
  <si>
    <t>Bar65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</si>
</sst>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
    <numFmt numFmtId="177" formatCode="0.0_ "/>
    <numFmt numFmtId="178" formatCode="0.00_ "/>
    <numFmt numFmtId="179" formatCode="0.000_ "/>
  </numFmts>
  <fonts count="28">
    <font>
      <sz val="11"/>
      <color theme="1"/>
      <name val="宋体"/>
      <charset val="134"/>
      <scheme val="minor"/>
    </font>
    <font>
      <b/>
      <sz val="11"/>
      <color theme="1"/>
      <name val="宋体"/>
      <charset val="134"/>
      <scheme val="minor"/>
    </font>
    <font>
      <sz val="11"/>
      <color theme="1"/>
      <name val="宋体"/>
      <charset val="134"/>
    </font>
    <font>
      <b/>
      <sz val="11"/>
      <color theme="1"/>
      <name val="宋体"/>
      <charset val="134"/>
    </font>
    <font>
      <b/>
      <sz val="12"/>
      <color theme="1"/>
      <name val="宋体"/>
      <charset val="134"/>
      <scheme val="minor"/>
    </font>
    <font>
      <sz val="10.5"/>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1"/>
      <name val="宋体"/>
      <charset val="134"/>
    </font>
    <font>
      <vertAlign val="superscript"/>
      <sz val="11"/>
      <color theme="1"/>
      <name val="宋体"/>
      <charset val="134"/>
      <scheme val="minor"/>
    </font>
    <font>
      <vertAlign val="subscript"/>
      <sz val="11"/>
      <color theme="1"/>
      <name val="宋体"/>
      <charset val="134"/>
      <scheme val="minor"/>
    </font>
  </fonts>
  <fills count="58">
    <fill>
      <patternFill patternType="none"/>
    </fill>
    <fill>
      <patternFill patternType="gray125"/>
    </fill>
    <fill>
      <patternFill patternType="solid">
        <fgColor theme="6" tint="0.8"/>
        <bgColor indexed="64"/>
      </patternFill>
    </fill>
    <fill>
      <patternFill patternType="solid">
        <fgColor theme="9" tint="0.8"/>
        <bgColor indexed="64"/>
      </patternFill>
    </fill>
    <fill>
      <patternFill patternType="solid">
        <fgColor rgb="FFFFF3CA"/>
        <bgColor indexed="64"/>
      </patternFill>
    </fill>
    <fill>
      <patternFill patternType="solid">
        <fgColor rgb="FFFADADE"/>
        <bgColor indexed="64"/>
      </patternFill>
    </fill>
    <fill>
      <patternFill patternType="solid">
        <fgColor rgb="FFF4B382"/>
        <bgColor indexed="64"/>
      </patternFill>
    </fill>
    <fill>
      <patternFill patternType="solid">
        <fgColor rgb="FF00B050"/>
        <bgColor indexed="64"/>
      </patternFill>
    </fill>
    <fill>
      <patternFill patternType="solid">
        <fgColor rgb="FFB5C6EA"/>
        <bgColor indexed="64"/>
      </patternFill>
    </fill>
    <fill>
      <patternFill patternType="solid">
        <fgColor rgb="FFFEDB61"/>
        <bgColor indexed="64"/>
      </patternFill>
    </fill>
    <fill>
      <patternFill patternType="solid">
        <fgColor theme="9" tint="0.4"/>
        <bgColor indexed="64"/>
      </patternFill>
    </fill>
    <fill>
      <patternFill patternType="solid">
        <fgColor theme="4" tint="0.4"/>
        <bgColor indexed="64"/>
      </patternFill>
    </fill>
    <fill>
      <patternFill patternType="solid">
        <fgColor rgb="FFE3F2D9"/>
        <bgColor indexed="64"/>
      </patternFill>
    </fill>
    <fill>
      <patternFill patternType="solid">
        <fgColor theme="7" tint="0.8"/>
        <bgColor indexed="64"/>
      </patternFill>
    </fill>
    <fill>
      <patternFill patternType="solid">
        <fgColor rgb="FFFFFF00"/>
        <bgColor indexed="64"/>
      </patternFill>
    </fill>
    <fill>
      <patternFill patternType="solid">
        <fgColor theme="5" tint="0.8"/>
        <bgColor indexed="64"/>
      </patternFill>
    </fill>
    <fill>
      <patternFill patternType="solid">
        <fgColor theme="0"/>
        <bgColor indexed="64"/>
      </patternFill>
    </fill>
    <fill>
      <patternFill patternType="solid">
        <fgColor rgb="FFFF0000"/>
        <bgColor indexed="64"/>
      </patternFill>
    </fill>
    <fill>
      <patternFill patternType="solid">
        <fgColor rgb="FF34BA8C"/>
        <bgColor indexed="64"/>
      </patternFill>
    </fill>
    <fill>
      <patternFill patternType="solid">
        <fgColor theme="8" tint="0.8"/>
        <bgColor indexed="64"/>
      </patternFill>
    </fill>
    <fill>
      <patternFill patternType="solid">
        <fgColor theme="9" tint="0.6"/>
        <bgColor indexed="64"/>
      </patternFill>
    </fill>
    <fill>
      <patternFill patternType="solid">
        <fgColor theme="7" tint="0.4"/>
        <bgColor indexed="64"/>
      </patternFill>
    </fill>
    <fill>
      <patternFill patternType="solid">
        <fgColor theme="6" tint="0.4"/>
        <bgColor indexed="64"/>
      </patternFill>
    </fill>
    <fill>
      <patternFill patternType="solid">
        <fgColor rgb="FF92D050"/>
        <bgColor indexed="64"/>
      </patternFill>
    </fill>
    <fill>
      <patternFill patternType="solid">
        <fgColor theme="8" tint="0.6"/>
        <bgColor indexed="64"/>
      </patternFill>
    </fill>
    <fill>
      <patternFill patternType="solid">
        <fgColor theme="7" tint="0.6"/>
        <bgColor indexed="64"/>
      </patternFill>
    </fill>
    <fill>
      <patternFill patternType="solid">
        <fgColor theme="8"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7"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28" borderId="5" applyNumberFormat="0" applyAlignment="0" applyProtection="0">
      <alignment vertical="center"/>
    </xf>
    <xf numFmtId="0" fontId="15" fillId="29" borderId="6" applyNumberFormat="0" applyAlignment="0" applyProtection="0">
      <alignment vertical="center"/>
    </xf>
    <xf numFmtId="0" fontId="16" fillId="29" borderId="5" applyNumberFormat="0" applyAlignment="0" applyProtection="0">
      <alignment vertical="center"/>
    </xf>
    <xf numFmtId="0" fontId="17" fillId="30"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4" fillId="39" borderId="0" applyNumberFormat="0" applyBorder="0" applyAlignment="0" applyProtection="0">
      <alignment vertical="center"/>
    </xf>
    <xf numFmtId="0" fontId="24" fillId="40" borderId="0" applyNumberFormat="0" applyBorder="0" applyAlignment="0" applyProtection="0">
      <alignment vertical="center"/>
    </xf>
    <xf numFmtId="0" fontId="23" fillId="41" borderId="0" applyNumberFormat="0" applyBorder="0" applyAlignment="0" applyProtection="0">
      <alignment vertical="center"/>
    </xf>
    <xf numFmtId="0" fontId="23" fillId="42" borderId="0" applyNumberFormat="0" applyBorder="0" applyAlignment="0" applyProtection="0">
      <alignment vertical="center"/>
    </xf>
    <xf numFmtId="0" fontId="24" fillId="43" borderId="0" applyNumberFormat="0" applyBorder="0" applyAlignment="0" applyProtection="0">
      <alignment vertical="center"/>
    </xf>
    <xf numFmtId="0" fontId="24" fillId="44" borderId="0" applyNumberFormat="0" applyBorder="0" applyAlignment="0" applyProtection="0">
      <alignment vertical="center"/>
    </xf>
    <xf numFmtId="0" fontId="23" fillId="45" borderId="0" applyNumberFormat="0" applyBorder="0" applyAlignment="0" applyProtection="0">
      <alignment vertical="center"/>
    </xf>
    <xf numFmtId="0" fontId="23" fillId="46" borderId="0" applyNumberFormat="0" applyBorder="0" applyAlignment="0" applyProtection="0">
      <alignment vertical="center"/>
    </xf>
    <xf numFmtId="0" fontId="24" fillId="47" borderId="0" applyNumberFormat="0" applyBorder="0" applyAlignment="0" applyProtection="0">
      <alignment vertical="center"/>
    </xf>
    <xf numFmtId="0" fontId="24" fillId="48" borderId="0" applyNumberFormat="0" applyBorder="0" applyAlignment="0" applyProtection="0">
      <alignment vertical="center"/>
    </xf>
    <xf numFmtId="0" fontId="23" fillId="49" borderId="0" applyNumberFormat="0" applyBorder="0" applyAlignment="0" applyProtection="0">
      <alignment vertical="center"/>
    </xf>
    <xf numFmtId="0" fontId="23" fillId="50" borderId="0" applyNumberFormat="0" applyBorder="0" applyAlignment="0" applyProtection="0">
      <alignment vertical="center"/>
    </xf>
    <xf numFmtId="0" fontId="24" fillId="51" borderId="0" applyNumberFormat="0" applyBorder="0" applyAlignment="0" applyProtection="0">
      <alignment vertical="center"/>
    </xf>
    <xf numFmtId="0" fontId="24" fillId="52" borderId="0" applyNumberFormat="0" applyBorder="0" applyAlignment="0" applyProtection="0">
      <alignment vertical="center"/>
    </xf>
    <xf numFmtId="0" fontId="23" fillId="53" borderId="0" applyNumberFormat="0" applyBorder="0" applyAlignment="0" applyProtection="0">
      <alignment vertical="center"/>
    </xf>
    <xf numFmtId="0" fontId="23" fillId="54" borderId="0" applyNumberFormat="0" applyBorder="0" applyAlignment="0" applyProtection="0">
      <alignment vertical="center"/>
    </xf>
    <xf numFmtId="0" fontId="24" fillId="55" borderId="0" applyNumberFormat="0" applyBorder="0" applyAlignment="0" applyProtection="0">
      <alignment vertical="center"/>
    </xf>
    <xf numFmtId="0" fontId="24" fillId="56" borderId="0" applyNumberFormat="0" applyBorder="0" applyAlignment="0" applyProtection="0">
      <alignment vertical="center"/>
    </xf>
    <xf numFmtId="0" fontId="23" fillId="57" borderId="0" applyNumberFormat="0" applyBorder="0" applyAlignment="0" applyProtection="0">
      <alignment vertical="center"/>
    </xf>
  </cellStyleXfs>
  <cellXfs count="63">
    <xf numFmtId="0" fontId="0" fillId="0" borderId="0" xfId="0">
      <alignment vertical="center"/>
    </xf>
    <xf numFmtId="0" fontId="0" fillId="0" borderId="1" xfId="0" applyBorder="1" applyAlignment="1">
      <alignment vertical="center" wrapText="1"/>
    </xf>
    <xf numFmtId="0" fontId="1" fillId="0" borderId="1" xfId="0" applyFont="1" applyBorder="1" applyAlignment="1">
      <alignment vertical="center" wrapText="1"/>
    </xf>
    <xf numFmtId="0" fontId="0" fillId="2" borderId="1" xfId="0" applyFill="1" applyBorder="1" applyAlignment="1">
      <alignment vertical="center" wrapText="1"/>
    </xf>
    <xf numFmtId="0" fontId="0" fillId="0" borderId="1" xfId="0" applyFill="1" applyBorder="1" applyAlignment="1">
      <alignment vertical="center" wrapText="1"/>
    </xf>
    <xf numFmtId="0" fontId="1" fillId="3" borderId="1" xfId="0" applyFont="1" applyFill="1" applyBorder="1" applyAlignment="1">
      <alignment vertical="center" wrapText="1"/>
    </xf>
    <xf numFmtId="0" fontId="2" fillId="4" borderId="1" xfId="0" applyFont="1" applyFill="1" applyBorder="1" applyAlignment="1">
      <alignment vertical="center" wrapText="1"/>
    </xf>
    <xf numFmtId="0" fontId="2" fillId="0" borderId="1" xfId="0" applyFont="1" applyFill="1" applyBorder="1" applyAlignment="1">
      <alignment vertical="center" wrapText="1"/>
    </xf>
    <xf numFmtId="0" fontId="3" fillId="5" borderId="1" xfId="0" applyFont="1" applyFill="1" applyBorder="1" applyAlignment="1">
      <alignment vertical="center" wrapText="1"/>
    </xf>
    <xf numFmtId="0" fontId="2" fillId="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4" fillId="10" borderId="1" xfId="0" applyFont="1" applyFill="1" applyBorder="1" applyAlignment="1">
      <alignment vertical="center" wrapText="1"/>
    </xf>
    <xf numFmtId="0" fontId="0" fillId="11" borderId="1" xfId="0" applyFill="1" applyBorder="1" applyAlignment="1">
      <alignment vertical="center" wrapText="1"/>
    </xf>
    <xf numFmtId="0" fontId="0" fillId="7" borderId="1" xfId="0" applyFill="1" applyBorder="1" applyAlignment="1">
      <alignment vertical="center" wrapText="1"/>
    </xf>
    <xf numFmtId="0" fontId="3" fillId="4" borderId="1" xfId="0" applyFont="1" applyFill="1" applyBorder="1" applyAlignment="1">
      <alignment vertical="center" wrapText="1"/>
    </xf>
    <xf numFmtId="0" fontId="3" fillId="12" borderId="1" xfId="0" applyFont="1" applyFill="1" applyBorder="1" applyAlignment="1">
      <alignment vertical="center" wrapText="1"/>
    </xf>
    <xf numFmtId="0" fontId="0" fillId="13" borderId="1" xfId="0" applyFill="1" applyBorder="1" applyAlignment="1">
      <alignment vertical="center" wrapText="1"/>
    </xf>
    <xf numFmtId="0" fontId="0" fillId="14" borderId="1" xfId="0" applyFill="1" applyBorder="1" applyAlignment="1">
      <alignment vertical="center" wrapText="1"/>
    </xf>
    <xf numFmtId="0" fontId="1" fillId="11" borderId="1" xfId="0" applyFont="1" applyFill="1" applyBorder="1" applyAlignment="1">
      <alignment vertical="center" wrapText="1"/>
    </xf>
    <xf numFmtId="0" fontId="1" fillId="13" borderId="1" xfId="0" applyFont="1" applyFill="1" applyBorder="1" applyAlignment="1">
      <alignment vertical="center" wrapText="1"/>
    </xf>
    <xf numFmtId="0" fontId="1" fillId="15" borderId="1" xfId="0" applyFont="1" applyFill="1" applyBorder="1" applyAlignment="1">
      <alignment vertical="center" wrapText="1"/>
    </xf>
    <xf numFmtId="0" fontId="0" fillId="0" borderId="1" xfId="0" applyFont="1" applyFill="1" applyBorder="1" applyAlignment="1">
      <alignment vertical="center" wrapText="1"/>
    </xf>
    <xf numFmtId="0" fontId="0" fillId="16" borderId="1" xfId="0" applyFill="1" applyBorder="1" applyAlignment="1">
      <alignment vertical="center" wrapText="1"/>
    </xf>
    <xf numFmtId="3" fontId="0" fillId="0" borderId="1" xfId="0" applyNumberFormat="1" applyBorder="1" applyAlignment="1">
      <alignment vertical="center" wrapText="1"/>
    </xf>
    <xf numFmtId="0" fontId="0" fillId="0" borderId="1" xfId="0" applyFill="1" applyBorder="1" applyAlignment="1">
      <alignment vertical="center"/>
    </xf>
    <xf numFmtId="0" fontId="0" fillId="17" borderId="1" xfId="0" applyFill="1" applyBorder="1" applyAlignment="1">
      <alignment vertical="center" wrapText="1"/>
    </xf>
    <xf numFmtId="0" fontId="0" fillId="15" borderId="1" xfId="0" applyFill="1" applyBorder="1" applyAlignment="1">
      <alignment vertical="center" wrapText="1"/>
    </xf>
    <xf numFmtId="9" fontId="0" fillId="0" borderId="1" xfId="0" applyNumberFormat="1" applyFill="1" applyBorder="1" applyAlignment="1">
      <alignment vertical="center" wrapText="1"/>
    </xf>
    <xf numFmtId="0" fontId="0" fillId="18" borderId="1" xfId="0" applyFill="1" applyBorder="1" applyAlignment="1">
      <alignment vertical="center" wrapText="1"/>
    </xf>
    <xf numFmtId="0" fontId="5" fillId="0" borderId="1" xfId="0" applyFont="1" applyBorder="1" applyAlignment="1">
      <alignment horizontal="justify" vertical="center"/>
    </xf>
    <xf numFmtId="0" fontId="1" fillId="19" borderId="1" xfId="0" applyFont="1" applyFill="1" applyBorder="1" applyAlignment="1">
      <alignment horizontal="center" vertical="center" wrapText="1"/>
    </xf>
    <xf numFmtId="0" fontId="1" fillId="19" borderId="1" xfId="0" applyFont="1" applyFill="1" applyBorder="1" applyAlignment="1">
      <alignment vertical="center" wrapText="1"/>
    </xf>
    <xf numFmtId="0" fontId="0" fillId="20" borderId="1" xfId="0" applyFill="1" applyBorder="1" applyAlignment="1">
      <alignment vertical="center" wrapText="1"/>
    </xf>
    <xf numFmtId="0" fontId="0" fillId="0" borderId="1" xfId="0" applyBorder="1">
      <alignment vertical="center"/>
    </xf>
    <xf numFmtId="0" fontId="0" fillId="21" borderId="1" xfId="0" applyFill="1" applyBorder="1" applyAlignment="1">
      <alignment vertical="center" wrapText="1"/>
    </xf>
    <xf numFmtId="0" fontId="0" fillId="22" borderId="1" xfId="0" applyFill="1" applyBorder="1" applyAlignment="1">
      <alignment vertical="center" wrapText="1"/>
    </xf>
    <xf numFmtId="0" fontId="0" fillId="23" borderId="1" xfId="0" applyFill="1" applyBorder="1" applyAlignment="1">
      <alignment vertical="center" wrapText="1"/>
    </xf>
    <xf numFmtId="0" fontId="1" fillId="24" borderId="1" xfId="0" applyFont="1" applyFill="1" applyBorder="1" applyAlignment="1">
      <alignment vertical="center" wrapText="1"/>
    </xf>
    <xf numFmtId="0" fontId="0" fillId="15" borderId="1" xfId="0" applyFill="1" applyBorder="1" applyAlignment="1">
      <alignment vertical="center"/>
    </xf>
    <xf numFmtId="0" fontId="0" fillId="0" borderId="1" xfId="0" applyNumberFormat="1" applyBorder="1" applyAlignment="1">
      <alignment vertical="center" wrapText="1"/>
    </xf>
    <xf numFmtId="0" fontId="1" fillId="20" borderId="1" xfId="0" applyFont="1" applyFill="1" applyBorder="1" applyAlignment="1">
      <alignment vertical="center" wrapText="1"/>
    </xf>
    <xf numFmtId="0" fontId="1" fillId="22" borderId="1" xfId="0" applyFont="1" applyFill="1" applyBorder="1" applyAlignment="1">
      <alignment vertical="center" wrapText="1"/>
    </xf>
    <xf numFmtId="0" fontId="1" fillId="25" borderId="1" xfId="0" applyFont="1" applyFill="1" applyBorder="1" applyAlignment="1">
      <alignment vertical="center" wrapText="1"/>
    </xf>
    <xf numFmtId="0" fontId="1" fillId="16" borderId="1" xfId="0" applyFont="1" applyFill="1" applyBorder="1" applyAlignment="1">
      <alignment vertical="center" wrapText="1"/>
    </xf>
    <xf numFmtId="0" fontId="0" fillId="3" borderId="1" xfId="0" applyFill="1" applyBorder="1" applyAlignment="1">
      <alignment vertical="center" wrapText="1"/>
    </xf>
    <xf numFmtId="0" fontId="1" fillId="17" borderId="1" xfId="0" applyFont="1" applyFill="1" applyBorder="1" applyAlignment="1">
      <alignment vertical="center" wrapText="1"/>
    </xf>
    <xf numFmtId="0" fontId="0" fillId="24" borderId="1" xfId="0" applyFill="1" applyBorder="1" applyAlignment="1">
      <alignment vertical="center" wrapText="1"/>
    </xf>
    <xf numFmtId="176" fontId="0" fillId="0" borderId="1" xfId="0" applyNumberFormat="1" applyBorder="1" applyAlignment="1">
      <alignment vertical="center" wrapText="1"/>
    </xf>
    <xf numFmtId="177" fontId="0" fillId="0" borderId="1" xfId="0" applyNumberFormat="1" applyBorder="1" applyAlignment="1">
      <alignment vertical="center" wrapText="1"/>
    </xf>
    <xf numFmtId="178" fontId="0" fillId="0" borderId="1" xfId="0" applyNumberFormat="1" applyBorder="1" applyAlignment="1">
      <alignment vertical="center" wrapText="1"/>
    </xf>
    <xf numFmtId="178" fontId="0" fillId="0" borderId="1" xfId="0" applyNumberFormat="1" applyBorder="1">
      <alignment vertical="center"/>
    </xf>
    <xf numFmtId="0" fontId="0" fillId="26" borderId="1" xfId="0" applyFill="1" applyBorder="1" applyAlignment="1">
      <alignment vertical="center" wrapText="1"/>
    </xf>
    <xf numFmtId="179" fontId="0" fillId="0" borderId="1" xfId="0" applyNumberFormat="1" applyBorder="1" applyAlignment="1">
      <alignment vertical="center" wrapText="1"/>
    </xf>
    <xf numFmtId="176" fontId="0" fillId="0" borderId="1" xfId="0" applyNumberFormat="1" applyBorder="1">
      <alignment vertical="center"/>
    </xf>
    <xf numFmtId="178" fontId="0" fillId="0" borderId="1" xfId="0" applyNumberFormat="1" applyFill="1" applyBorder="1" applyAlignment="1">
      <alignment vertical="center" wrapText="1"/>
    </xf>
    <xf numFmtId="179" fontId="0" fillId="0" borderId="1" xfId="0" applyNumberFormat="1" applyBorder="1">
      <alignment vertical="center"/>
    </xf>
    <xf numFmtId="176" fontId="0" fillId="0" borderId="0" xfId="0" applyNumberFormat="1">
      <alignment vertical="center"/>
    </xf>
    <xf numFmtId="179" fontId="0" fillId="0" borderId="0" xfId="0" applyNumberFormat="1">
      <alignment vertical="center"/>
    </xf>
    <xf numFmtId="179" fontId="0" fillId="0" borderId="1" xfId="0" applyNumberFormat="1" applyFill="1" applyBorder="1" applyAlignment="1">
      <alignment vertical="center" wrapText="1"/>
    </xf>
    <xf numFmtId="0" fontId="0" fillId="10" borderId="1" xfId="0" applyFill="1" applyBorder="1" applyAlignment="1">
      <alignment vertical="center" wrapText="1"/>
    </xf>
    <xf numFmtId="0" fontId="0" fillId="0" borderId="1" xfId="0"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B2196"/>
  <sheetViews>
    <sheetView tabSelected="1" zoomScale="85" zoomScaleNormal="85" workbookViewId="0">
      <pane xSplit="3" ySplit="2" topLeftCell="D1034" activePane="bottomRight" state="frozen"/>
      <selection/>
      <selection pane="topRight"/>
      <selection pane="bottomLeft"/>
      <selection pane="bottomRight" activeCell="I1050" sqref="I1050"/>
    </sheetView>
  </sheetViews>
  <sheetFormatPr defaultColWidth="8.63333333333333" defaultRowHeight="20" customHeight="1"/>
  <cols>
    <col min="1" max="1" width="2.99166666666667" style="3" customWidth="1"/>
    <col min="2" max="2" width="8.63333333333333" style="4" customWidth="1"/>
    <col min="3" max="3" width="18.2083333333333" style="5" customWidth="1"/>
    <col min="4" max="57" width="8.63333333333333" style="4" customWidth="1"/>
    <col min="58" max="58" width="4.05833333333333" style="4" customWidth="1"/>
    <col min="59" max="60" width="8.725" style="4" customWidth="1"/>
    <col min="61" max="61" width="6.2" style="4" customWidth="1"/>
    <col min="62" max="79" width="8.63333333333333" style="4" customWidth="1"/>
    <col min="80" max="80" width="5.45833333333333" style="4" customWidth="1"/>
    <col min="81" max="82" width="8.63333333333333" style="4" customWidth="1"/>
    <col min="83" max="83" width="7.05833333333333" style="4" customWidth="1"/>
    <col min="84" max="84" width="5.125" style="4" customWidth="1"/>
    <col min="85" max="85" width="5.55833333333333" style="4" customWidth="1"/>
    <col min="86" max="86" width="7.69166666666667" style="4" customWidth="1"/>
    <col min="87" max="87" width="8.63333333333333" style="4" customWidth="1"/>
    <col min="88" max="88" width="5.44166666666667" style="4" customWidth="1"/>
    <col min="89" max="89" width="7.05833333333333" style="4" customWidth="1"/>
    <col min="90" max="90" width="6.40833333333333" style="4" customWidth="1"/>
    <col min="91" max="113" width="8.63333333333333" style="4" customWidth="1"/>
    <col min="114" max="114" width="0.0833333333333333" style="4" customWidth="1"/>
    <col min="115" max="119" width="8.63333333333333" style="4" customWidth="1"/>
    <col min="120" max="134" width="8.63333333333333" style="1" customWidth="1"/>
    <col min="135" max="135" width="4.05833333333333" style="1" customWidth="1"/>
    <col min="136" max="149" width="8.63333333333333" style="1" customWidth="1"/>
    <col min="150" max="150" width="10.375" style="1" customWidth="1"/>
    <col min="151" max="164" width="8.63333333333333" style="1" customWidth="1"/>
    <col min="165" max="165" width="8.875" style="1" customWidth="1"/>
    <col min="166" max="269" width="8.63333333333333" style="1" customWidth="1"/>
    <col min="270" max="271" width="8.725" style="1"/>
    <col min="272" max="287" width="12.8166666666667" style="1"/>
    <col min="288" max="313" width="8.725" style="1"/>
    <col min="314" max="16381" width="8.63333333333333" style="1" customWidth="1"/>
    <col min="16382" max="16384" width="8.63333333333333" style="1"/>
  </cols>
  <sheetData>
    <row r="1" s="1" customFormat="1" customHeight="1" spans="1:314">
      <c r="A1" s="6"/>
      <c r="B1" s="7"/>
      <c r="C1" s="8"/>
      <c r="D1" s="7"/>
      <c r="E1" s="7"/>
      <c r="F1" s="7"/>
      <c r="G1" s="7"/>
      <c r="H1" s="7"/>
      <c r="I1" s="7"/>
      <c r="J1" s="7"/>
      <c r="K1" s="7"/>
      <c r="L1" s="7"/>
      <c r="M1" s="7"/>
      <c r="N1" s="9" t="s">
        <v>0</v>
      </c>
      <c r="O1" s="9"/>
      <c r="P1" s="9"/>
      <c r="Q1" s="9"/>
      <c r="R1" s="9"/>
      <c r="S1" s="9"/>
      <c r="T1" s="9"/>
      <c r="U1" s="9"/>
      <c r="V1" s="9"/>
      <c r="W1" s="9"/>
      <c r="X1" s="9"/>
      <c r="Y1" s="9"/>
      <c r="Z1" s="9"/>
      <c r="AA1" s="9"/>
      <c r="AB1" s="9"/>
      <c r="AC1" s="9"/>
      <c r="AD1" s="9"/>
      <c r="AE1" s="9"/>
      <c r="AF1" s="9"/>
      <c r="AG1" s="10" t="s">
        <v>1</v>
      </c>
      <c r="AH1" s="9"/>
      <c r="AI1" s="9"/>
      <c r="AJ1" s="9"/>
      <c r="AK1" s="9"/>
      <c r="AL1" s="9"/>
      <c r="AM1" s="9"/>
      <c r="AN1" s="9"/>
      <c r="AO1" s="9"/>
      <c r="AP1" s="9"/>
      <c r="AQ1" s="9"/>
      <c r="AR1" s="9"/>
      <c r="AS1" s="9"/>
      <c r="AT1" s="9"/>
      <c r="AU1" s="9"/>
      <c r="AV1" s="9"/>
      <c r="AW1" s="9"/>
      <c r="AX1" s="9"/>
      <c r="AY1" s="9"/>
      <c r="AZ1" s="9"/>
      <c r="BA1" s="9"/>
      <c r="BB1" s="9"/>
      <c r="BC1" s="9"/>
      <c r="BD1" s="9"/>
      <c r="BE1" s="9"/>
      <c r="BF1" s="4" t="s">
        <v>2</v>
      </c>
      <c r="BG1" s="4"/>
      <c r="BH1" s="4"/>
      <c r="BI1" s="11" t="s">
        <v>3</v>
      </c>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12" t="s">
        <v>4</v>
      </c>
      <c r="CY1" s="12"/>
      <c r="CZ1" s="12"/>
      <c r="DA1" s="12"/>
      <c r="DB1" s="13" t="s">
        <v>5</v>
      </c>
      <c r="DC1" s="13"/>
      <c r="DD1" s="13"/>
      <c r="DE1" s="13"/>
      <c r="DF1" s="13"/>
      <c r="DG1" s="13"/>
      <c r="DH1" s="13"/>
      <c r="DI1" s="13"/>
      <c r="DJ1" s="13"/>
      <c r="DK1" s="13"/>
      <c r="DL1" s="13"/>
      <c r="DM1" s="7"/>
      <c r="DN1" s="7"/>
      <c r="DO1" s="7" t="s">
        <v>6</v>
      </c>
      <c r="DP1" s="14" t="s">
        <v>7</v>
      </c>
      <c r="DQ1" s="1"/>
      <c r="DR1" s="1"/>
      <c r="DS1" s="1"/>
      <c r="DT1" s="1"/>
      <c r="DU1" s="1"/>
      <c r="DV1" s="1"/>
      <c r="DW1" s="1"/>
      <c r="DX1" s="1"/>
      <c r="DY1" s="1"/>
      <c r="DZ1" s="1"/>
      <c r="EA1" s="1"/>
      <c r="EB1" s="1"/>
      <c r="EE1" s="14" t="s">
        <v>8</v>
      </c>
      <c r="EF1" s="1"/>
      <c r="EG1" s="1"/>
      <c r="EH1" s="1"/>
      <c r="EI1" s="1"/>
      <c r="EJ1" s="1"/>
      <c r="EK1" s="1"/>
      <c r="EL1" s="1"/>
      <c r="EM1" s="1"/>
      <c r="EN1" s="1"/>
      <c r="EO1" s="1"/>
      <c r="EP1" s="1"/>
      <c r="EQ1" s="1"/>
      <c r="ET1" s="14" t="s">
        <v>9</v>
      </c>
      <c r="FI1" s="14" t="s">
        <v>10</v>
      </c>
      <c r="FX1" s="14" t="s">
        <v>11</v>
      </c>
      <c r="FY1" s="1"/>
      <c r="FZ1" s="1"/>
      <c r="GA1" s="1"/>
      <c r="GB1" s="1"/>
      <c r="GC1" s="1"/>
      <c r="GD1" s="1"/>
      <c r="GE1" s="1"/>
      <c r="GF1" s="1"/>
      <c r="GG1" s="1"/>
      <c r="GH1" s="1"/>
      <c r="GI1" s="1"/>
      <c r="GJ1" s="1"/>
      <c r="GM1" s="14" t="s">
        <v>12</v>
      </c>
      <c r="GN1" s="1"/>
      <c r="GO1" s="1"/>
      <c r="GP1" s="1"/>
      <c r="GQ1" s="1"/>
      <c r="GR1" s="1"/>
      <c r="GS1" s="1"/>
      <c r="GT1" s="1"/>
      <c r="GU1" s="1"/>
      <c r="GV1" s="1"/>
      <c r="GW1" s="1"/>
      <c r="GX1" s="1"/>
      <c r="GY1" s="1"/>
      <c r="HB1" s="14" t="s">
        <v>13</v>
      </c>
      <c r="HC1" s="1"/>
      <c r="HD1" s="1"/>
      <c r="HE1" s="1"/>
      <c r="HF1" s="1"/>
      <c r="HG1" s="1"/>
      <c r="HH1" s="1"/>
      <c r="HI1" s="1"/>
      <c r="HJ1" s="1"/>
      <c r="HK1" s="1"/>
      <c r="HL1" s="1"/>
      <c r="HM1" s="1"/>
      <c r="HN1" s="1"/>
      <c r="HQ1" s="14" t="s">
        <v>14</v>
      </c>
      <c r="HR1" s="1"/>
      <c r="HS1" s="1"/>
      <c r="HT1" s="1"/>
      <c r="HU1" s="1"/>
      <c r="HV1" s="1"/>
      <c r="HW1" s="1"/>
      <c r="HX1" s="1"/>
      <c r="HY1" s="1"/>
      <c r="HZ1" s="1"/>
      <c r="IA1" s="1"/>
      <c r="IB1" s="1"/>
      <c r="IC1" s="1"/>
      <c r="IF1" s="14" t="s">
        <v>15</v>
      </c>
      <c r="IG1" s="1"/>
      <c r="IH1" s="1"/>
      <c r="II1" s="1"/>
      <c r="IJ1" s="1"/>
      <c r="IK1" s="1"/>
      <c r="IL1" s="1"/>
      <c r="IM1" s="1"/>
      <c r="IN1" s="1"/>
      <c r="IO1" s="1"/>
      <c r="IP1" s="1"/>
      <c r="IQ1" s="1"/>
      <c r="IR1" s="1"/>
      <c r="IU1" s="1" t="s">
        <v>16</v>
      </c>
      <c r="JJ1" s="15" t="s">
        <v>17</v>
      </c>
      <c r="KZ1" s="16" t="s">
        <v>18</v>
      </c>
    </row>
    <row r="2" s="2" customFormat="1" ht="50" customHeight="1" spans="1:314">
      <c r="A2" s="17" t="s">
        <v>19</v>
      </c>
      <c r="B2" s="18" t="s">
        <v>20</v>
      </c>
      <c r="C2" s="8" t="s">
        <v>21</v>
      </c>
      <c r="D2" s="18" t="s">
        <v>22</v>
      </c>
      <c r="E2" s="18" t="s">
        <v>23</v>
      </c>
      <c r="F2" s="18" t="s">
        <v>24</v>
      </c>
      <c r="G2" s="18" t="s">
        <v>25</v>
      </c>
      <c r="H2" s="18" t="s">
        <v>26</v>
      </c>
      <c r="I2" s="18" t="s">
        <v>27</v>
      </c>
      <c r="J2" s="18" t="s">
        <v>28</v>
      </c>
      <c r="K2" s="18" t="s">
        <v>29</v>
      </c>
      <c r="L2" s="18" t="s">
        <v>30</v>
      </c>
      <c r="M2" s="18" t="s">
        <v>31</v>
      </c>
      <c r="N2" s="18" t="s">
        <v>32</v>
      </c>
      <c r="O2" s="18" t="s">
        <v>33</v>
      </c>
      <c r="P2" s="18" t="s">
        <v>34</v>
      </c>
      <c r="Q2" s="18" t="s">
        <v>35</v>
      </c>
      <c r="R2" s="18" t="s">
        <v>36</v>
      </c>
      <c r="S2" s="18" t="s">
        <v>37</v>
      </c>
      <c r="T2" s="18" t="s">
        <v>38</v>
      </c>
      <c r="U2" s="18" t="s">
        <v>39</v>
      </c>
      <c r="V2" s="18" t="s">
        <v>40</v>
      </c>
      <c r="W2" s="18" t="s">
        <v>41</v>
      </c>
      <c r="X2" s="18" t="s">
        <v>42</v>
      </c>
      <c r="Y2" s="18" t="s">
        <v>43</v>
      </c>
      <c r="Z2" s="18" t="s">
        <v>44</v>
      </c>
      <c r="AA2" s="18" t="s">
        <v>45</v>
      </c>
      <c r="AB2" s="18" t="s">
        <v>46</v>
      </c>
      <c r="AC2" s="18" t="s">
        <v>47</v>
      </c>
      <c r="AD2" s="18" t="s">
        <v>48</v>
      </c>
      <c r="AE2" s="18" t="s">
        <v>49</v>
      </c>
      <c r="AF2" s="18" t="s">
        <v>50</v>
      </c>
      <c r="AG2" s="18" t="s">
        <v>51</v>
      </c>
      <c r="AH2" s="18" t="s">
        <v>52</v>
      </c>
      <c r="AI2" s="18" t="s">
        <v>53</v>
      </c>
      <c r="AJ2" s="18" t="s">
        <v>54</v>
      </c>
      <c r="AK2" s="18" t="s">
        <v>55</v>
      </c>
      <c r="AL2" s="18" t="s">
        <v>56</v>
      </c>
      <c r="AM2" s="18" t="s">
        <v>57</v>
      </c>
      <c r="AN2" s="18" t="s">
        <v>58</v>
      </c>
      <c r="AO2" s="18" t="s">
        <v>59</v>
      </c>
      <c r="AP2" s="18" t="s">
        <v>60</v>
      </c>
      <c r="AQ2" s="18" t="s">
        <v>61</v>
      </c>
      <c r="AR2" s="18" t="s">
        <v>62</v>
      </c>
      <c r="AS2" s="18" t="s">
        <v>63</v>
      </c>
      <c r="AT2" s="18" t="s">
        <v>64</v>
      </c>
      <c r="AU2" s="18" t="s">
        <v>65</v>
      </c>
      <c r="AV2" s="18" t="s">
        <v>66</v>
      </c>
      <c r="AW2" s="18" t="s">
        <v>67</v>
      </c>
      <c r="AX2" s="18" t="s">
        <v>68</v>
      </c>
      <c r="AY2" s="18" t="s">
        <v>69</v>
      </c>
      <c r="AZ2" s="18" t="s">
        <v>70</v>
      </c>
      <c r="BA2" s="18" t="s">
        <v>71</v>
      </c>
      <c r="BB2" s="18" t="s">
        <v>72</v>
      </c>
      <c r="BC2" s="18" t="s">
        <v>73</v>
      </c>
      <c r="BD2" s="18" t="s">
        <v>74</v>
      </c>
      <c r="BE2" s="18" t="s">
        <v>75</v>
      </c>
      <c r="BF2" s="19" t="s">
        <v>76</v>
      </c>
      <c r="BG2" s="19" t="s">
        <v>77</v>
      </c>
      <c r="BH2" s="19" t="s">
        <v>78</v>
      </c>
      <c r="BI2" s="18" t="s">
        <v>79</v>
      </c>
      <c r="BJ2" s="18" t="s">
        <v>80</v>
      </c>
      <c r="BK2" s="18" t="s">
        <v>81</v>
      </c>
      <c r="BL2" s="18" t="s">
        <v>82</v>
      </c>
      <c r="BM2" s="18" t="s">
        <v>83</v>
      </c>
      <c r="BN2" s="18" t="s">
        <v>84</v>
      </c>
      <c r="BO2" s="18" t="s">
        <v>85</v>
      </c>
      <c r="BP2" s="18" t="s">
        <v>86</v>
      </c>
      <c r="BQ2" s="18" t="s">
        <v>87</v>
      </c>
      <c r="BR2" s="18" t="s">
        <v>88</v>
      </c>
      <c r="BS2" s="18" t="s">
        <v>89</v>
      </c>
      <c r="BT2" s="18" t="s">
        <v>90</v>
      </c>
      <c r="BU2" s="18" t="s">
        <v>91</v>
      </c>
      <c r="BV2" s="18" t="s">
        <v>92</v>
      </c>
      <c r="BW2" s="18" t="s">
        <v>93</v>
      </c>
      <c r="BX2" s="18" t="s">
        <v>94</v>
      </c>
      <c r="BY2" s="18" t="s">
        <v>95</v>
      </c>
      <c r="BZ2" s="18" t="s">
        <v>96</v>
      </c>
      <c r="CA2" s="18" t="s">
        <v>75</v>
      </c>
      <c r="CB2" s="18" t="s">
        <v>61</v>
      </c>
      <c r="CC2" s="18" t="s">
        <v>97</v>
      </c>
      <c r="CD2" s="18" t="s">
        <v>98</v>
      </c>
      <c r="CE2" s="18" t="s">
        <v>63</v>
      </c>
      <c r="CF2" s="18" t="s">
        <v>99</v>
      </c>
      <c r="CG2" s="18" t="s">
        <v>100</v>
      </c>
      <c r="CH2" s="18" t="s">
        <v>65</v>
      </c>
      <c r="CI2" s="18" t="s">
        <v>101</v>
      </c>
      <c r="CJ2" s="18" t="s">
        <v>102</v>
      </c>
      <c r="CK2" s="18" t="s">
        <v>67</v>
      </c>
      <c r="CL2" s="18" t="s">
        <v>103</v>
      </c>
      <c r="CM2" s="18" t="s">
        <v>104</v>
      </c>
      <c r="CN2" s="18" t="s">
        <v>69</v>
      </c>
      <c r="CO2" s="18" t="s">
        <v>105</v>
      </c>
      <c r="CP2" s="18" t="s">
        <v>71</v>
      </c>
      <c r="CQ2" s="18" t="s">
        <v>106</v>
      </c>
      <c r="CR2" s="18" t="s">
        <v>107</v>
      </c>
      <c r="CS2" s="18" t="s">
        <v>108</v>
      </c>
      <c r="CT2" s="18" t="s">
        <v>109</v>
      </c>
      <c r="CU2" s="18" t="s">
        <v>110</v>
      </c>
      <c r="CV2" s="18" t="s">
        <v>111</v>
      </c>
      <c r="CW2" s="18" t="s">
        <v>112</v>
      </c>
      <c r="CX2" s="18" t="s">
        <v>113</v>
      </c>
      <c r="CY2" s="18" t="s">
        <v>114</v>
      </c>
      <c r="CZ2" s="18" t="s">
        <v>115</v>
      </c>
      <c r="DA2" s="18" t="s">
        <v>116</v>
      </c>
      <c r="DB2" s="18" t="s">
        <v>117</v>
      </c>
      <c r="DC2" s="18" t="s">
        <v>118</v>
      </c>
      <c r="DD2" s="18" t="s">
        <v>119</v>
      </c>
      <c r="DE2" s="18" t="s">
        <v>120</v>
      </c>
      <c r="DF2" s="18" t="s">
        <v>121</v>
      </c>
      <c r="DG2" s="18" t="s">
        <v>122</v>
      </c>
      <c r="DH2" s="18" t="s">
        <v>123</v>
      </c>
      <c r="DI2" s="18" t="s">
        <v>124</v>
      </c>
      <c r="DJ2" s="18" t="s">
        <v>125</v>
      </c>
      <c r="DK2" s="18" t="s">
        <v>126</v>
      </c>
      <c r="DL2" s="18" t="s">
        <v>127</v>
      </c>
      <c r="DM2" s="18" t="s">
        <v>92</v>
      </c>
      <c r="DN2" s="18" t="s">
        <v>128</v>
      </c>
      <c r="DO2" s="20" t="s">
        <v>129</v>
      </c>
      <c r="DP2" s="2" t="s">
        <v>130</v>
      </c>
      <c r="DQ2" s="21" t="s">
        <v>131</v>
      </c>
      <c r="DR2" s="22" t="s">
        <v>132</v>
      </c>
      <c r="DS2" s="21" t="s">
        <v>133</v>
      </c>
      <c r="DT2" s="22" t="s">
        <v>134</v>
      </c>
      <c r="DU2" s="22" t="s">
        <v>135</v>
      </c>
      <c r="DV2" s="22" t="s">
        <v>136</v>
      </c>
      <c r="DW2" s="22" t="s">
        <v>137</v>
      </c>
      <c r="DX2" s="22" t="s">
        <v>138</v>
      </c>
      <c r="DY2" s="23" t="s">
        <v>139</v>
      </c>
      <c r="DZ2" s="23" t="s">
        <v>140</v>
      </c>
      <c r="EA2" s="23" t="s">
        <v>141</v>
      </c>
      <c r="EB2" s="23" t="s">
        <v>142</v>
      </c>
      <c r="EC2" s="23" t="s">
        <v>143</v>
      </c>
      <c r="ED2" s="23" t="s">
        <v>144</v>
      </c>
      <c r="EE2" s="2" t="s">
        <v>130</v>
      </c>
      <c r="EF2" s="21" t="s">
        <v>145</v>
      </c>
      <c r="EG2" s="21" t="s">
        <v>146</v>
      </c>
      <c r="EH2" s="21" t="s">
        <v>147</v>
      </c>
      <c r="EI2" s="21" t="s">
        <v>148</v>
      </c>
      <c r="EJ2" s="22" t="s">
        <v>149</v>
      </c>
      <c r="EK2" s="22" t="s">
        <v>150</v>
      </c>
      <c r="EL2" s="22" t="s">
        <v>151</v>
      </c>
      <c r="EM2" s="22" t="s">
        <v>152</v>
      </c>
      <c r="EN2" s="23" t="s">
        <v>153</v>
      </c>
      <c r="EO2" s="23" t="s">
        <v>154</v>
      </c>
      <c r="EP2" s="23" t="s">
        <v>155</v>
      </c>
      <c r="EQ2" s="23" t="s">
        <v>156</v>
      </c>
      <c r="ER2" s="23" t="s">
        <v>143</v>
      </c>
      <c r="ES2" s="23" t="s">
        <v>144</v>
      </c>
      <c r="ET2" s="2" t="s">
        <v>130</v>
      </c>
      <c r="EU2" s="21" t="s">
        <v>157</v>
      </c>
      <c r="EV2" s="21" t="s">
        <v>158</v>
      </c>
      <c r="EW2" s="21" t="s">
        <v>159</v>
      </c>
      <c r="EX2" s="21" t="s">
        <v>160</v>
      </c>
      <c r="EY2" s="22" t="s">
        <v>161</v>
      </c>
      <c r="EZ2" s="22" t="s">
        <v>162</v>
      </c>
      <c r="FA2" s="22" t="s">
        <v>163</v>
      </c>
      <c r="FB2" s="22" t="s">
        <v>164</v>
      </c>
      <c r="FC2" s="23" t="s">
        <v>165</v>
      </c>
      <c r="FD2" s="23" t="s">
        <v>166</v>
      </c>
      <c r="FE2" s="23" t="s">
        <v>167</v>
      </c>
      <c r="FF2" s="23" t="s">
        <v>168</v>
      </c>
      <c r="FG2" s="23" t="s">
        <v>143</v>
      </c>
      <c r="FH2" s="23" t="s">
        <v>169</v>
      </c>
      <c r="FI2" s="2" t="s">
        <v>130</v>
      </c>
      <c r="FJ2" s="21" t="s">
        <v>170</v>
      </c>
      <c r="FK2" s="21" t="s">
        <v>171</v>
      </c>
      <c r="FL2" s="21" t="s">
        <v>172</v>
      </c>
      <c r="FM2" s="21" t="s">
        <v>173</v>
      </c>
      <c r="FN2" s="22" t="s">
        <v>174</v>
      </c>
      <c r="FO2" s="22" t="s">
        <v>175</v>
      </c>
      <c r="FP2" s="22" t="s">
        <v>176</v>
      </c>
      <c r="FQ2" s="22" t="s">
        <v>177</v>
      </c>
      <c r="FR2" s="23" t="s">
        <v>178</v>
      </c>
      <c r="FS2" s="23" t="s">
        <v>179</v>
      </c>
      <c r="FT2" s="23" t="s">
        <v>180</v>
      </c>
      <c r="FU2" s="23" t="s">
        <v>181</v>
      </c>
      <c r="FV2" s="23" t="s">
        <v>143</v>
      </c>
      <c r="FW2" s="23" t="s">
        <v>182</v>
      </c>
      <c r="FX2" s="2" t="s">
        <v>130</v>
      </c>
      <c r="FY2" s="21" t="s">
        <v>183</v>
      </c>
      <c r="FZ2" s="21" t="s">
        <v>184</v>
      </c>
      <c r="GA2" s="21" t="s">
        <v>185</v>
      </c>
      <c r="GB2" s="21" t="s">
        <v>186</v>
      </c>
      <c r="GC2" s="22" t="s">
        <v>187</v>
      </c>
      <c r="GD2" s="22" t="s">
        <v>188</v>
      </c>
      <c r="GE2" s="22" t="s">
        <v>189</v>
      </c>
      <c r="GF2" s="22" t="s">
        <v>190</v>
      </c>
      <c r="GG2" s="23" t="s">
        <v>191</v>
      </c>
      <c r="GH2" s="23" t="s">
        <v>192</v>
      </c>
      <c r="GI2" s="23" t="s">
        <v>193</v>
      </c>
      <c r="GJ2" s="23" t="s">
        <v>194</v>
      </c>
      <c r="GK2" s="23" t="s">
        <v>143</v>
      </c>
      <c r="GL2" s="23" t="s">
        <v>195</v>
      </c>
      <c r="GM2" s="2" t="s">
        <v>130</v>
      </c>
      <c r="GN2" s="21" t="s">
        <v>196</v>
      </c>
      <c r="GO2" s="21" t="s">
        <v>197</v>
      </c>
      <c r="GP2" s="21" t="s">
        <v>198</v>
      </c>
      <c r="GQ2" s="21" t="s">
        <v>199</v>
      </c>
      <c r="GR2" s="22" t="s">
        <v>200</v>
      </c>
      <c r="GS2" s="22" t="s">
        <v>201</v>
      </c>
      <c r="GT2" s="22" t="s">
        <v>202</v>
      </c>
      <c r="GU2" s="22" t="s">
        <v>203</v>
      </c>
      <c r="GV2" s="23" t="s">
        <v>204</v>
      </c>
      <c r="GW2" s="23" t="s">
        <v>205</v>
      </c>
      <c r="GX2" s="23" t="s">
        <v>206</v>
      </c>
      <c r="GY2" s="23" t="s">
        <v>207</v>
      </c>
      <c r="GZ2" s="23" t="s">
        <v>143</v>
      </c>
      <c r="HA2" s="23" t="s">
        <v>208</v>
      </c>
      <c r="HB2" s="2" t="s">
        <v>130</v>
      </c>
      <c r="HC2" s="21" t="s">
        <v>209</v>
      </c>
      <c r="HD2" s="21" t="s">
        <v>210</v>
      </c>
      <c r="HE2" s="21" t="s">
        <v>211</v>
      </c>
      <c r="HF2" s="21" t="s">
        <v>212</v>
      </c>
      <c r="HG2" s="22" t="s">
        <v>213</v>
      </c>
      <c r="HH2" s="22" t="s">
        <v>214</v>
      </c>
      <c r="HI2" s="22" t="s">
        <v>215</v>
      </c>
      <c r="HJ2" s="22" t="s">
        <v>216</v>
      </c>
      <c r="HK2" s="23" t="s">
        <v>217</v>
      </c>
      <c r="HL2" s="23" t="s">
        <v>218</v>
      </c>
      <c r="HM2" s="23" t="s">
        <v>219</v>
      </c>
      <c r="HN2" s="23" t="s">
        <v>220</v>
      </c>
      <c r="HO2" s="23" t="s">
        <v>221</v>
      </c>
      <c r="HP2" s="23" t="s">
        <v>222</v>
      </c>
      <c r="HQ2" s="2" t="s">
        <v>130</v>
      </c>
      <c r="HR2" s="21" t="s">
        <v>223</v>
      </c>
      <c r="HS2" s="21" t="s">
        <v>224</v>
      </c>
      <c r="HT2" s="21" t="s">
        <v>225</v>
      </c>
      <c r="HU2" s="21" t="s">
        <v>226</v>
      </c>
      <c r="HV2" s="22" t="s">
        <v>227</v>
      </c>
      <c r="HW2" s="22" t="s">
        <v>228</v>
      </c>
      <c r="HX2" s="22" t="s">
        <v>229</v>
      </c>
      <c r="HY2" s="22" t="s">
        <v>230</v>
      </c>
      <c r="HZ2" s="23" t="s">
        <v>231</v>
      </c>
      <c r="IA2" s="23" t="s">
        <v>232</v>
      </c>
      <c r="IB2" s="23" t="s">
        <v>233</v>
      </c>
      <c r="IC2" s="23" t="s">
        <v>234</v>
      </c>
      <c r="ID2" s="23" t="s">
        <v>143</v>
      </c>
      <c r="IE2" s="23" t="s">
        <v>235</v>
      </c>
      <c r="IF2" s="2" t="s">
        <v>130</v>
      </c>
      <c r="IG2" s="21" t="s">
        <v>236</v>
      </c>
      <c r="IH2" s="21" t="s">
        <v>237</v>
      </c>
      <c r="II2" s="21" t="s">
        <v>238</v>
      </c>
      <c r="IJ2" s="21" t="s">
        <v>239</v>
      </c>
      <c r="IK2" s="22" t="s">
        <v>240</v>
      </c>
      <c r="IL2" s="22" t="s">
        <v>241</v>
      </c>
      <c r="IM2" s="22" t="s">
        <v>242</v>
      </c>
      <c r="IN2" s="22" t="s">
        <v>243</v>
      </c>
      <c r="IO2" s="23" t="s">
        <v>244</v>
      </c>
      <c r="IP2" s="23" t="s">
        <v>245</v>
      </c>
      <c r="IQ2" s="23" t="s">
        <v>246</v>
      </c>
      <c r="IR2" s="23" t="s">
        <v>247</v>
      </c>
      <c r="IS2" s="23" t="s">
        <v>143</v>
      </c>
      <c r="IT2" s="23" t="s">
        <v>246</v>
      </c>
      <c r="IU2" s="2" t="s">
        <v>130</v>
      </c>
      <c r="IV2" s="21" t="s">
        <v>248</v>
      </c>
      <c r="IW2" s="21" t="s">
        <v>249</v>
      </c>
      <c r="IX2" s="21" t="s">
        <v>250</v>
      </c>
      <c r="IY2" s="21" t="s">
        <v>251</v>
      </c>
      <c r="IZ2" s="22" t="s">
        <v>252</v>
      </c>
      <c r="JA2" s="22" t="s">
        <v>253</v>
      </c>
      <c r="JB2" s="22" t="s">
        <v>254</v>
      </c>
      <c r="JC2" s="22" t="s">
        <v>255</v>
      </c>
      <c r="JD2" s="23" t="s">
        <v>256</v>
      </c>
      <c r="JE2" s="23" t="s">
        <v>257</v>
      </c>
      <c r="JF2" s="23" t="s">
        <v>258</v>
      </c>
      <c r="JG2" s="23" t="s">
        <v>259</v>
      </c>
      <c r="JH2" s="23" t="s">
        <v>143</v>
      </c>
      <c r="JI2" s="23" t="s">
        <v>260</v>
      </c>
      <c r="JJ2" s="19" t="s">
        <v>261</v>
      </c>
      <c r="JK2" s="19" t="s">
        <v>262</v>
      </c>
      <c r="JL2" s="19" t="s">
        <v>263</v>
      </c>
      <c r="JM2" s="19" t="s">
        <v>264</v>
      </c>
      <c r="JN2" s="19" t="s">
        <v>265</v>
      </c>
      <c r="JO2" s="19" t="s">
        <v>264</v>
      </c>
      <c r="JP2" s="19" t="s">
        <v>266</v>
      </c>
      <c r="JQ2" s="19" t="s">
        <v>264</v>
      </c>
      <c r="JR2" s="19" t="s">
        <v>267</v>
      </c>
      <c r="JS2" s="19" t="s">
        <v>264</v>
      </c>
      <c r="JT2" s="19" t="s">
        <v>268</v>
      </c>
      <c r="JU2" s="19"/>
      <c r="JV2" s="19" t="s">
        <v>269</v>
      </c>
      <c r="JW2" s="19"/>
      <c r="JX2" s="19" t="s">
        <v>270</v>
      </c>
      <c r="JY2" s="19"/>
      <c r="JZ2" s="19" t="s">
        <v>271</v>
      </c>
      <c r="KA2" s="19"/>
      <c r="KB2" s="19" t="s">
        <v>272</v>
      </c>
      <c r="KC2" s="19" t="s">
        <v>273</v>
      </c>
      <c r="KD2" s="19" t="s">
        <v>274</v>
      </c>
      <c r="KE2" s="19" t="s">
        <v>275</v>
      </c>
      <c r="KF2" s="19" t="s">
        <v>276</v>
      </c>
      <c r="KG2" s="19" t="s">
        <v>277</v>
      </c>
      <c r="KH2" s="19" t="s">
        <v>278</v>
      </c>
      <c r="KI2" s="19" t="s">
        <v>279</v>
      </c>
      <c r="KJ2" s="19" t="s">
        <v>280</v>
      </c>
      <c r="KK2" s="19" t="s">
        <v>281</v>
      </c>
      <c r="KL2" s="19" t="s">
        <v>282</v>
      </c>
      <c r="KM2" s="19" t="s">
        <v>283</v>
      </c>
      <c r="KN2" s="19" t="s">
        <v>284</v>
      </c>
      <c r="KO2" s="19" t="s">
        <v>285</v>
      </c>
      <c r="KP2" s="19" t="s">
        <v>286</v>
      </c>
      <c r="KQ2" s="19" t="s">
        <v>287</v>
      </c>
      <c r="KR2" s="19" t="s">
        <v>288</v>
      </c>
      <c r="KS2" s="19" t="s">
        <v>289</v>
      </c>
      <c r="KT2" s="19" t="s">
        <v>290</v>
      </c>
      <c r="KU2" s="19" t="s">
        <v>291</v>
      </c>
      <c r="KV2" s="19" t="s">
        <v>292</v>
      </c>
      <c r="KW2" s="19" t="s">
        <v>293</v>
      </c>
      <c r="KX2" s="19" t="s">
        <v>294</v>
      </c>
      <c r="KY2" s="19" t="s">
        <v>295</v>
      </c>
      <c r="KZ2" s="19" t="s">
        <v>296</v>
      </c>
      <c r="LA2" s="19" t="s">
        <v>18</v>
      </c>
      <c r="LB2" s="2" t="s">
        <v>297</v>
      </c>
    </row>
    <row r="3" customHeight="1" spans="1:314">
      <c r="A3" s="3">
        <v>1</v>
      </c>
      <c r="B3" s="4" t="s">
        <v>298</v>
      </c>
      <c r="C3" s="5" t="s">
        <v>299</v>
      </c>
      <c r="D3" s="4" t="s">
        <v>300</v>
      </c>
      <c r="E3" s="4" t="s">
        <v>301</v>
      </c>
      <c r="N3" s="24" t="s">
        <v>302</v>
      </c>
      <c r="O3" s="24" t="s">
        <v>303</v>
      </c>
      <c r="S3" s="4" t="s">
        <v>304</v>
      </c>
      <c r="T3" s="4">
        <v>12.06</v>
      </c>
      <c r="U3" s="4">
        <v>0.077</v>
      </c>
      <c r="V3" s="4">
        <v>28.41</v>
      </c>
      <c r="X3" s="4">
        <v>0.82</v>
      </c>
      <c r="AC3" s="4" t="s">
        <v>305</v>
      </c>
      <c r="AD3" s="4" t="s">
        <v>306</v>
      </c>
      <c r="AE3" s="4" t="s">
        <v>307</v>
      </c>
      <c r="AF3" s="63" t="s">
        <v>308</v>
      </c>
      <c r="BI3" s="4" t="s">
        <v>309</v>
      </c>
      <c r="BK3" s="4">
        <v>300</v>
      </c>
      <c r="BN3" s="4">
        <v>0.2</v>
      </c>
      <c r="BS3" s="4">
        <v>5</v>
      </c>
      <c r="BU3" s="4">
        <v>150</v>
      </c>
      <c r="BV3" s="4" t="s">
        <v>310</v>
      </c>
      <c r="BW3" s="4" t="s">
        <v>311</v>
      </c>
      <c r="BZ3" s="4">
        <v>1</v>
      </c>
      <c r="CB3" s="4" t="s">
        <v>7</v>
      </c>
      <c r="CC3" s="4">
        <v>120</v>
      </c>
      <c r="DB3" s="4" t="s">
        <v>312</v>
      </c>
      <c r="DC3" s="4" t="s">
        <v>313</v>
      </c>
      <c r="DD3" s="1">
        <v>534.39</v>
      </c>
      <c r="DE3" s="19">
        <v>513.8</v>
      </c>
      <c r="DF3" s="19"/>
      <c r="DM3" s="4" t="s">
        <v>310</v>
      </c>
      <c r="DO3" s="4">
        <v>3</v>
      </c>
      <c r="DP3" s="4">
        <v>120</v>
      </c>
      <c r="DW3" s="1">
        <v>534.39</v>
      </c>
      <c r="DX3" s="1">
        <v>7.41</v>
      </c>
      <c r="ED3" s="1">
        <v>89.065</v>
      </c>
    </row>
    <row r="4" customHeight="1" spans="1:314">
      <c r="A4" s="3">
        <v>1</v>
      </c>
      <c r="B4" s="4" t="s">
        <v>298</v>
      </c>
      <c r="C4" s="5" t="s">
        <v>299</v>
      </c>
      <c r="D4" s="4" t="s">
        <v>300</v>
      </c>
      <c r="E4" s="4" t="s">
        <v>301</v>
      </c>
      <c r="N4" s="24" t="s">
        <v>302</v>
      </c>
      <c r="O4" s="24" t="s">
        <v>303</v>
      </c>
      <c r="S4" s="4" t="s">
        <v>304</v>
      </c>
      <c r="T4" s="4">
        <v>12.06</v>
      </c>
      <c r="U4" s="4">
        <v>0.077</v>
      </c>
      <c r="V4" s="4">
        <v>28.41</v>
      </c>
      <c r="X4" s="4">
        <v>0.82</v>
      </c>
      <c r="AC4" s="4" t="s">
        <v>305</v>
      </c>
      <c r="AD4" s="4" t="s">
        <v>306</v>
      </c>
      <c r="AE4" s="4" t="s">
        <v>307</v>
      </c>
      <c r="AF4" s="63" t="s">
        <v>308</v>
      </c>
      <c r="BC4" s="25"/>
      <c r="BD4" s="25"/>
      <c r="BE4" s="25"/>
      <c r="BI4" s="4" t="s">
        <v>309</v>
      </c>
      <c r="BK4" s="25">
        <v>300</v>
      </c>
      <c r="BL4" s="25"/>
      <c r="BM4" s="25"/>
      <c r="BN4" s="25">
        <v>0.2</v>
      </c>
      <c r="BV4" s="25">
        <v>1440</v>
      </c>
      <c r="BW4" s="4" t="s">
        <v>311</v>
      </c>
      <c r="BZ4" s="25">
        <v>2</v>
      </c>
      <c r="CB4" s="4" t="s">
        <v>7</v>
      </c>
      <c r="CC4" s="25">
        <v>10</v>
      </c>
      <c r="CD4" s="25"/>
      <c r="CE4" s="25" t="s">
        <v>13</v>
      </c>
      <c r="CF4" s="25">
        <v>100</v>
      </c>
      <c r="CG4" s="25"/>
      <c r="CH4" s="25"/>
      <c r="CI4" s="25"/>
      <c r="CJ4" s="25"/>
      <c r="CK4" s="25"/>
      <c r="CL4" s="25"/>
      <c r="CM4" s="25"/>
      <c r="CN4" s="25"/>
      <c r="CO4" s="25"/>
      <c r="CP4" s="25"/>
      <c r="CQ4" s="25"/>
      <c r="CR4" s="25"/>
      <c r="CX4" s="4" t="s">
        <v>314</v>
      </c>
      <c r="CY4" s="4" t="s">
        <v>315</v>
      </c>
      <c r="DE4" s="19"/>
      <c r="DF4" s="19"/>
      <c r="DM4" s="25">
        <v>1440</v>
      </c>
      <c r="DN4" s="25"/>
      <c r="DO4" s="4">
        <v>3</v>
      </c>
      <c r="DP4" s="25">
        <v>10</v>
      </c>
      <c r="DW4" s="1">
        <v>4.23</v>
      </c>
      <c r="DX4" s="1">
        <v>0.21</v>
      </c>
      <c r="ED4" s="1">
        <v>8.46</v>
      </c>
    </row>
    <row r="5" customHeight="1" spans="1:314">
      <c r="A5" s="3">
        <v>1</v>
      </c>
      <c r="B5" s="4" t="s">
        <v>298</v>
      </c>
      <c r="C5" s="5" t="s">
        <v>299</v>
      </c>
      <c r="D5" s="4" t="s">
        <v>300</v>
      </c>
      <c r="E5" s="4" t="s">
        <v>301</v>
      </c>
      <c r="N5" s="24" t="s">
        <v>302</v>
      </c>
      <c r="O5" s="24" t="s">
        <v>303</v>
      </c>
      <c r="S5" s="4" t="s">
        <v>304</v>
      </c>
      <c r="T5" s="4">
        <v>12.06</v>
      </c>
      <c r="U5" s="4">
        <v>0.077</v>
      </c>
      <c r="V5" s="4">
        <v>28.41</v>
      </c>
      <c r="X5" s="4">
        <v>0.82</v>
      </c>
      <c r="AC5" s="4" t="s">
        <v>305</v>
      </c>
      <c r="AD5" s="4" t="s">
        <v>306</v>
      </c>
      <c r="AE5" s="4" t="s">
        <v>307</v>
      </c>
      <c r="AF5" s="63" t="s">
        <v>308</v>
      </c>
      <c r="BI5" s="4" t="s">
        <v>309</v>
      </c>
      <c r="BK5" s="25">
        <v>300</v>
      </c>
      <c r="BL5" s="25"/>
      <c r="BM5" s="25"/>
      <c r="BN5" s="25">
        <v>0.2</v>
      </c>
      <c r="BV5" s="4">
        <v>1440</v>
      </c>
      <c r="BW5" s="4" t="s">
        <v>311</v>
      </c>
      <c r="BZ5" s="4">
        <v>2</v>
      </c>
      <c r="CB5" s="25" t="s">
        <v>7</v>
      </c>
      <c r="CC5" s="25">
        <v>10</v>
      </c>
      <c r="CD5" s="25"/>
      <c r="CE5" s="4" t="s">
        <v>15</v>
      </c>
      <c r="CF5" s="25">
        <v>100</v>
      </c>
      <c r="CG5" s="25"/>
      <c r="CX5" s="4" t="s">
        <v>314</v>
      </c>
      <c r="CY5" s="4" t="s">
        <v>315</v>
      </c>
      <c r="DE5" s="19"/>
      <c r="DF5" s="19"/>
      <c r="DM5" s="4">
        <v>1440</v>
      </c>
      <c r="DO5" s="4">
        <v>3</v>
      </c>
      <c r="DP5" s="25">
        <v>10</v>
      </c>
      <c r="DW5" s="1">
        <v>38.21</v>
      </c>
      <c r="DX5" s="1">
        <v>0.714</v>
      </c>
      <c r="ED5" s="1">
        <v>76.42</v>
      </c>
    </row>
    <row r="6" customHeight="1" spans="1:314">
      <c r="A6" s="3">
        <v>1</v>
      </c>
      <c r="B6" s="4" t="s">
        <v>298</v>
      </c>
      <c r="C6" s="5" t="s">
        <v>299</v>
      </c>
      <c r="D6" s="4" t="s">
        <v>300</v>
      </c>
      <c r="E6" s="4" t="s">
        <v>301</v>
      </c>
      <c r="N6" s="24" t="s">
        <v>302</v>
      </c>
      <c r="O6" s="24" t="s">
        <v>303</v>
      </c>
      <c r="S6" s="4" t="s">
        <v>304</v>
      </c>
      <c r="T6" s="4">
        <v>12.06</v>
      </c>
      <c r="U6" s="4">
        <v>0.077</v>
      </c>
      <c r="V6" s="4">
        <v>28.41</v>
      </c>
      <c r="X6" s="4">
        <v>0.82</v>
      </c>
      <c r="AC6" s="4" t="s">
        <v>305</v>
      </c>
      <c r="AD6" s="4" t="s">
        <v>306</v>
      </c>
      <c r="AE6" s="4" t="s">
        <v>307</v>
      </c>
      <c r="AF6" s="63" t="s">
        <v>308</v>
      </c>
      <c r="BI6" s="4" t="s">
        <v>309</v>
      </c>
      <c r="BK6" s="25">
        <v>300</v>
      </c>
      <c r="BL6" s="25"/>
      <c r="BM6" s="25"/>
      <c r="BN6" s="25">
        <v>0.2</v>
      </c>
      <c r="BV6" s="4">
        <v>1440</v>
      </c>
      <c r="BW6" s="4" t="s">
        <v>311</v>
      </c>
      <c r="BZ6" s="4">
        <v>2</v>
      </c>
      <c r="CB6" s="25" t="s">
        <v>7</v>
      </c>
      <c r="CC6" s="25">
        <v>10</v>
      </c>
      <c r="CD6" s="25"/>
      <c r="CE6" s="4" t="s">
        <v>14</v>
      </c>
      <c r="CF6" s="25">
        <v>100</v>
      </c>
      <c r="CG6" s="25"/>
      <c r="CX6" s="4" t="s">
        <v>314</v>
      </c>
      <c r="CY6" s="4" t="s">
        <v>315</v>
      </c>
      <c r="DE6" s="19"/>
      <c r="DF6" s="19"/>
      <c r="DM6" s="4">
        <v>1440</v>
      </c>
      <c r="DO6" s="4">
        <v>3</v>
      </c>
      <c r="DP6" s="25">
        <v>10</v>
      </c>
      <c r="DW6" s="1">
        <v>1.56</v>
      </c>
      <c r="DX6" s="1">
        <v>0.29</v>
      </c>
      <c r="ED6" s="1">
        <v>3.12</v>
      </c>
    </row>
    <row r="7" customHeight="1" spans="1:314">
      <c r="A7" s="3">
        <v>1</v>
      </c>
      <c r="B7" s="4" t="s">
        <v>298</v>
      </c>
      <c r="C7" s="5" t="s">
        <v>299</v>
      </c>
      <c r="D7" s="4" t="s">
        <v>300</v>
      </c>
      <c r="E7" s="4" t="s">
        <v>301</v>
      </c>
      <c r="N7" s="24" t="s">
        <v>302</v>
      </c>
      <c r="O7" s="24" t="s">
        <v>303</v>
      </c>
      <c r="S7" s="4" t="s">
        <v>304</v>
      </c>
      <c r="T7" s="4">
        <v>12.06</v>
      </c>
      <c r="U7" s="4">
        <v>0.077</v>
      </c>
      <c r="V7" s="4">
        <v>28.41</v>
      </c>
      <c r="X7" s="4">
        <v>0.82</v>
      </c>
      <c r="AC7" s="4" t="s">
        <v>305</v>
      </c>
      <c r="AD7" s="4" t="s">
        <v>306</v>
      </c>
      <c r="AE7" s="4" t="s">
        <v>307</v>
      </c>
      <c r="AF7" s="63" t="s">
        <v>308</v>
      </c>
      <c r="AG7" s="4" t="s">
        <v>316</v>
      </c>
      <c r="AH7" s="4" t="s">
        <v>317</v>
      </c>
      <c r="AI7" s="4" t="s">
        <v>318</v>
      </c>
      <c r="AM7" s="4">
        <v>5.34</v>
      </c>
      <c r="AQ7" s="4" t="s">
        <v>319</v>
      </c>
      <c r="AR7" s="4">
        <v>1.49</v>
      </c>
      <c r="BC7" s="25"/>
      <c r="BD7" s="25"/>
      <c r="BE7" s="25"/>
      <c r="BI7" s="4" t="s">
        <v>320</v>
      </c>
      <c r="BK7" s="4">
        <v>200</v>
      </c>
      <c r="BN7" s="4">
        <v>0.05</v>
      </c>
      <c r="BS7" s="4">
        <v>5</v>
      </c>
      <c r="BU7" s="4">
        <v>150</v>
      </c>
      <c r="BV7" s="25">
        <v>1440</v>
      </c>
      <c r="BW7" s="4" t="s">
        <v>311</v>
      </c>
      <c r="BZ7" s="4">
        <v>4</v>
      </c>
      <c r="CB7" s="4" t="s">
        <v>7</v>
      </c>
      <c r="CC7" s="25">
        <v>0.105</v>
      </c>
      <c r="CD7" s="25"/>
      <c r="CE7" s="25" t="s">
        <v>13</v>
      </c>
      <c r="CF7" s="25">
        <v>1.983</v>
      </c>
      <c r="CG7" s="25"/>
      <c r="CH7" s="4" t="s">
        <v>15</v>
      </c>
      <c r="CI7" s="25">
        <v>0.161</v>
      </c>
      <c r="CJ7" s="25"/>
      <c r="CK7" s="25" t="s">
        <v>14</v>
      </c>
      <c r="CL7" s="25">
        <v>0.324</v>
      </c>
      <c r="CM7" s="25"/>
      <c r="CN7" s="25"/>
      <c r="CO7" s="25"/>
      <c r="CP7" s="25"/>
      <c r="CQ7" s="25"/>
      <c r="CR7" s="25"/>
      <c r="DE7" s="19"/>
      <c r="DF7" s="19"/>
      <c r="DM7" s="25">
        <v>1440</v>
      </c>
      <c r="DN7" s="25"/>
      <c r="DO7" s="4">
        <v>3</v>
      </c>
      <c r="DP7" s="25">
        <v>0.105</v>
      </c>
      <c r="EA7" s="25">
        <v>23.94</v>
      </c>
      <c r="EB7" s="1">
        <v>2.3</v>
      </c>
      <c r="ED7" s="25">
        <v>23.94</v>
      </c>
      <c r="HM7" s="25">
        <v>42.47</v>
      </c>
      <c r="HN7" s="25">
        <v>0.542</v>
      </c>
      <c r="HO7" s="25"/>
      <c r="HP7" s="25">
        <v>42.47</v>
      </c>
      <c r="IB7" s="4">
        <v>63.5</v>
      </c>
      <c r="IC7" s="4">
        <v>2.439</v>
      </c>
      <c r="ID7" s="4"/>
      <c r="IE7" s="4">
        <v>63.5</v>
      </c>
      <c r="IQ7" s="4">
        <v>34.06</v>
      </c>
      <c r="IR7" s="26">
        <v>1.355</v>
      </c>
      <c r="IS7" s="26"/>
      <c r="IT7" s="4">
        <v>34.06</v>
      </c>
    </row>
    <row r="8" customHeight="1" spans="1:314">
      <c r="A8" s="3">
        <v>1</v>
      </c>
      <c r="B8" s="4" t="s">
        <v>298</v>
      </c>
      <c r="C8" s="5" t="s">
        <v>299</v>
      </c>
      <c r="D8" s="4" t="s">
        <v>300</v>
      </c>
      <c r="E8" s="4" t="s">
        <v>301</v>
      </c>
      <c r="N8" s="24" t="s">
        <v>302</v>
      </c>
      <c r="O8" s="24" t="s">
        <v>303</v>
      </c>
      <c r="S8" s="4" t="s">
        <v>304</v>
      </c>
      <c r="T8" s="4">
        <v>12.06</v>
      </c>
      <c r="U8" s="4">
        <v>0.077</v>
      </c>
      <c r="V8" s="4">
        <v>28.41</v>
      </c>
      <c r="X8" s="4">
        <v>0.82</v>
      </c>
      <c r="AC8" s="4" t="s">
        <v>305</v>
      </c>
      <c r="AD8" s="4" t="s">
        <v>306</v>
      </c>
      <c r="AE8" s="4" t="s">
        <v>307</v>
      </c>
      <c r="AF8" s="63" t="s">
        <v>308</v>
      </c>
      <c r="AG8" s="4" t="s">
        <v>316</v>
      </c>
      <c r="AH8" s="4" t="s">
        <v>317</v>
      </c>
      <c r="AI8" s="4" t="s">
        <v>318</v>
      </c>
      <c r="AM8" s="4">
        <v>5.34</v>
      </c>
      <c r="AQ8" s="4" t="s">
        <v>319</v>
      </c>
      <c r="AR8" s="4">
        <v>1.49</v>
      </c>
      <c r="BC8" s="25"/>
      <c r="BD8" s="25"/>
      <c r="BE8" s="25"/>
      <c r="BI8" s="4" t="s">
        <v>321</v>
      </c>
      <c r="BP8" s="4">
        <v>0.2</v>
      </c>
      <c r="BV8" s="25" t="s">
        <v>322</v>
      </c>
      <c r="BW8" s="4" t="s">
        <v>323</v>
      </c>
      <c r="BX8" s="4">
        <v>40</v>
      </c>
      <c r="BZ8" s="4">
        <v>1</v>
      </c>
      <c r="CA8" s="24" t="s">
        <v>324</v>
      </c>
      <c r="CB8" s="4" t="s">
        <v>7</v>
      </c>
      <c r="CC8" s="25">
        <v>0.451</v>
      </c>
      <c r="CD8" s="25"/>
      <c r="CE8" s="25" t="s">
        <v>13</v>
      </c>
      <c r="CF8" s="25">
        <v>1.01</v>
      </c>
      <c r="CG8" s="25"/>
      <c r="CH8" s="4" t="s">
        <v>15</v>
      </c>
      <c r="CI8" s="25">
        <v>2.96</v>
      </c>
      <c r="CJ8" s="25"/>
      <c r="CK8" s="25" t="s">
        <v>14</v>
      </c>
      <c r="CL8" s="25">
        <v>2.07</v>
      </c>
      <c r="CM8" s="25"/>
      <c r="CN8" s="25"/>
      <c r="CO8" s="25"/>
      <c r="CP8" s="25"/>
      <c r="CQ8" s="25"/>
      <c r="CR8" s="25"/>
      <c r="DE8" s="19"/>
      <c r="DF8" s="19"/>
      <c r="DM8" s="25"/>
      <c r="DN8" s="25"/>
      <c r="DO8" s="4">
        <v>3</v>
      </c>
      <c r="DP8" s="25">
        <v>0.451</v>
      </c>
      <c r="DQ8" s="25">
        <v>0.451</v>
      </c>
      <c r="DR8" s="25">
        <v>0.0294</v>
      </c>
      <c r="DS8" s="25">
        <v>0.204</v>
      </c>
      <c r="DT8" s="25">
        <v>0.021</v>
      </c>
      <c r="EA8" s="25">
        <v>54.69</v>
      </c>
      <c r="ED8" s="25">
        <v>54.69</v>
      </c>
      <c r="HC8" s="1">
        <v>1.01</v>
      </c>
      <c r="HD8" s="1">
        <v>0.077</v>
      </c>
      <c r="HE8" s="25">
        <v>0.579</v>
      </c>
      <c r="HF8" s="1">
        <v>0.103</v>
      </c>
      <c r="HO8" s="1">
        <f>(HC8-HE8)/HC8*100</f>
        <v>42.6732673267327</v>
      </c>
      <c r="HP8" s="1">
        <v>42.6732673267327</v>
      </c>
      <c r="HR8" s="1">
        <v>2.07</v>
      </c>
      <c r="HS8" s="1">
        <v>0.026</v>
      </c>
      <c r="HT8" s="4">
        <v>0.72</v>
      </c>
      <c r="HU8" s="1">
        <v>0.026</v>
      </c>
      <c r="IG8" s="1">
        <v>2.96</v>
      </c>
      <c r="IH8" s="1">
        <v>0.17</v>
      </c>
      <c r="II8" s="25">
        <v>0.72</v>
      </c>
      <c r="IJ8" s="1">
        <v>0.0675</v>
      </c>
      <c r="IS8" s="1">
        <f>(IG8-II8)/IG8*100</f>
        <v>75.6756756756757</v>
      </c>
      <c r="IT8" s="1">
        <f>(IH8-IJ8)/IH8*100</f>
        <v>60.2941176470588</v>
      </c>
    </row>
    <row r="9" customHeight="1" spans="1:314">
      <c r="A9" s="3">
        <v>1</v>
      </c>
      <c r="B9" s="4" t="s">
        <v>298</v>
      </c>
      <c r="C9" s="5" t="s">
        <v>325</v>
      </c>
      <c r="D9" s="4" t="s">
        <v>326</v>
      </c>
      <c r="E9" s="4" t="s">
        <v>327</v>
      </c>
      <c r="F9" s="4" t="s">
        <v>328</v>
      </c>
      <c r="G9" s="4" t="s">
        <v>329</v>
      </c>
      <c r="N9" s="24" t="s">
        <v>302</v>
      </c>
      <c r="O9" s="24" t="s">
        <v>303</v>
      </c>
      <c r="S9" s="4" t="s">
        <v>304</v>
      </c>
      <c r="T9" s="4">
        <v>16.29</v>
      </c>
      <c r="U9" s="4">
        <v>0.062</v>
      </c>
      <c r="V9" s="4">
        <v>25.05</v>
      </c>
      <c r="X9" s="4">
        <v>1.09</v>
      </c>
      <c r="Z9" s="4" t="s">
        <v>330</v>
      </c>
      <c r="AA9" s="4" t="s">
        <v>331</v>
      </c>
      <c r="AB9" s="4" t="s">
        <v>332</v>
      </c>
      <c r="AC9" s="4" t="s">
        <v>305</v>
      </c>
      <c r="AD9" s="4" t="s">
        <v>306</v>
      </c>
      <c r="AE9" s="4" t="s">
        <v>307</v>
      </c>
      <c r="AF9" s="63" t="s">
        <v>308</v>
      </c>
      <c r="BC9" s="25"/>
      <c r="BD9" s="25"/>
      <c r="BE9" s="25"/>
      <c r="BI9" s="4" t="s">
        <v>309</v>
      </c>
      <c r="BK9" s="4">
        <v>300</v>
      </c>
      <c r="BN9" s="4">
        <v>0.2</v>
      </c>
      <c r="BS9" s="4">
        <v>5</v>
      </c>
      <c r="BU9" s="4">
        <v>150</v>
      </c>
      <c r="BV9" s="25" t="s">
        <v>310</v>
      </c>
      <c r="BW9" s="4" t="s">
        <v>311</v>
      </c>
      <c r="BZ9" s="4">
        <v>1</v>
      </c>
      <c r="CB9" s="4" t="s">
        <v>7</v>
      </c>
      <c r="CC9" s="25">
        <v>120</v>
      </c>
      <c r="CD9" s="25"/>
      <c r="CE9" s="25"/>
      <c r="CF9" s="25"/>
      <c r="CG9" s="25"/>
      <c r="CH9" s="25"/>
      <c r="CI9" s="25"/>
      <c r="CJ9" s="25"/>
      <c r="CK9" s="25"/>
      <c r="CL9" s="25"/>
      <c r="CM9" s="25"/>
      <c r="CN9" s="25"/>
      <c r="CO9" s="25"/>
      <c r="CP9" s="25"/>
      <c r="CQ9" s="25"/>
      <c r="CR9" s="25"/>
      <c r="CV9" s="4">
        <v>5</v>
      </c>
      <c r="CY9" s="4" t="s">
        <v>315</v>
      </c>
      <c r="DB9" s="4" t="s">
        <v>312</v>
      </c>
      <c r="DC9" s="4" t="s">
        <v>333</v>
      </c>
      <c r="DD9" s="4">
        <v>682.01</v>
      </c>
      <c r="DE9" s="19">
        <v>692.6</v>
      </c>
      <c r="DF9" s="19"/>
      <c r="DM9" s="25" t="s">
        <v>310</v>
      </c>
      <c r="DN9" s="25"/>
      <c r="DO9" s="4">
        <v>3</v>
      </c>
      <c r="DP9" s="25">
        <v>120</v>
      </c>
      <c r="DW9" s="1">
        <v>682.01</v>
      </c>
      <c r="DX9" s="1">
        <v>7.39</v>
      </c>
      <c r="DY9" s="25"/>
      <c r="ED9" s="1">
        <v>114</v>
      </c>
      <c r="KZ9" s="1" t="s">
        <v>7</v>
      </c>
      <c r="LA9" s="1" t="s">
        <v>334</v>
      </c>
    </row>
    <row r="10" customHeight="1" spans="1:314">
      <c r="A10" s="3">
        <v>1</v>
      </c>
      <c r="B10" s="4" t="s">
        <v>298</v>
      </c>
      <c r="C10" s="5" t="s">
        <v>325</v>
      </c>
      <c r="D10" s="4" t="s">
        <v>326</v>
      </c>
      <c r="E10" s="4" t="s">
        <v>327</v>
      </c>
      <c r="F10" s="4" t="s">
        <v>328</v>
      </c>
      <c r="G10" s="4" t="s">
        <v>329</v>
      </c>
      <c r="N10" s="24" t="s">
        <v>302</v>
      </c>
      <c r="O10" s="24" t="s">
        <v>303</v>
      </c>
      <c r="S10" s="4" t="s">
        <v>304</v>
      </c>
      <c r="T10" s="4">
        <v>16.29</v>
      </c>
      <c r="U10" s="4">
        <v>0.062</v>
      </c>
      <c r="V10" s="4">
        <v>25.05</v>
      </c>
      <c r="X10" s="4">
        <v>1.09</v>
      </c>
      <c r="Z10" s="4" t="s">
        <v>330</v>
      </c>
      <c r="AA10" s="4" t="s">
        <v>331</v>
      </c>
      <c r="AB10" s="4" t="s">
        <v>332</v>
      </c>
      <c r="AC10" s="4" t="s">
        <v>305</v>
      </c>
      <c r="AD10" s="4" t="s">
        <v>306</v>
      </c>
      <c r="AE10" s="4" t="s">
        <v>307</v>
      </c>
      <c r="AF10" s="63" t="s">
        <v>308</v>
      </c>
      <c r="BC10" s="25"/>
      <c r="BD10" s="25"/>
      <c r="BE10" s="25"/>
      <c r="BI10" s="4" t="s">
        <v>309</v>
      </c>
      <c r="BJ10" s="25"/>
      <c r="BK10" s="25">
        <v>300</v>
      </c>
      <c r="BL10" s="25"/>
      <c r="BM10" s="25"/>
      <c r="BN10" s="25">
        <v>0.2</v>
      </c>
      <c r="BO10" s="25"/>
      <c r="BP10" s="25"/>
      <c r="BQ10" s="25"/>
      <c r="BR10" s="25"/>
      <c r="BS10" s="25"/>
      <c r="BT10" s="25"/>
      <c r="BU10" s="25"/>
      <c r="BV10" s="4">
        <v>1440</v>
      </c>
      <c r="BW10" s="4" t="s">
        <v>311</v>
      </c>
      <c r="BX10" s="25"/>
      <c r="BY10" s="25"/>
      <c r="BZ10" s="25">
        <v>2</v>
      </c>
      <c r="CA10" s="25"/>
      <c r="CB10" s="25" t="s">
        <v>7</v>
      </c>
      <c r="CC10" s="25">
        <v>10</v>
      </c>
      <c r="CD10" s="25"/>
      <c r="CE10" s="25" t="s">
        <v>13</v>
      </c>
      <c r="CF10" s="25">
        <v>100</v>
      </c>
      <c r="CG10" s="25"/>
      <c r="CH10" s="25"/>
      <c r="CI10" s="25"/>
      <c r="CJ10" s="25"/>
      <c r="CK10" s="25"/>
      <c r="CL10" s="25"/>
      <c r="CM10" s="25"/>
      <c r="CN10" s="25"/>
      <c r="CO10" s="25"/>
      <c r="CP10" s="25"/>
      <c r="CQ10" s="25"/>
      <c r="CR10" s="25"/>
      <c r="CS10" s="25"/>
      <c r="CT10" s="25"/>
      <c r="CU10" s="25"/>
      <c r="CV10" s="25"/>
      <c r="CW10" s="25"/>
      <c r="CX10" s="4" t="s">
        <v>314</v>
      </c>
      <c r="CY10" s="4" t="s">
        <v>315</v>
      </c>
      <c r="CZ10" s="25"/>
      <c r="DE10" s="19"/>
      <c r="DF10" s="19"/>
      <c r="DM10" s="4">
        <v>1440</v>
      </c>
      <c r="DO10" s="4">
        <v>3</v>
      </c>
      <c r="DP10" s="25">
        <v>10</v>
      </c>
      <c r="DW10" s="4">
        <v>15.81</v>
      </c>
      <c r="DX10" s="1">
        <v>0.25</v>
      </c>
      <c r="ED10" s="1">
        <v>31.62</v>
      </c>
      <c r="KZ10" s="1" t="s">
        <v>15</v>
      </c>
      <c r="LA10" s="1" t="s">
        <v>335</v>
      </c>
    </row>
    <row r="11" customHeight="1" spans="1:314">
      <c r="A11" s="3">
        <v>1</v>
      </c>
      <c r="B11" s="4" t="s">
        <v>298</v>
      </c>
      <c r="C11" s="5" t="s">
        <v>325</v>
      </c>
      <c r="D11" s="4" t="s">
        <v>326</v>
      </c>
      <c r="E11" s="4" t="s">
        <v>327</v>
      </c>
      <c r="F11" s="4" t="s">
        <v>328</v>
      </c>
      <c r="G11" s="4" t="s">
        <v>329</v>
      </c>
      <c r="N11" s="24" t="s">
        <v>302</v>
      </c>
      <c r="O11" s="24" t="s">
        <v>303</v>
      </c>
      <c r="S11" s="4" t="s">
        <v>304</v>
      </c>
      <c r="T11" s="4">
        <v>16.29</v>
      </c>
      <c r="U11" s="4">
        <v>0.062</v>
      </c>
      <c r="V11" s="4">
        <v>25.05</v>
      </c>
      <c r="X11" s="4">
        <v>1.09</v>
      </c>
      <c r="Z11" s="4" t="s">
        <v>330</v>
      </c>
      <c r="AA11" s="4" t="s">
        <v>331</v>
      </c>
      <c r="AB11" s="4" t="s">
        <v>332</v>
      </c>
      <c r="AC11" s="4" t="s">
        <v>305</v>
      </c>
      <c r="AD11" s="4" t="s">
        <v>306</v>
      </c>
      <c r="AE11" s="4" t="s">
        <v>307</v>
      </c>
      <c r="AF11" s="63" t="s">
        <v>308</v>
      </c>
      <c r="BI11" s="4" t="s">
        <v>309</v>
      </c>
      <c r="BK11" s="25">
        <v>300</v>
      </c>
      <c r="BL11" s="25"/>
      <c r="BM11" s="25"/>
      <c r="BN11" s="25">
        <v>0.2</v>
      </c>
      <c r="BV11" s="4">
        <v>1440</v>
      </c>
      <c r="BW11" s="4" t="s">
        <v>311</v>
      </c>
      <c r="BZ11" s="4">
        <v>2</v>
      </c>
      <c r="CB11" s="25" t="s">
        <v>7</v>
      </c>
      <c r="CC11" s="25">
        <v>10</v>
      </c>
      <c r="CD11" s="25"/>
      <c r="CE11" s="4" t="s">
        <v>15</v>
      </c>
      <c r="CF11" s="25">
        <v>100</v>
      </c>
      <c r="CG11" s="25"/>
      <c r="CX11" s="4" t="s">
        <v>314</v>
      </c>
      <c r="CY11" s="4" t="s">
        <v>315</v>
      </c>
      <c r="DE11" s="19"/>
      <c r="DF11" s="19"/>
      <c r="DM11" s="4">
        <v>1440</v>
      </c>
      <c r="DO11" s="4">
        <v>3</v>
      </c>
      <c r="DP11" s="25">
        <v>10</v>
      </c>
      <c r="DW11" s="4">
        <v>54.29</v>
      </c>
      <c r="DX11" s="1">
        <v>0.54</v>
      </c>
      <c r="ED11" s="1">
        <v>108.58</v>
      </c>
      <c r="KZ11" s="1" t="s">
        <v>14</v>
      </c>
      <c r="LA11" s="1" t="s">
        <v>336</v>
      </c>
    </row>
    <row r="12" customHeight="1" spans="1:314">
      <c r="A12" s="3">
        <v>1</v>
      </c>
      <c r="B12" s="4" t="s">
        <v>298</v>
      </c>
      <c r="C12" s="5" t="s">
        <v>325</v>
      </c>
      <c r="D12" s="4" t="s">
        <v>326</v>
      </c>
      <c r="E12" s="4" t="s">
        <v>327</v>
      </c>
      <c r="F12" s="4" t="s">
        <v>328</v>
      </c>
      <c r="G12" s="4" t="s">
        <v>329</v>
      </c>
      <c r="N12" s="24" t="s">
        <v>302</v>
      </c>
      <c r="O12" s="24" t="s">
        <v>303</v>
      </c>
      <c r="S12" s="4" t="s">
        <v>304</v>
      </c>
      <c r="T12" s="4">
        <v>16.29</v>
      </c>
      <c r="U12" s="4">
        <v>0.062</v>
      </c>
      <c r="V12" s="4">
        <v>25.05</v>
      </c>
      <c r="X12" s="4">
        <v>1.09</v>
      </c>
      <c r="Z12" s="4" t="s">
        <v>330</v>
      </c>
      <c r="AA12" s="4" t="s">
        <v>331</v>
      </c>
      <c r="AB12" s="4" t="s">
        <v>332</v>
      </c>
      <c r="AC12" s="4" t="s">
        <v>305</v>
      </c>
      <c r="AD12" s="4" t="s">
        <v>306</v>
      </c>
      <c r="AE12" s="4" t="s">
        <v>307</v>
      </c>
      <c r="AF12" s="63" t="s">
        <v>308</v>
      </c>
      <c r="BI12" s="4" t="s">
        <v>309</v>
      </c>
      <c r="BK12" s="25">
        <v>300</v>
      </c>
      <c r="BL12" s="25"/>
      <c r="BM12" s="25"/>
      <c r="BN12" s="25">
        <v>0.2</v>
      </c>
      <c r="BV12" s="4">
        <v>1440</v>
      </c>
      <c r="BW12" s="4" t="s">
        <v>311</v>
      </c>
      <c r="BZ12" s="4">
        <v>2</v>
      </c>
      <c r="CB12" s="25" t="s">
        <v>7</v>
      </c>
      <c r="CC12" s="25">
        <v>10</v>
      </c>
      <c r="CD12" s="25"/>
      <c r="CE12" s="4" t="s">
        <v>14</v>
      </c>
      <c r="CF12" s="25">
        <v>100</v>
      </c>
      <c r="CG12" s="25"/>
      <c r="CX12" s="4" t="s">
        <v>314</v>
      </c>
      <c r="CY12" s="4" t="s">
        <v>315</v>
      </c>
      <c r="DE12" s="19"/>
      <c r="DF12" s="19"/>
      <c r="DM12" s="4">
        <v>1440</v>
      </c>
      <c r="DO12" s="4">
        <v>3</v>
      </c>
      <c r="DP12" s="25">
        <v>10</v>
      </c>
      <c r="DW12" s="4">
        <v>28.83</v>
      </c>
      <c r="DX12" s="1">
        <v>0.53</v>
      </c>
      <c r="ED12" s="1">
        <v>57.66</v>
      </c>
    </row>
    <row r="13" customHeight="1" spans="1:314">
      <c r="A13" s="3">
        <v>1</v>
      </c>
      <c r="B13" s="4" t="s">
        <v>298</v>
      </c>
      <c r="C13" s="5" t="s">
        <v>325</v>
      </c>
      <c r="D13" s="4" t="s">
        <v>326</v>
      </c>
      <c r="E13" s="4" t="s">
        <v>327</v>
      </c>
      <c r="F13" s="4" t="s">
        <v>328</v>
      </c>
      <c r="G13" s="4" t="s">
        <v>329</v>
      </c>
      <c r="N13" s="24" t="s">
        <v>302</v>
      </c>
      <c r="O13" s="24" t="s">
        <v>303</v>
      </c>
      <c r="S13" s="4" t="s">
        <v>304</v>
      </c>
      <c r="T13" s="4">
        <v>16.29</v>
      </c>
      <c r="U13" s="4">
        <v>0.062</v>
      </c>
      <c r="V13" s="4">
        <v>25.05</v>
      </c>
      <c r="X13" s="4">
        <v>1.09</v>
      </c>
      <c r="Z13" s="4" t="s">
        <v>330</v>
      </c>
      <c r="AA13" s="4" t="s">
        <v>331</v>
      </c>
      <c r="AB13" s="4" t="s">
        <v>332</v>
      </c>
      <c r="AC13" s="4" t="s">
        <v>305</v>
      </c>
      <c r="AD13" s="4" t="s">
        <v>306</v>
      </c>
      <c r="AE13" s="4" t="s">
        <v>307</v>
      </c>
      <c r="AF13" s="63" t="s">
        <v>308</v>
      </c>
      <c r="AG13" s="4" t="s">
        <v>316</v>
      </c>
      <c r="AH13" s="4" t="s">
        <v>317</v>
      </c>
      <c r="AI13" s="4" t="s">
        <v>318</v>
      </c>
      <c r="AM13" s="4">
        <v>5.34</v>
      </c>
      <c r="AQ13" s="4" t="s">
        <v>319</v>
      </c>
      <c r="AR13" s="4">
        <v>1.49</v>
      </c>
      <c r="BC13" s="25"/>
      <c r="BD13" s="25"/>
      <c r="BE13" s="25"/>
      <c r="BI13" s="4" t="s">
        <v>320</v>
      </c>
      <c r="BK13" s="4">
        <v>200</v>
      </c>
      <c r="BN13" s="4">
        <v>0.05</v>
      </c>
      <c r="BS13" s="4">
        <v>5</v>
      </c>
      <c r="BU13" s="4">
        <v>150</v>
      </c>
      <c r="BV13" s="25">
        <v>1440</v>
      </c>
      <c r="BW13" s="4" t="s">
        <v>311</v>
      </c>
      <c r="BZ13" s="4">
        <v>4</v>
      </c>
      <c r="CB13" s="4" t="s">
        <v>7</v>
      </c>
      <c r="CC13" s="25">
        <v>0.105</v>
      </c>
      <c r="CD13" s="25"/>
      <c r="CE13" s="25" t="s">
        <v>13</v>
      </c>
      <c r="CF13" s="25">
        <v>1.983</v>
      </c>
      <c r="CG13" s="25"/>
      <c r="CH13" s="4" t="s">
        <v>15</v>
      </c>
      <c r="CI13" s="25">
        <v>0.161</v>
      </c>
      <c r="CJ13" s="25"/>
      <c r="CK13" s="25" t="s">
        <v>14</v>
      </c>
      <c r="CL13" s="25">
        <v>0.324</v>
      </c>
      <c r="CM13" s="25"/>
      <c r="CN13" s="25"/>
      <c r="CO13" s="25"/>
      <c r="CP13" s="25"/>
      <c r="CQ13" s="25"/>
      <c r="CR13" s="25"/>
      <c r="DE13" s="19"/>
      <c r="DF13" s="19"/>
      <c r="DM13" s="25">
        <v>1440</v>
      </c>
      <c r="DN13" s="25"/>
      <c r="DO13" s="4">
        <v>3</v>
      </c>
      <c r="DP13" s="25">
        <v>0.105</v>
      </c>
      <c r="DS13" s="25">
        <v>0.001</v>
      </c>
      <c r="DT13" s="1">
        <v>0</v>
      </c>
      <c r="EA13" s="25">
        <v>99.25</v>
      </c>
      <c r="EB13" s="25">
        <v>0.1355</v>
      </c>
      <c r="EC13" s="25"/>
      <c r="ED13" s="25">
        <v>99.25</v>
      </c>
      <c r="HB13" s="1" t="s">
        <v>337</v>
      </c>
      <c r="HE13" s="25">
        <v>1.158</v>
      </c>
      <c r="HF13" s="1">
        <v>0.012</v>
      </c>
      <c r="HM13" s="25">
        <v>40.3</v>
      </c>
      <c r="HN13" s="25">
        <v>0</v>
      </c>
      <c r="HO13" s="25"/>
      <c r="HP13" s="25">
        <v>40.3</v>
      </c>
      <c r="HQ13" s="1" t="s">
        <v>338</v>
      </c>
      <c r="HT13" s="1">
        <v>0.155</v>
      </c>
      <c r="HU13" s="1">
        <v>0.027</v>
      </c>
      <c r="IB13" s="4">
        <v>52.5</v>
      </c>
      <c r="IC13" s="4">
        <v>0.271</v>
      </c>
      <c r="ID13" s="4"/>
      <c r="IE13" s="4">
        <v>52.5</v>
      </c>
      <c r="IF13" s="1" t="s">
        <v>339</v>
      </c>
      <c r="II13" s="25">
        <v>0.11</v>
      </c>
      <c r="IJ13" s="1">
        <v>0.003</v>
      </c>
      <c r="IQ13" s="4">
        <v>30.66</v>
      </c>
      <c r="IR13" s="1">
        <v>2.3</v>
      </c>
      <c r="IT13" s="4">
        <v>30.66</v>
      </c>
    </row>
    <row r="14" customHeight="1" spans="1:314">
      <c r="A14" s="3">
        <v>1</v>
      </c>
      <c r="B14" s="4" t="s">
        <v>298</v>
      </c>
      <c r="C14" s="5" t="s">
        <v>325</v>
      </c>
      <c r="D14" s="4" t="s">
        <v>326</v>
      </c>
      <c r="E14" s="4" t="s">
        <v>327</v>
      </c>
      <c r="F14" s="4" t="s">
        <v>328</v>
      </c>
      <c r="G14" s="4" t="s">
        <v>329</v>
      </c>
      <c r="N14" s="24" t="s">
        <v>302</v>
      </c>
      <c r="O14" s="24" t="s">
        <v>303</v>
      </c>
      <c r="S14" s="4" t="s">
        <v>304</v>
      </c>
      <c r="T14" s="4">
        <v>16.29</v>
      </c>
      <c r="U14" s="4">
        <v>0.062</v>
      </c>
      <c r="V14" s="4">
        <v>25.05</v>
      </c>
      <c r="X14" s="4">
        <v>1.09</v>
      </c>
      <c r="Z14" s="4" t="s">
        <v>330</v>
      </c>
      <c r="AA14" s="4" t="s">
        <v>331</v>
      </c>
      <c r="AB14" s="4" t="s">
        <v>332</v>
      </c>
      <c r="AC14" s="4" t="s">
        <v>305</v>
      </c>
      <c r="AD14" s="4" t="s">
        <v>306</v>
      </c>
      <c r="AE14" s="4" t="s">
        <v>307</v>
      </c>
      <c r="AF14" s="63" t="s">
        <v>308</v>
      </c>
      <c r="AG14" s="4" t="s">
        <v>316</v>
      </c>
      <c r="AH14" s="4" t="s">
        <v>317</v>
      </c>
      <c r="AI14" s="4" t="s">
        <v>318</v>
      </c>
      <c r="AM14" s="4">
        <v>5.34</v>
      </c>
      <c r="AQ14" s="4" t="s">
        <v>319</v>
      </c>
      <c r="AR14" s="4">
        <v>1.49</v>
      </c>
      <c r="BC14" s="25"/>
      <c r="BD14" s="25"/>
      <c r="BE14" s="25"/>
      <c r="BI14" s="4" t="s">
        <v>321</v>
      </c>
      <c r="BP14" s="4">
        <v>0.2</v>
      </c>
      <c r="BV14" s="25" t="s">
        <v>322</v>
      </c>
      <c r="BW14" s="4" t="s">
        <v>323</v>
      </c>
      <c r="BX14" s="4">
        <v>40</v>
      </c>
      <c r="BZ14" s="4">
        <v>1</v>
      </c>
      <c r="CA14" s="24" t="s">
        <v>324</v>
      </c>
      <c r="CB14" s="4" t="s">
        <v>7</v>
      </c>
      <c r="CC14" s="25">
        <v>0.451</v>
      </c>
      <c r="CD14" s="25"/>
      <c r="CE14" s="25" t="s">
        <v>13</v>
      </c>
      <c r="CF14" s="25">
        <v>1.01</v>
      </c>
      <c r="CG14" s="25"/>
      <c r="CH14" s="4" t="s">
        <v>15</v>
      </c>
      <c r="CI14" s="25">
        <v>2.96</v>
      </c>
      <c r="CJ14" s="25"/>
      <c r="CK14" s="25" t="s">
        <v>14</v>
      </c>
      <c r="CL14" s="25">
        <v>2.07</v>
      </c>
      <c r="CM14" s="25"/>
      <c r="CN14" s="25"/>
      <c r="CO14" s="25"/>
      <c r="CP14" s="25"/>
      <c r="CQ14" s="25"/>
      <c r="CR14" s="25"/>
      <c r="DE14" s="19"/>
      <c r="DF14" s="19"/>
      <c r="DM14" s="25"/>
      <c r="DN14" s="25"/>
      <c r="DO14" s="4">
        <v>3</v>
      </c>
      <c r="DP14" s="25">
        <v>0.451</v>
      </c>
      <c r="DQ14" s="25">
        <v>0.451</v>
      </c>
      <c r="DR14" s="25">
        <v>0.0294</v>
      </c>
      <c r="DS14" s="4">
        <v>0.134</v>
      </c>
      <c r="DT14" s="25">
        <v>0.0196</v>
      </c>
      <c r="EA14" s="25">
        <v>70.03</v>
      </c>
      <c r="ED14" s="25">
        <v>70.03</v>
      </c>
      <c r="HC14" s="1">
        <v>1.01</v>
      </c>
      <c r="HD14" s="1">
        <v>0.077</v>
      </c>
      <c r="HE14" s="4">
        <v>0.758</v>
      </c>
      <c r="HF14" s="1">
        <v>0.077</v>
      </c>
      <c r="HM14" s="4">
        <v>65.44</v>
      </c>
      <c r="HP14" s="4">
        <v>65.44</v>
      </c>
      <c r="HR14" s="1">
        <v>2.07</v>
      </c>
      <c r="HS14" s="1">
        <v>0.026</v>
      </c>
      <c r="HT14" s="4">
        <v>1.06</v>
      </c>
      <c r="HU14" s="1">
        <v>0.058</v>
      </c>
      <c r="IB14" s="1">
        <v>48.44</v>
      </c>
      <c r="IE14" s="1">
        <v>48.44</v>
      </c>
      <c r="IG14" s="1">
        <v>2.96</v>
      </c>
      <c r="IH14" s="1">
        <v>0.17</v>
      </c>
      <c r="II14" s="4">
        <v>0.98</v>
      </c>
      <c r="IJ14" s="1">
        <v>0.039</v>
      </c>
      <c r="IQ14" s="4">
        <v>27.05</v>
      </c>
      <c r="IT14" s="4">
        <v>27.05</v>
      </c>
    </row>
    <row r="15" customHeight="1" spans="1:314">
      <c r="A15" s="3">
        <v>2</v>
      </c>
      <c r="B15" s="4" t="s">
        <v>340</v>
      </c>
      <c r="C15" s="5" t="s">
        <v>341</v>
      </c>
      <c r="D15" s="4" t="s">
        <v>342</v>
      </c>
      <c r="N15" s="24" t="s">
        <v>302</v>
      </c>
      <c r="O15" s="24" t="s">
        <v>343</v>
      </c>
      <c r="AC15" s="4" t="s">
        <v>344</v>
      </c>
      <c r="AD15" s="4" t="s">
        <v>345</v>
      </c>
      <c r="AG15" s="4" t="s">
        <v>316</v>
      </c>
      <c r="AH15" s="4" t="s">
        <v>346</v>
      </c>
      <c r="AI15" s="4" t="s">
        <v>347</v>
      </c>
      <c r="AJ15" s="4" t="s">
        <v>348</v>
      </c>
      <c r="AK15" s="4" t="s">
        <v>349</v>
      </c>
      <c r="AM15" s="4">
        <v>5.38</v>
      </c>
      <c r="AN15" s="4">
        <v>9.91</v>
      </c>
      <c r="BE15" s="4" t="s">
        <v>350</v>
      </c>
      <c r="BF15" s="4" t="s">
        <v>328</v>
      </c>
      <c r="BI15" s="1" t="s">
        <v>351</v>
      </c>
      <c r="BQ15" s="1">
        <v>0</v>
      </c>
      <c r="BS15" s="1">
        <v>5.24</v>
      </c>
      <c r="BT15" s="1"/>
      <c r="BU15" s="1"/>
      <c r="BV15" s="1" t="s">
        <v>352</v>
      </c>
      <c r="CW15" s="1">
        <v>5.51</v>
      </c>
      <c r="DE15" s="19"/>
      <c r="DF15" s="19"/>
      <c r="DO15" s="4">
        <v>3</v>
      </c>
      <c r="DS15" s="1" t="s">
        <v>353</v>
      </c>
      <c r="ED15" s="1">
        <v>0</v>
      </c>
      <c r="FY15" s="1">
        <v>18.86</v>
      </c>
      <c r="GA15" s="1" t="s">
        <v>354</v>
      </c>
      <c r="GK15" s="1" t="e">
        <f>(FY15-GA15)/FY15*100</f>
        <v>#VALUE!</v>
      </c>
      <c r="GL15" s="1">
        <v>0</v>
      </c>
      <c r="JJ15" s="1" t="s">
        <v>355</v>
      </c>
      <c r="JK15" s="1" t="s">
        <v>356</v>
      </c>
      <c r="JL15" s="27">
        <v>50.7843137254902</v>
      </c>
      <c r="JM15" s="27"/>
      <c r="JN15" s="27">
        <v>38.235294117647</v>
      </c>
      <c r="JO15" s="27"/>
      <c r="JP15" s="27">
        <v>4.5098039215686</v>
      </c>
      <c r="JQ15" s="27"/>
      <c r="JR15" s="27">
        <v>6.4705882352942</v>
      </c>
      <c r="JS15" s="27"/>
      <c r="JT15" s="27">
        <v>5.92885375494074</v>
      </c>
      <c r="JU15" s="27"/>
      <c r="JV15" s="27">
        <v>33.399209486166</v>
      </c>
      <c r="JW15" s="27"/>
      <c r="JX15" s="27">
        <v>3.7549407114624</v>
      </c>
      <c r="JY15" s="27"/>
      <c r="JZ15" s="27">
        <v>56.9169960474309</v>
      </c>
      <c r="KA15" s="27"/>
      <c r="KZ15" s="1" t="s">
        <v>7</v>
      </c>
      <c r="LA15" s="1" t="s">
        <v>335</v>
      </c>
    </row>
    <row r="16" customHeight="1" spans="1:314">
      <c r="A16" s="3">
        <v>2</v>
      </c>
      <c r="B16" s="4" t="s">
        <v>340</v>
      </c>
      <c r="C16" s="5" t="s">
        <v>341</v>
      </c>
      <c r="D16" s="4" t="s">
        <v>342</v>
      </c>
      <c r="N16" s="24" t="s">
        <v>302</v>
      </c>
      <c r="O16" s="24" t="s">
        <v>343</v>
      </c>
      <c r="AC16" s="4" t="s">
        <v>344</v>
      </c>
      <c r="AD16" s="4" t="s">
        <v>345</v>
      </c>
      <c r="AG16" s="4" t="s">
        <v>316</v>
      </c>
      <c r="AH16" s="4" t="s">
        <v>346</v>
      </c>
      <c r="AI16" s="4" t="s">
        <v>347</v>
      </c>
      <c r="AJ16" s="4" t="s">
        <v>348</v>
      </c>
      <c r="AK16" s="4" t="s">
        <v>349</v>
      </c>
      <c r="AM16" s="4">
        <v>5.38</v>
      </c>
      <c r="AN16" s="4">
        <v>9.91</v>
      </c>
      <c r="BE16" s="4" t="s">
        <v>350</v>
      </c>
      <c r="BF16" s="4" t="s">
        <v>328</v>
      </c>
      <c r="BI16" s="1" t="s">
        <v>351</v>
      </c>
      <c r="BQ16" s="1">
        <v>1500</v>
      </c>
      <c r="BS16" s="1">
        <v>5.24</v>
      </c>
      <c r="BT16" s="1"/>
      <c r="BU16" s="1"/>
      <c r="BV16" s="1" t="s">
        <v>352</v>
      </c>
      <c r="CW16" s="1">
        <v>6.03</v>
      </c>
      <c r="DE16" s="19"/>
      <c r="DF16" s="19"/>
      <c r="DO16" s="4">
        <v>3</v>
      </c>
      <c r="DQ16" s="1">
        <v>0.199</v>
      </c>
      <c r="DR16" s="1">
        <v>0.0112</v>
      </c>
      <c r="DS16" s="1">
        <v>0.12</v>
      </c>
      <c r="DT16" s="1">
        <v>0.0118</v>
      </c>
      <c r="ED16" s="1">
        <v>60.3015075376884</v>
      </c>
      <c r="FY16" s="1">
        <v>18.86</v>
      </c>
      <c r="FZ16" s="1">
        <v>0.44</v>
      </c>
      <c r="GA16" s="1">
        <v>17.46</v>
      </c>
      <c r="GB16" s="1">
        <v>1.03</v>
      </c>
      <c r="GK16" s="1">
        <f t="shared" ref="GK16:GK22" si="0">(FY16-GA16)/FY16*100</f>
        <v>7.42311770943796</v>
      </c>
      <c r="GL16" s="1">
        <v>7.42311770943796</v>
      </c>
      <c r="JJ16" s="1" t="s">
        <v>355</v>
      </c>
      <c r="JK16" s="1" t="s">
        <v>356</v>
      </c>
      <c r="JL16" s="27">
        <v>47.4509803921569</v>
      </c>
      <c r="JM16" s="27"/>
      <c r="JN16" s="27">
        <v>36.6666666666666</v>
      </c>
      <c r="JO16" s="27"/>
      <c r="JP16" s="27">
        <v>7.64705882352941</v>
      </c>
      <c r="JQ16" s="27"/>
      <c r="JR16" s="27">
        <v>8.2352941176471</v>
      </c>
      <c r="JS16" s="27"/>
      <c r="JT16" s="27">
        <v>5.53359683794465</v>
      </c>
      <c r="JU16" s="27"/>
      <c r="JV16" s="27">
        <v>29.6442687747035</v>
      </c>
      <c r="JW16" s="27"/>
      <c r="JX16" s="27">
        <v>3.5573122529644</v>
      </c>
      <c r="JY16" s="27"/>
      <c r="JZ16" s="27">
        <v>61.2648221343874</v>
      </c>
      <c r="KA16" s="27"/>
      <c r="KZ16" s="1" t="s">
        <v>11</v>
      </c>
      <c r="LA16" s="1" t="s">
        <v>357</v>
      </c>
    </row>
    <row r="17" customHeight="1" spans="1:313">
      <c r="A17" s="3">
        <v>2</v>
      </c>
      <c r="B17" s="4" t="s">
        <v>340</v>
      </c>
      <c r="C17" s="5" t="s">
        <v>341</v>
      </c>
      <c r="D17" s="4" t="s">
        <v>342</v>
      </c>
      <c r="N17" s="24" t="s">
        <v>302</v>
      </c>
      <c r="O17" s="24" t="s">
        <v>343</v>
      </c>
      <c r="AC17" s="4" t="s">
        <v>344</v>
      </c>
      <c r="AD17" s="4" t="s">
        <v>345</v>
      </c>
      <c r="AG17" s="4" t="s">
        <v>316</v>
      </c>
      <c r="AH17" s="4" t="s">
        <v>346</v>
      </c>
      <c r="AI17" s="4" t="s">
        <v>347</v>
      </c>
      <c r="AJ17" s="4" t="s">
        <v>348</v>
      </c>
      <c r="AK17" s="4" t="s">
        <v>349</v>
      </c>
      <c r="AM17" s="4">
        <v>5.38</v>
      </c>
      <c r="AN17" s="4">
        <v>9.91</v>
      </c>
      <c r="BE17" s="4" t="s">
        <v>350</v>
      </c>
      <c r="BF17" s="4" t="s">
        <v>328</v>
      </c>
      <c r="BI17" s="1" t="s">
        <v>351</v>
      </c>
      <c r="BQ17" s="1">
        <v>2250</v>
      </c>
      <c r="BS17" s="1">
        <v>5.24</v>
      </c>
      <c r="BT17" s="1"/>
      <c r="BU17" s="1"/>
      <c r="BV17" s="1" t="s">
        <v>352</v>
      </c>
      <c r="CW17" s="1">
        <v>6.11</v>
      </c>
      <c r="DE17" s="19"/>
      <c r="DF17" s="19"/>
      <c r="DO17" s="4">
        <v>3</v>
      </c>
      <c r="DQ17" s="1">
        <v>0.199</v>
      </c>
      <c r="DR17" s="1">
        <v>0.0112</v>
      </c>
      <c r="DS17" s="1">
        <v>0.095</v>
      </c>
      <c r="DT17" s="1">
        <v>0.00248</v>
      </c>
      <c r="ED17" s="1">
        <v>47.7386934673367</v>
      </c>
      <c r="FY17" s="1">
        <v>18.86</v>
      </c>
      <c r="FZ17" s="1">
        <v>0.44</v>
      </c>
      <c r="GA17" s="1">
        <v>16.36</v>
      </c>
      <c r="GB17" s="1">
        <v>0.404</v>
      </c>
      <c r="GK17" s="1">
        <f t="shared" si="0"/>
        <v>13.2555673382821</v>
      </c>
      <c r="GL17" s="1">
        <v>13.2555673382821</v>
      </c>
      <c r="JJ17" s="1" t="s">
        <v>355</v>
      </c>
      <c r="JK17" s="1" t="s">
        <v>356</v>
      </c>
      <c r="JL17" s="27">
        <v>46.078431372549</v>
      </c>
      <c r="JM17" s="27"/>
      <c r="JN17" s="27">
        <v>35.8823529411764</v>
      </c>
      <c r="JO17" s="27"/>
      <c r="JP17" s="27">
        <v>9.01960784313731</v>
      </c>
      <c r="JQ17" s="27"/>
      <c r="JR17" s="27">
        <v>9.01960784313729</v>
      </c>
      <c r="JS17" s="27"/>
      <c r="JT17" s="27">
        <v>5.53359683794467</v>
      </c>
      <c r="JU17" s="27"/>
      <c r="JV17" s="27">
        <v>30.0395256916995</v>
      </c>
      <c r="JW17" s="27"/>
      <c r="JX17" s="27">
        <v>1.7786561264822</v>
      </c>
      <c r="JY17" s="27"/>
      <c r="JZ17" s="27">
        <v>62.6482213438736</v>
      </c>
      <c r="KA17" s="27"/>
    </row>
    <row r="18" customHeight="1" spans="1:313">
      <c r="A18" s="3">
        <v>2</v>
      </c>
      <c r="B18" s="4" t="s">
        <v>340</v>
      </c>
      <c r="C18" s="5" t="s">
        <v>341</v>
      </c>
      <c r="D18" s="4" t="s">
        <v>342</v>
      </c>
      <c r="N18" s="24" t="s">
        <v>302</v>
      </c>
      <c r="O18" s="24" t="s">
        <v>343</v>
      </c>
      <c r="AC18" s="4" t="s">
        <v>344</v>
      </c>
      <c r="AD18" s="4" t="s">
        <v>345</v>
      </c>
      <c r="AG18" s="4" t="s">
        <v>316</v>
      </c>
      <c r="AH18" s="4" t="s">
        <v>346</v>
      </c>
      <c r="AI18" s="4" t="s">
        <v>347</v>
      </c>
      <c r="AJ18" s="4" t="s">
        <v>348</v>
      </c>
      <c r="AK18" s="4" t="s">
        <v>349</v>
      </c>
      <c r="AM18" s="4">
        <v>5.38</v>
      </c>
      <c r="AN18" s="4">
        <v>9.91</v>
      </c>
      <c r="BE18" s="4" t="s">
        <v>350</v>
      </c>
      <c r="BF18" s="4" t="s">
        <v>328</v>
      </c>
      <c r="BI18" s="1" t="s">
        <v>351</v>
      </c>
      <c r="BQ18" s="1">
        <v>3000</v>
      </c>
      <c r="BS18" s="1">
        <v>5.24</v>
      </c>
      <c r="BT18" s="1"/>
      <c r="BU18" s="1"/>
      <c r="BV18" s="1" t="s">
        <v>352</v>
      </c>
      <c r="CW18" s="1">
        <v>6.29</v>
      </c>
      <c r="DE18" s="19"/>
      <c r="DF18" s="19"/>
      <c r="DO18" s="4">
        <v>3</v>
      </c>
      <c r="DQ18" s="1">
        <v>0.199</v>
      </c>
      <c r="DR18" s="1">
        <v>0.0112</v>
      </c>
      <c r="DS18" s="1">
        <v>0.085</v>
      </c>
      <c r="DT18" s="1">
        <v>0.00062</v>
      </c>
      <c r="ED18" s="1">
        <v>42.713567839196</v>
      </c>
      <c r="FY18" s="1">
        <v>18.86</v>
      </c>
      <c r="FZ18" s="1">
        <v>0.44</v>
      </c>
      <c r="GA18" s="1">
        <v>15.55</v>
      </c>
      <c r="GB18" s="1">
        <v>0.441</v>
      </c>
      <c r="GK18" s="1">
        <f t="shared" si="0"/>
        <v>17.5503711558855</v>
      </c>
      <c r="GL18" s="1">
        <v>17.5503711558855</v>
      </c>
      <c r="JJ18" s="1" t="s">
        <v>355</v>
      </c>
      <c r="JK18" s="1" t="s">
        <v>356</v>
      </c>
      <c r="JL18" s="27">
        <v>45.2941176470588</v>
      </c>
      <c r="JM18" s="27"/>
      <c r="JN18" s="27">
        <v>32.5490196078431</v>
      </c>
      <c r="JO18" s="27"/>
      <c r="JP18" s="27">
        <v>10.9803921568628</v>
      </c>
      <c r="JQ18" s="27"/>
      <c r="JR18" s="27">
        <v>11.1764705882353</v>
      </c>
      <c r="JS18" s="27"/>
      <c r="JT18" s="27">
        <v>4.15019762845852</v>
      </c>
      <c r="JU18" s="27"/>
      <c r="JV18" s="27">
        <v>28.6561264822134</v>
      </c>
      <c r="JW18" s="27"/>
      <c r="JX18" s="27">
        <v>2.3715415019763</v>
      </c>
      <c r="JY18" s="27"/>
      <c r="JZ18" s="27">
        <v>64.8221343873518</v>
      </c>
      <c r="KA18" s="27"/>
    </row>
    <row r="19" customHeight="1" spans="1:313">
      <c r="A19" s="3">
        <v>2</v>
      </c>
      <c r="B19" s="4" t="s">
        <v>340</v>
      </c>
      <c r="C19" s="5" t="s">
        <v>358</v>
      </c>
      <c r="D19" s="4" t="s">
        <v>342</v>
      </c>
      <c r="H19" s="4" t="s">
        <v>359</v>
      </c>
      <c r="N19" s="24" t="s">
        <v>302</v>
      </c>
      <c r="O19" s="24" t="s">
        <v>343</v>
      </c>
      <c r="AC19" s="4" t="s">
        <v>360</v>
      </c>
      <c r="AD19" s="4" t="s">
        <v>361</v>
      </c>
      <c r="AG19" s="4" t="s">
        <v>316</v>
      </c>
      <c r="AH19" s="4" t="s">
        <v>346</v>
      </c>
      <c r="AI19" s="4" t="s">
        <v>347</v>
      </c>
      <c r="AJ19" s="4" t="s">
        <v>348</v>
      </c>
      <c r="AK19" s="4" t="s">
        <v>349</v>
      </c>
      <c r="AM19" s="4">
        <v>5.38</v>
      </c>
      <c r="AN19" s="4">
        <v>9.91</v>
      </c>
      <c r="BE19" s="4" t="s">
        <v>350</v>
      </c>
      <c r="BF19" s="4" t="s">
        <v>328</v>
      </c>
      <c r="BI19" s="1" t="s">
        <v>351</v>
      </c>
      <c r="BQ19" s="1">
        <v>0</v>
      </c>
      <c r="BS19" s="1">
        <v>5.24</v>
      </c>
      <c r="BT19" s="1"/>
      <c r="BU19" s="1"/>
      <c r="BV19" s="1" t="s">
        <v>352</v>
      </c>
      <c r="CW19" s="1">
        <v>5.61</v>
      </c>
      <c r="DE19" s="19"/>
      <c r="DF19" s="19"/>
      <c r="DO19" s="4">
        <v>3</v>
      </c>
      <c r="DS19" s="1">
        <v>0.179</v>
      </c>
      <c r="ED19" s="1">
        <v>0</v>
      </c>
      <c r="FY19" s="1">
        <v>18.86</v>
      </c>
      <c r="GA19" s="1">
        <v>18.86</v>
      </c>
      <c r="GK19" s="1">
        <f t="shared" si="0"/>
        <v>0</v>
      </c>
      <c r="GL19" s="1">
        <v>0</v>
      </c>
      <c r="JJ19" s="1" t="s">
        <v>355</v>
      </c>
      <c r="JK19" s="1" t="s">
        <v>356</v>
      </c>
      <c r="JL19" s="27">
        <v>50.9803921568627</v>
      </c>
      <c r="JM19" s="27"/>
      <c r="JN19" s="27">
        <v>38.235294117647</v>
      </c>
      <c r="JO19" s="27"/>
      <c r="JP19" s="27">
        <v>4.31372549019611</v>
      </c>
      <c r="JQ19" s="27"/>
      <c r="JR19" s="27">
        <v>6.4705882352942</v>
      </c>
      <c r="JS19" s="27"/>
      <c r="JT19" s="27">
        <v>5.73122529644272</v>
      </c>
      <c r="JU19" s="27"/>
      <c r="JV19" s="27">
        <v>33.2015810276679</v>
      </c>
      <c r="JW19" s="27"/>
      <c r="JX19" s="27">
        <v>4.1501976284585</v>
      </c>
      <c r="JY19" s="27"/>
      <c r="JZ19" s="27">
        <v>56.9169960474309</v>
      </c>
      <c r="KA19" s="27"/>
      <c r="KZ19" s="1" t="s">
        <v>7</v>
      </c>
      <c r="LA19" s="1" t="s">
        <v>335</v>
      </c>
    </row>
    <row r="20" customHeight="1" spans="1:313">
      <c r="A20" s="3">
        <v>2</v>
      </c>
      <c r="B20" s="4" t="s">
        <v>340</v>
      </c>
      <c r="C20" s="5" t="s">
        <v>358</v>
      </c>
      <c r="D20" s="4" t="s">
        <v>342</v>
      </c>
      <c r="N20" s="24" t="s">
        <v>302</v>
      </c>
      <c r="O20" s="24" t="s">
        <v>343</v>
      </c>
      <c r="AC20" s="4" t="s">
        <v>360</v>
      </c>
      <c r="AD20" s="4" t="s">
        <v>361</v>
      </c>
      <c r="AG20" s="4" t="s">
        <v>316</v>
      </c>
      <c r="AH20" s="4" t="s">
        <v>346</v>
      </c>
      <c r="AI20" s="4" t="s">
        <v>347</v>
      </c>
      <c r="AJ20" s="4" t="s">
        <v>348</v>
      </c>
      <c r="AK20" s="4" t="s">
        <v>349</v>
      </c>
      <c r="AM20" s="4">
        <v>5.38</v>
      </c>
      <c r="AN20" s="4">
        <v>9.91</v>
      </c>
      <c r="BE20" s="4" t="s">
        <v>350</v>
      </c>
      <c r="BF20" s="4" t="s">
        <v>328</v>
      </c>
      <c r="BI20" s="1" t="s">
        <v>351</v>
      </c>
      <c r="BQ20" s="1">
        <v>1500</v>
      </c>
      <c r="BS20" s="1">
        <v>5.24</v>
      </c>
      <c r="BT20" s="1"/>
      <c r="BU20" s="1"/>
      <c r="BV20" s="1" t="s">
        <v>352</v>
      </c>
      <c r="CW20" s="1">
        <v>6.01</v>
      </c>
      <c r="DE20" s="19"/>
      <c r="DF20" s="19"/>
      <c r="DO20" s="4">
        <v>3</v>
      </c>
      <c r="DQ20" s="1">
        <v>0.179</v>
      </c>
      <c r="DR20" s="1">
        <v>0.0112</v>
      </c>
      <c r="DS20" s="1">
        <v>0.092</v>
      </c>
      <c r="DT20" s="1">
        <v>0.0167</v>
      </c>
      <c r="ED20" s="1">
        <v>51.3966480446927</v>
      </c>
      <c r="FY20" s="1">
        <v>18.86</v>
      </c>
      <c r="FZ20" s="1">
        <v>0.44</v>
      </c>
      <c r="GA20" s="1">
        <v>15.69</v>
      </c>
      <c r="GB20" s="1">
        <v>1.03</v>
      </c>
      <c r="GK20" s="1">
        <f t="shared" si="0"/>
        <v>16.8080593849417</v>
      </c>
      <c r="GL20" s="1">
        <v>16.8080593849417</v>
      </c>
      <c r="JJ20" s="1" t="s">
        <v>355</v>
      </c>
      <c r="JK20" s="1" t="s">
        <v>356</v>
      </c>
      <c r="JL20" s="27">
        <v>47.8431372549019</v>
      </c>
      <c r="JM20" s="27"/>
      <c r="JN20" s="27">
        <v>36.6666666666667</v>
      </c>
      <c r="JO20" s="27"/>
      <c r="JP20" s="27">
        <v>8.6274509803921</v>
      </c>
      <c r="JQ20" s="27"/>
      <c r="JR20" s="27">
        <v>6.8627450980393</v>
      </c>
      <c r="JS20" s="27"/>
      <c r="JT20" s="27">
        <v>5.33596837944664</v>
      </c>
      <c r="JU20" s="27"/>
      <c r="JV20" s="27">
        <v>31.4229249011857</v>
      </c>
      <c r="JW20" s="27"/>
      <c r="JX20" s="27">
        <v>2.7667984189724</v>
      </c>
      <c r="JY20" s="27"/>
      <c r="JZ20" s="27">
        <v>60.4743083003953</v>
      </c>
      <c r="KA20" s="27"/>
      <c r="KZ20" s="1" t="s">
        <v>11</v>
      </c>
      <c r="LA20" s="1" t="s">
        <v>357</v>
      </c>
    </row>
    <row r="21" customHeight="1" spans="1:313">
      <c r="A21" s="3">
        <v>2</v>
      </c>
      <c r="B21" s="4" t="s">
        <v>340</v>
      </c>
      <c r="C21" s="5" t="s">
        <v>358</v>
      </c>
      <c r="D21" s="4" t="s">
        <v>342</v>
      </c>
      <c r="N21" s="24" t="s">
        <v>302</v>
      </c>
      <c r="O21" s="24" t="s">
        <v>343</v>
      </c>
      <c r="AC21" s="4" t="s">
        <v>360</v>
      </c>
      <c r="AD21" s="4" t="s">
        <v>361</v>
      </c>
      <c r="AG21" s="4" t="s">
        <v>316</v>
      </c>
      <c r="AH21" s="4" t="s">
        <v>346</v>
      </c>
      <c r="AI21" s="4" t="s">
        <v>347</v>
      </c>
      <c r="AJ21" s="4" t="s">
        <v>348</v>
      </c>
      <c r="AK21" s="4" t="s">
        <v>349</v>
      </c>
      <c r="AM21" s="4">
        <v>5.38</v>
      </c>
      <c r="AN21" s="4">
        <v>9.91</v>
      </c>
      <c r="BE21" s="4" t="s">
        <v>350</v>
      </c>
      <c r="BF21" s="4" t="s">
        <v>328</v>
      </c>
      <c r="BI21" s="1" t="s">
        <v>351</v>
      </c>
      <c r="BQ21" s="1">
        <v>2250</v>
      </c>
      <c r="BS21" s="1">
        <v>5.24</v>
      </c>
      <c r="BT21" s="1"/>
      <c r="BU21" s="1"/>
      <c r="BV21" s="1" t="s">
        <v>352</v>
      </c>
      <c r="CW21" s="1">
        <v>6.1</v>
      </c>
      <c r="DE21" s="19"/>
      <c r="DF21" s="19"/>
      <c r="DO21" s="4">
        <v>3</v>
      </c>
      <c r="DQ21" s="1">
        <v>0.179</v>
      </c>
      <c r="DR21" s="1">
        <v>0.0112</v>
      </c>
      <c r="DS21" s="1">
        <v>0.087</v>
      </c>
      <c r="DT21" s="1">
        <v>0.0037</v>
      </c>
      <c r="ED21" s="1">
        <v>48.6033519553073</v>
      </c>
      <c r="FY21" s="1">
        <v>18.86</v>
      </c>
      <c r="FZ21" s="1">
        <v>0.44</v>
      </c>
      <c r="GA21" s="1">
        <v>15.36</v>
      </c>
      <c r="GB21" s="1">
        <v>0.11</v>
      </c>
      <c r="GK21" s="1">
        <f t="shared" si="0"/>
        <v>18.5577942735949</v>
      </c>
      <c r="GL21" s="1">
        <v>18.5577942735949</v>
      </c>
      <c r="JJ21" s="1" t="s">
        <v>355</v>
      </c>
      <c r="JK21" s="1" t="s">
        <v>356</v>
      </c>
      <c r="JL21" s="27">
        <v>46.078431372549</v>
      </c>
      <c r="JM21" s="27"/>
      <c r="JN21" s="27">
        <v>34.7058823529412</v>
      </c>
      <c r="JO21" s="27"/>
      <c r="JP21" s="27">
        <v>9.21568627450981</v>
      </c>
      <c r="JQ21" s="27"/>
      <c r="JR21" s="27">
        <v>10</v>
      </c>
      <c r="JS21" s="27"/>
      <c r="JT21" s="27">
        <v>4.15019762845853</v>
      </c>
      <c r="JU21" s="27"/>
      <c r="JV21" s="27">
        <v>30.2371541501976</v>
      </c>
      <c r="JW21" s="27"/>
      <c r="JX21" s="27">
        <v>2.1739130434782</v>
      </c>
      <c r="JY21" s="27"/>
      <c r="JZ21" s="27">
        <v>63.4387351778657</v>
      </c>
      <c r="KA21" s="27"/>
    </row>
    <row r="22" customHeight="1" spans="1:313">
      <c r="A22" s="3">
        <v>2</v>
      </c>
      <c r="B22" s="4" t="s">
        <v>340</v>
      </c>
      <c r="C22" s="5" t="s">
        <v>358</v>
      </c>
      <c r="D22" s="4" t="s">
        <v>342</v>
      </c>
      <c r="N22" s="24" t="s">
        <v>302</v>
      </c>
      <c r="O22" s="24" t="s">
        <v>343</v>
      </c>
      <c r="AC22" s="4" t="s">
        <v>360</v>
      </c>
      <c r="AD22" s="4" t="s">
        <v>361</v>
      </c>
      <c r="AG22" s="4" t="s">
        <v>316</v>
      </c>
      <c r="AH22" s="4" t="s">
        <v>346</v>
      </c>
      <c r="AI22" s="4" t="s">
        <v>347</v>
      </c>
      <c r="AJ22" s="4" t="s">
        <v>348</v>
      </c>
      <c r="AK22" s="4" t="s">
        <v>349</v>
      </c>
      <c r="AM22" s="4">
        <v>5.38</v>
      </c>
      <c r="AN22" s="4">
        <v>9.91</v>
      </c>
      <c r="BE22" s="4" t="s">
        <v>350</v>
      </c>
      <c r="BF22" s="4" t="s">
        <v>328</v>
      </c>
      <c r="BI22" s="1" t="s">
        <v>351</v>
      </c>
      <c r="BQ22" s="1">
        <v>3000</v>
      </c>
      <c r="BS22" s="1">
        <v>5.24</v>
      </c>
      <c r="BT22" s="1"/>
      <c r="BU22" s="1"/>
      <c r="BV22" s="1" t="s">
        <v>352</v>
      </c>
      <c r="CW22" s="1">
        <v>6.35</v>
      </c>
      <c r="DE22" s="19"/>
      <c r="DF22" s="19"/>
      <c r="DO22" s="4">
        <v>3</v>
      </c>
      <c r="DQ22" s="1">
        <v>0.179</v>
      </c>
      <c r="DR22" s="1">
        <v>0.0112</v>
      </c>
      <c r="DS22" s="1">
        <v>0.063</v>
      </c>
      <c r="DT22" s="1">
        <v>0.0031</v>
      </c>
      <c r="ED22" s="1">
        <v>35.195530726257</v>
      </c>
      <c r="FY22" s="1">
        <v>18.86</v>
      </c>
      <c r="FZ22" s="1">
        <v>0.44</v>
      </c>
      <c r="GA22" s="1">
        <v>14.63</v>
      </c>
      <c r="GB22" s="1">
        <v>0.66</v>
      </c>
      <c r="GK22" s="1">
        <f t="shared" si="0"/>
        <v>22.4284199363733</v>
      </c>
      <c r="GL22" s="1">
        <v>22.4284199363733</v>
      </c>
      <c r="JJ22" s="1" t="s">
        <v>355</v>
      </c>
      <c r="JK22" s="1" t="s">
        <v>356</v>
      </c>
      <c r="JL22" s="27">
        <v>44.9019607843137</v>
      </c>
      <c r="JM22" s="27"/>
      <c r="JN22" s="27">
        <v>31.7647058823529</v>
      </c>
      <c r="JO22" s="27"/>
      <c r="JP22" s="27">
        <v>11.5686274509804</v>
      </c>
      <c r="JQ22" s="27"/>
      <c r="JR22" s="27">
        <v>11.764705882353</v>
      </c>
      <c r="JS22" s="27"/>
      <c r="JT22" s="27">
        <v>3.75494071146245</v>
      </c>
      <c r="JU22" s="27"/>
      <c r="JV22" s="27">
        <v>27.6679841897232</v>
      </c>
      <c r="JW22" s="27"/>
      <c r="JX22" s="27">
        <v>1.9762845849803</v>
      </c>
      <c r="JY22" s="27"/>
      <c r="JZ22" s="27">
        <v>66.600790513834</v>
      </c>
      <c r="KA22" s="27"/>
    </row>
    <row r="23" customHeight="1" spans="1:313">
      <c r="A23" s="28">
        <v>3</v>
      </c>
      <c r="B23" s="4" t="s">
        <v>362</v>
      </c>
      <c r="C23" s="5" t="s">
        <v>363</v>
      </c>
      <c r="D23" s="4" t="s">
        <v>364</v>
      </c>
      <c r="E23" s="4" t="s">
        <v>365</v>
      </c>
      <c r="N23" s="24" t="s">
        <v>366</v>
      </c>
      <c r="O23" s="24" t="s">
        <v>367</v>
      </c>
      <c r="Q23" s="24" t="s">
        <v>368</v>
      </c>
      <c r="AC23" s="4" t="s">
        <v>369</v>
      </c>
      <c r="AD23" s="4" t="s">
        <v>370</v>
      </c>
      <c r="AH23" s="4" t="s">
        <v>371</v>
      </c>
      <c r="AQ23" s="4" t="s">
        <v>372</v>
      </c>
      <c r="AR23" s="4">
        <v>22.54</v>
      </c>
      <c r="AS23" s="4" t="s">
        <v>373</v>
      </c>
      <c r="AT23" s="4">
        <v>12.67</v>
      </c>
      <c r="AU23" s="4" t="s">
        <v>374</v>
      </c>
      <c r="AV23" s="4">
        <v>6.03</v>
      </c>
      <c r="AW23" s="4" t="s">
        <v>375</v>
      </c>
      <c r="AX23" s="4">
        <v>25.26</v>
      </c>
      <c r="BI23" s="4" t="s">
        <v>321</v>
      </c>
      <c r="BL23" s="4">
        <v>10</v>
      </c>
      <c r="BO23" s="4">
        <v>0.03</v>
      </c>
      <c r="BV23" s="4" t="s">
        <v>376</v>
      </c>
      <c r="BW23" s="4">
        <v>25</v>
      </c>
      <c r="CB23" s="4" t="s">
        <v>372</v>
      </c>
      <c r="CC23" s="4">
        <v>300</v>
      </c>
      <c r="CE23" s="4" t="s">
        <v>373</v>
      </c>
      <c r="CF23" s="4">
        <v>300</v>
      </c>
      <c r="CH23" s="4" t="s">
        <v>374</v>
      </c>
      <c r="CI23" s="4">
        <v>300</v>
      </c>
      <c r="CK23" s="4" t="s">
        <v>375</v>
      </c>
      <c r="CL23" s="4">
        <v>300</v>
      </c>
      <c r="CV23" s="4">
        <v>90</v>
      </c>
      <c r="CX23" s="4" t="s">
        <v>314</v>
      </c>
      <c r="DM23" s="4">
        <v>360</v>
      </c>
      <c r="DO23" s="4">
        <v>3</v>
      </c>
      <c r="EL23" s="4">
        <v>113</v>
      </c>
      <c r="EM23" s="1">
        <v>3.558</v>
      </c>
      <c r="ER23" s="1">
        <f>113/3</f>
        <v>37.6666666666667</v>
      </c>
      <c r="ES23" s="1">
        <v>37.6666666666667</v>
      </c>
      <c r="FP23" s="4">
        <v>127</v>
      </c>
      <c r="FQ23" s="1">
        <v>3.92</v>
      </c>
      <c r="FV23" s="1">
        <f t="shared" ref="FV23:FV27" si="1">FP23/300*100</f>
        <v>42.3333333333333</v>
      </c>
      <c r="FW23" s="1">
        <v>42.3333333333333</v>
      </c>
      <c r="GE23" s="4">
        <v>235</v>
      </c>
      <c r="GF23" s="1">
        <v>7.51</v>
      </c>
      <c r="GK23" s="1">
        <f>GE23/300*100</f>
        <v>78.3333333333333</v>
      </c>
      <c r="GL23" s="1">
        <v>78.3333333333333</v>
      </c>
      <c r="GT23" s="1">
        <v>218</v>
      </c>
      <c r="GU23" s="1">
        <v>6.31</v>
      </c>
      <c r="GZ23" s="1">
        <f>GT23/3</f>
        <v>72.6666666666667</v>
      </c>
      <c r="HA23" s="1">
        <v>72.6666666666667</v>
      </c>
    </row>
    <row r="24" customHeight="1" spans="1:313">
      <c r="A24" s="28">
        <v>3</v>
      </c>
      <c r="B24" s="4" t="s">
        <v>362</v>
      </c>
      <c r="C24" s="5" t="s">
        <v>363</v>
      </c>
      <c r="D24" s="4" t="s">
        <v>364</v>
      </c>
      <c r="E24" s="4" t="s">
        <v>365</v>
      </c>
      <c r="N24" s="24" t="s">
        <v>366</v>
      </c>
      <c r="O24" s="24" t="s">
        <v>367</v>
      </c>
      <c r="Q24" s="24" t="s">
        <v>368</v>
      </c>
      <c r="AC24" s="4" t="s">
        <v>369</v>
      </c>
      <c r="AD24" s="4" t="s">
        <v>370</v>
      </c>
      <c r="AH24" s="4" t="s">
        <v>371</v>
      </c>
      <c r="AQ24" s="4" t="s">
        <v>372</v>
      </c>
      <c r="AR24" s="4">
        <v>22.54</v>
      </c>
      <c r="AS24" s="4" t="s">
        <v>373</v>
      </c>
      <c r="AT24" s="4">
        <v>12.67</v>
      </c>
      <c r="AU24" s="4" t="s">
        <v>374</v>
      </c>
      <c r="AV24" s="4">
        <v>6.03</v>
      </c>
      <c r="AW24" s="4" t="s">
        <v>375</v>
      </c>
      <c r="AX24" s="4">
        <v>25.26</v>
      </c>
      <c r="BI24" s="4" t="s">
        <v>321</v>
      </c>
      <c r="BK24" s="4">
        <v>30</v>
      </c>
      <c r="BL24" s="4">
        <v>10</v>
      </c>
      <c r="BO24" s="4">
        <v>1</v>
      </c>
      <c r="BV24" s="4">
        <v>360</v>
      </c>
      <c r="BW24" s="4">
        <v>25</v>
      </c>
      <c r="DB24" s="4" t="s">
        <v>377</v>
      </c>
      <c r="DC24" s="4" t="s">
        <v>378</v>
      </c>
      <c r="DE24" s="4">
        <v>149.25</v>
      </c>
      <c r="DG24" s="4">
        <v>185.18</v>
      </c>
      <c r="DH24" s="4">
        <v>333.33</v>
      </c>
      <c r="DI24" s="4">
        <v>322.58</v>
      </c>
      <c r="DO24" s="4">
        <v>3</v>
      </c>
      <c r="EL24" s="1">
        <v>127.76</v>
      </c>
      <c r="EM24" s="1">
        <v>5.07</v>
      </c>
      <c r="FP24" s="1">
        <v>165.81</v>
      </c>
      <c r="FQ24" s="1">
        <v>6.35</v>
      </c>
      <c r="FV24" s="1">
        <f t="shared" si="1"/>
        <v>55.27</v>
      </c>
      <c r="FW24" s="1">
        <v>55.27</v>
      </c>
      <c r="GE24" s="29">
        <v>297.79</v>
      </c>
      <c r="GF24" s="4">
        <v>11.25</v>
      </c>
      <c r="GT24" s="1">
        <v>290.26</v>
      </c>
      <c r="GU24" s="1">
        <v>11.29</v>
      </c>
    </row>
    <row r="25" customHeight="1" spans="1:313">
      <c r="A25" s="28">
        <v>3</v>
      </c>
      <c r="B25" s="4" t="s">
        <v>362</v>
      </c>
      <c r="C25" s="5" t="s">
        <v>363</v>
      </c>
      <c r="D25" s="4" t="s">
        <v>364</v>
      </c>
      <c r="E25" s="4" t="s">
        <v>365</v>
      </c>
      <c r="N25" s="24" t="s">
        <v>366</v>
      </c>
      <c r="O25" s="24" t="s">
        <v>367</v>
      </c>
      <c r="Q25" s="24" t="s">
        <v>368</v>
      </c>
      <c r="AC25" s="4" t="s">
        <v>369</v>
      </c>
      <c r="AD25" s="4" t="s">
        <v>370</v>
      </c>
      <c r="AH25" s="4" t="s">
        <v>371</v>
      </c>
      <c r="AQ25" s="4" t="s">
        <v>372</v>
      </c>
      <c r="AR25" s="4">
        <v>22.54</v>
      </c>
      <c r="AS25" s="4" t="s">
        <v>373</v>
      </c>
      <c r="AT25" s="4">
        <v>12.67</v>
      </c>
      <c r="AU25" s="4" t="s">
        <v>374</v>
      </c>
      <c r="AV25" s="4">
        <v>6.03</v>
      </c>
      <c r="AW25" s="4" t="s">
        <v>375</v>
      </c>
      <c r="AX25" s="4">
        <v>25.26</v>
      </c>
      <c r="BI25" s="4" t="s">
        <v>321</v>
      </c>
      <c r="BK25" s="4">
        <v>30</v>
      </c>
      <c r="BL25" s="4">
        <v>10</v>
      </c>
      <c r="BO25" s="4">
        <v>1</v>
      </c>
      <c r="BV25" s="4">
        <v>360</v>
      </c>
      <c r="BW25" s="4">
        <v>35</v>
      </c>
      <c r="DB25" s="4" t="s">
        <v>377</v>
      </c>
      <c r="DC25" s="4" t="s">
        <v>378</v>
      </c>
      <c r="DO25" s="4">
        <v>3</v>
      </c>
      <c r="GF25" s="4"/>
    </row>
    <row r="26" customHeight="1" spans="1:313">
      <c r="A26" s="28">
        <v>3</v>
      </c>
      <c r="B26" s="4" t="s">
        <v>362</v>
      </c>
      <c r="C26" s="5" t="s">
        <v>363</v>
      </c>
      <c r="D26" s="4" t="s">
        <v>364</v>
      </c>
      <c r="E26" s="4" t="s">
        <v>365</v>
      </c>
      <c r="N26" s="24" t="s">
        <v>366</v>
      </c>
      <c r="O26" s="24" t="s">
        <v>367</v>
      </c>
      <c r="Q26" s="24" t="s">
        <v>368</v>
      </c>
      <c r="AC26" s="4" t="s">
        <v>369</v>
      </c>
      <c r="AD26" s="4" t="s">
        <v>370</v>
      </c>
      <c r="AH26" s="4" t="s">
        <v>371</v>
      </c>
      <c r="AQ26" s="4" t="s">
        <v>372</v>
      </c>
      <c r="AR26" s="4">
        <v>22.54</v>
      </c>
      <c r="AS26" s="4" t="s">
        <v>373</v>
      </c>
      <c r="AT26" s="4">
        <v>12.67</v>
      </c>
      <c r="AU26" s="4" t="s">
        <v>374</v>
      </c>
      <c r="AV26" s="4">
        <v>6.03</v>
      </c>
      <c r="AW26" s="4" t="s">
        <v>375</v>
      </c>
      <c r="AX26" s="4">
        <v>25.26</v>
      </c>
      <c r="BI26" s="4" t="s">
        <v>321</v>
      </c>
      <c r="BK26" s="4">
        <v>30</v>
      </c>
      <c r="BL26" s="4">
        <v>10</v>
      </c>
      <c r="BO26" s="4">
        <v>1</v>
      </c>
      <c r="BV26" s="4">
        <v>360</v>
      </c>
      <c r="BW26" s="4">
        <v>45</v>
      </c>
      <c r="DB26" s="4" t="s">
        <v>377</v>
      </c>
      <c r="DC26" s="4" t="s">
        <v>378</v>
      </c>
      <c r="DO26" s="4">
        <v>3</v>
      </c>
      <c r="GF26" s="4"/>
    </row>
    <row r="27" customHeight="1" spans="1:313">
      <c r="A27" s="28">
        <v>3</v>
      </c>
      <c r="B27" s="4" t="s">
        <v>362</v>
      </c>
      <c r="C27" s="5" t="s">
        <v>379</v>
      </c>
      <c r="D27" s="4" t="s">
        <v>364</v>
      </c>
      <c r="E27" s="4" t="s">
        <v>380</v>
      </c>
      <c r="N27" s="24" t="s">
        <v>366</v>
      </c>
      <c r="O27" s="24" t="s">
        <v>367</v>
      </c>
      <c r="Q27" s="24" t="s">
        <v>368</v>
      </c>
      <c r="AC27" s="4" t="s">
        <v>369</v>
      </c>
      <c r="AD27" s="4" t="s">
        <v>370</v>
      </c>
      <c r="AH27" s="4" t="s">
        <v>371</v>
      </c>
      <c r="AQ27" s="4" t="s">
        <v>372</v>
      </c>
      <c r="AR27" s="4">
        <v>22.54</v>
      </c>
      <c r="AS27" s="4" t="s">
        <v>373</v>
      </c>
      <c r="AT27" s="4">
        <v>12.67</v>
      </c>
      <c r="AU27" s="4" t="s">
        <v>374</v>
      </c>
      <c r="AV27" s="4">
        <v>6.03</v>
      </c>
      <c r="AW27" s="4" t="s">
        <v>375</v>
      </c>
      <c r="AX27" s="4">
        <v>25.26</v>
      </c>
      <c r="BI27" s="4" t="s">
        <v>321</v>
      </c>
      <c r="BL27" s="4">
        <v>10</v>
      </c>
      <c r="BO27" s="4">
        <v>0.03</v>
      </c>
      <c r="BV27" s="4" t="s">
        <v>376</v>
      </c>
      <c r="BW27" s="4">
        <v>25</v>
      </c>
      <c r="CB27" s="4" t="s">
        <v>372</v>
      </c>
      <c r="CC27" s="4">
        <v>300</v>
      </c>
      <c r="CE27" s="4" t="s">
        <v>373</v>
      </c>
      <c r="CF27" s="4">
        <v>300</v>
      </c>
      <c r="CH27" s="4" t="s">
        <v>374</v>
      </c>
      <c r="CI27" s="4">
        <v>300</v>
      </c>
      <c r="CK27" s="4" t="s">
        <v>375</v>
      </c>
      <c r="CL27" s="4">
        <v>300</v>
      </c>
      <c r="CV27" s="4">
        <v>90</v>
      </c>
      <c r="CX27" s="4" t="s">
        <v>314</v>
      </c>
      <c r="DM27" s="4">
        <v>360</v>
      </c>
      <c r="DO27" s="4">
        <v>3</v>
      </c>
      <c r="EL27" s="4">
        <v>126</v>
      </c>
      <c r="EM27" s="1">
        <v>3.88</v>
      </c>
      <c r="ER27" s="1">
        <f>126/3</f>
        <v>42</v>
      </c>
      <c r="ES27" s="1">
        <v>42</v>
      </c>
      <c r="FP27" s="4">
        <v>149</v>
      </c>
      <c r="FQ27" s="1">
        <v>3.73</v>
      </c>
      <c r="FV27" s="1">
        <f t="shared" si="1"/>
        <v>49.6666666666667</v>
      </c>
      <c r="FW27" s="1">
        <v>49.6666666666667</v>
      </c>
      <c r="GE27" s="4">
        <v>251</v>
      </c>
      <c r="GF27" s="1">
        <v>7.51</v>
      </c>
      <c r="GK27" s="1">
        <f>GE27/300*100</f>
        <v>83.6666666666667</v>
      </c>
      <c r="GL27" s="1">
        <v>83.6666666666667</v>
      </c>
      <c r="GT27" s="1">
        <v>236.5</v>
      </c>
      <c r="GU27" s="1">
        <v>5.996</v>
      </c>
      <c r="GV27" s="4"/>
      <c r="GZ27" s="1">
        <f>GT27/3</f>
        <v>78.8333333333333</v>
      </c>
      <c r="HA27" s="1">
        <v>78.8333333333333</v>
      </c>
      <c r="KZ27" s="1" t="s">
        <v>374</v>
      </c>
      <c r="LA27" s="1" t="s">
        <v>381</v>
      </c>
    </row>
    <row r="28" customHeight="1" spans="1:313">
      <c r="A28" s="28">
        <v>3</v>
      </c>
      <c r="B28" s="4" t="s">
        <v>362</v>
      </c>
      <c r="C28" s="5" t="s">
        <v>379</v>
      </c>
      <c r="D28" s="4" t="s">
        <v>364</v>
      </c>
      <c r="E28" s="4" t="s">
        <v>380</v>
      </c>
      <c r="N28" s="24" t="s">
        <v>366</v>
      </c>
      <c r="O28" s="24" t="s">
        <v>367</v>
      </c>
      <c r="Q28" s="24" t="s">
        <v>368</v>
      </c>
      <c r="AC28" s="4" t="s">
        <v>369</v>
      </c>
      <c r="AD28" s="4" t="s">
        <v>370</v>
      </c>
      <c r="AH28" s="4" t="s">
        <v>371</v>
      </c>
      <c r="AQ28" s="4" t="s">
        <v>372</v>
      </c>
      <c r="AR28" s="4">
        <v>22.54</v>
      </c>
      <c r="AS28" s="4" t="s">
        <v>373</v>
      </c>
      <c r="AT28" s="4">
        <v>12.67</v>
      </c>
      <c r="AU28" s="4" t="s">
        <v>374</v>
      </c>
      <c r="AV28" s="4">
        <v>6.03</v>
      </c>
      <c r="AW28" s="4" t="s">
        <v>375</v>
      </c>
      <c r="AX28" s="4">
        <v>25.26</v>
      </c>
      <c r="BI28" s="4" t="s">
        <v>321</v>
      </c>
      <c r="BL28" s="4">
        <v>10</v>
      </c>
      <c r="BO28" s="4">
        <v>1</v>
      </c>
      <c r="BV28" s="4">
        <v>360</v>
      </c>
      <c r="BW28" s="4">
        <v>25</v>
      </c>
      <c r="CB28" s="4" t="s">
        <v>372</v>
      </c>
      <c r="CC28" s="4" t="s">
        <v>382</v>
      </c>
      <c r="CE28" s="4" t="s">
        <v>373</v>
      </c>
      <c r="CF28" s="4" t="s">
        <v>382</v>
      </c>
      <c r="CH28" s="4" t="s">
        <v>374</v>
      </c>
      <c r="CI28" s="4" t="s">
        <v>382</v>
      </c>
      <c r="CK28" s="4" t="s">
        <v>375</v>
      </c>
      <c r="CL28" s="4" t="s">
        <v>382</v>
      </c>
      <c r="DB28" s="4" t="s">
        <v>377</v>
      </c>
      <c r="DC28" s="4" t="s">
        <v>378</v>
      </c>
      <c r="DE28" s="4">
        <v>172.41</v>
      </c>
      <c r="DG28" s="4">
        <v>212.77</v>
      </c>
      <c r="DH28" s="4">
        <v>344.82</v>
      </c>
      <c r="DI28" s="4">
        <v>333.33</v>
      </c>
      <c r="DM28" s="4">
        <v>360</v>
      </c>
      <c r="DO28" s="4">
        <v>3</v>
      </c>
      <c r="EL28" s="29">
        <v>145.37</v>
      </c>
      <c r="EM28" s="1">
        <v>5.97</v>
      </c>
      <c r="FP28" s="29">
        <v>178.88</v>
      </c>
      <c r="FQ28" s="1">
        <v>7.1</v>
      </c>
      <c r="GE28" s="29">
        <v>315</v>
      </c>
      <c r="GF28" s="1">
        <v>11.91</v>
      </c>
      <c r="GT28" s="29">
        <v>207.53</v>
      </c>
      <c r="GU28" s="1">
        <v>12.62</v>
      </c>
      <c r="GV28" s="4"/>
      <c r="KZ28" s="1" t="s">
        <v>375</v>
      </c>
      <c r="LA28" s="1" t="s">
        <v>381</v>
      </c>
    </row>
    <row r="29" customHeight="1" spans="1:313">
      <c r="A29" s="28">
        <v>3</v>
      </c>
      <c r="B29" s="4" t="s">
        <v>362</v>
      </c>
      <c r="C29" s="5" t="s">
        <v>379</v>
      </c>
      <c r="D29" s="4" t="s">
        <v>364</v>
      </c>
      <c r="E29" s="4" t="s">
        <v>380</v>
      </c>
      <c r="N29" s="24" t="s">
        <v>366</v>
      </c>
      <c r="O29" s="24" t="s">
        <v>367</v>
      </c>
      <c r="Q29" s="24" t="s">
        <v>368</v>
      </c>
      <c r="AC29" s="4" t="s">
        <v>369</v>
      </c>
      <c r="AD29" s="4" t="s">
        <v>370</v>
      </c>
      <c r="AH29" s="4" t="s">
        <v>371</v>
      </c>
      <c r="AQ29" s="4" t="s">
        <v>372</v>
      </c>
      <c r="AR29" s="4">
        <v>22.54</v>
      </c>
      <c r="AS29" s="4" t="s">
        <v>373</v>
      </c>
      <c r="AT29" s="4">
        <v>12.67</v>
      </c>
      <c r="AU29" s="4" t="s">
        <v>374</v>
      </c>
      <c r="AV29" s="4">
        <v>6.03</v>
      </c>
      <c r="AW29" s="4" t="s">
        <v>375</v>
      </c>
      <c r="AX29" s="4">
        <v>25.26</v>
      </c>
      <c r="BI29" s="4" t="s">
        <v>321</v>
      </c>
      <c r="BL29" s="4">
        <v>10</v>
      </c>
      <c r="BO29" s="4">
        <v>1</v>
      </c>
      <c r="BV29" s="4">
        <v>360</v>
      </c>
      <c r="BW29" s="4">
        <v>35</v>
      </c>
      <c r="CB29" s="4" t="s">
        <v>372</v>
      </c>
      <c r="CC29" s="4" t="s">
        <v>382</v>
      </c>
      <c r="CE29" s="4" t="s">
        <v>373</v>
      </c>
      <c r="CF29" s="4" t="s">
        <v>382</v>
      </c>
      <c r="CH29" s="4" t="s">
        <v>374</v>
      </c>
      <c r="CI29" s="4" t="s">
        <v>382</v>
      </c>
      <c r="CK29" s="4" t="s">
        <v>375</v>
      </c>
      <c r="CL29" s="4" t="s">
        <v>382</v>
      </c>
      <c r="DB29" s="4" t="s">
        <v>377</v>
      </c>
      <c r="DC29" s="4" t="s">
        <v>378</v>
      </c>
      <c r="DM29" s="4">
        <v>360</v>
      </c>
      <c r="DO29" s="4">
        <v>3</v>
      </c>
      <c r="GV29" s="4"/>
      <c r="KZ29" s="1" t="s">
        <v>8</v>
      </c>
      <c r="LA29" s="1" t="s">
        <v>381</v>
      </c>
    </row>
    <row r="30" customHeight="1" spans="1:313">
      <c r="A30" s="28">
        <v>3</v>
      </c>
      <c r="B30" s="4" t="s">
        <v>362</v>
      </c>
      <c r="C30" s="5" t="s">
        <v>379</v>
      </c>
      <c r="D30" s="4" t="s">
        <v>364</v>
      </c>
      <c r="E30" s="4" t="s">
        <v>380</v>
      </c>
      <c r="N30" s="24" t="s">
        <v>366</v>
      </c>
      <c r="O30" s="24" t="s">
        <v>367</v>
      </c>
      <c r="Q30" s="24" t="s">
        <v>368</v>
      </c>
      <c r="AC30" s="4" t="s">
        <v>369</v>
      </c>
      <c r="AD30" s="4" t="s">
        <v>370</v>
      </c>
      <c r="AH30" s="4" t="s">
        <v>371</v>
      </c>
      <c r="AQ30" s="4" t="s">
        <v>372</v>
      </c>
      <c r="AR30" s="4">
        <v>22.54</v>
      </c>
      <c r="AS30" s="4" t="s">
        <v>373</v>
      </c>
      <c r="AT30" s="4">
        <v>12.67</v>
      </c>
      <c r="AU30" s="4" t="s">
        <v>374</v>
      </c>
      <c r="AV30" s="4">
        <v>6.03</v>
      </c>
      <c r="AW30" s="4" t="s">
        <v>375</v>
      </c>
      <c r="AX30" s="4">
        <v>25.26</v>
      </c>
      <c r="BI30" s="4" t="s">
        <v>321</v>
      </c>
      <c r="BL30" s="4">
        <v>10</v>
      </c>
      <c r="BO30" s="4">
        <v>1</v>
      </c>
      <c r="BV30" s="4">
        <v>360</v>
      </c>
      <c r="BW30" s="4">
        <v>45</v>
      </c>
      <c r="CB30" s="4" t="s">
        <v>372</v>
      </c>
      <c r="CC30" s="4" t="s">
        <v>382</v>
      </c>
      <c r="CE30" s="4" t="s">
        <v>373</v>
      </c>
      <c r="CF30" s="4" t="s">
        <v>382</v>
      </c>
      <c r="CH30" s="4" t="s">
        <v>374</v>
      </c>
      <c r="CI30" s="4" t="s">
        <v>382</v>
      </c>
      <c r="CK30" s="4" t="s">
        <v>375</v>
      </c>
      <c r="CL30" s="4" t="s">
        <v>382</v>
      </c>
      <c r="DB30" s="4" t="s">
        <v>377</v>
      </c>
      <c r="DC30" s="4" t="s">
        <v>378</v>
      </c>
      <c r="DM30" s="4">
        <v>360</v>
      </c>
      <c r="DO30" s="4">
        <v>3</v>
      </c>
      <c r="GX30" s="4"/>
      <c r="HA30" s="4"/>
      <c r="KZ30" s="1" t="s">
        <v>10</v>
      </c>
      <c r="LA30" s="1" t="s">
        <v>381</v>
      </c>
    </row>
    <row r="31" customHeight="1" spans="1:313">
      <c r="A31" s="28">
        <v>3</v>
      </c>
      <c r="B31" s="4" t="s">
        <v>362</v>
      </c>
      <c r="C31" s="5" t="s">
        <v>379</v>
      </c>
      <c r="D31" s="4" t="s">
        <v>364</v>
      </c>
      <c r="E31" s="4" t="s">
        <v>380</v>
      </c>
      <c r="N31" s="24" t="s">
        <v>366</v>
      </c>
      <c r="O31" s="24" t="s">
        <v>367</v>
      </c>
      <c r="Q31" s="24" t="s">
        <v>368</v>
      </c>
      <c r="AC31" s="4" t="s">
        <v>369</v>
      </c>
      <c r="AD31" s="4" t="s">
        <v>370</v>
      </c>
      <c r="BI31" s="4" t="s">
        <v>309</v>
      </c>
      <c r="BK31" s="4">
        <v>30</v>
      </c>
      <c r="BN31" s="4">
        <v>1</v>
      </c>
      <c r="BS31" s="4">
        <v>2</v>
      </c>
      <c r="BV31" s="4">
        <v>360</v>
      </c>
      <c r="CB31" s="4" t="s">
        <v>372</v>
      </c>
      <c r="CC31" s="4">
        <v>300</v>
      </c>
      <c r="CE31" s="4" t="s">
        <v>373</v>
      </c>
      <c r="CF31" s="4">
        <v>300</v>
      </c>
      <c r="CH31" s="4" t="s">
        <v>374</v>
      </c>
      <c r="CI31" s="4">
        <v>300</v>
      </c>
      <c r="CK31" s="4" t="s">
        <v>375</v>
      </c>
      <c r="CL31" s="4">
        <v>300</v>
      </c>
      <c r="DM31" s="4">
        <v>360</v>
      </c>
      <c r="DO31" s="4">
        <v>3</v>
      </c>
      <c r="EP31" s="4">
        <v>87</v>
      </c>
      <c r="ES31" s="4">
        <v>87</v>
      </c>
      <c r="FT31" s="4">
        <v>84</v>
      </c>
      <c r="FW31" s="4">
        <v>84</v>
      </c>
      <c r="GI31" s="4">
        <v>46</v>
      </c>
      <c r="GL31" s="4">
        <v>46</v>
      </c>
      <c r="GX31" s="4">
        <v>42</v>
      </c>
      <c r="HA31" s="4">
        <v>42</v>
      </c>
    </row>
    <row r="32" customHeight="1" spans="1:313">
      <c r="A32" s="28">
        <v>3</v>
      </c>
      <c r="B32" s="4" t="s">
        <v>362</v>
      </c>
      <c r="C32" s="5" t="s">
        <v>379</v>
      </c>
      <c r="D32" s="4" t="s">
        <v>364</v>
      </c>
      <c r="E32" s="4" t="s">
        <v>380</v>
      </c>
      <c r="N32" s="24" t="s">
        <v>366</v>
      </c>
      <c r="O32" s="24" t="s">
        <v>367</v>
      </c>
      <c r="Q32" s="24" t="s">
        <v>368</v>
      </c>
      <c r="AC32" s="4" t="s">
        <v>369</v>
      </c>
      <c r="AD32" s="4" t="s">
        <v>370</v>
      </c>
      <c r="BI32" s="4" t="s">
        <v>309</v>
      </c>
      <c r="BK32" s="4">
        <v>30</v>
      </c>
      <c r="BN32" s="4">
        <v>1</v>
      </c>
      <c r="BS32" s="4">
        <v>3</v>
      </c>
      <c r="BV32" s="4">
        <v>360</v>
      </c>
      <c r="CB32" s="4" t="s">
        <v>372</v>
      </c>
      <c r="CC32" s="4">
        <v>300</v>
      </c>
      <c r="CE32" s="4" t="s">
        <v>373</v>
      </c>
      <c r="CF32" s="4">
        <v>300</v>
      </c>
      <c r="CH32" s="4" t="s">
        <v>374</v>
      </c>
      <c r="CI32" s="4">
        <v>300</v>
      </c>
      <c r="CK32" s="4" t="s">
        <v>375</v>
      </c>
      <c r="CL32" s="4">
        <v>300</v>
      </c>
      <c r="DM32" s="4">
        <v>360</v>
      </c>
      <c r="DO32" s="4">
        <v>3</v>
      </c>
      <c r="EP32" s="4">
        <v>85</v>
      </c>
      <c r="ES32" s="4">
        <v>85</v>
      </c>
      <c r="FT32" s="4">
        <v>82</v>
      </c>
      <c r="FW32" s="4">
        <v>82</v>
      </c>
      <c r="GI32" s="4">
        <v>50</v>
      </c>
      <c r="GL32" s="4">
        <v>50</v>
      </c>
      <c r="GX32" s="4">
        <v>46</v>
      </c>
      <c r="HA32" s="4">
        <v>46</v>
      </c>
    </row>
    <row r="33" customHeight="1" spans="1:295">
      <c r="A33" s="28">
        <v>3</v>
      </c>
      <c r="B33" s="4" t="s">
        <v>362</v>
      </c>
      <c r="C33" s="5" t="s">
        <v>379</v>
      </c>
      <c r="D33" s="4" t="s">
        <v>364</v>
      </c>
      <c r="E33" s="4" t="s">
        <v>380</v>
      </c>
      <c r="N33" s="24" t="s">
        <v>366</v>
      </c>
      <c r="O33" s="24" t="s">
        <v>367</v>
      </c>
      <c r="Q33" s="24" t="s">
        <v>368</v>
      </c>
      <c r="AC33" s="4" t="s">
        <v>369</v>
      </c>
      <c r="AD33" s="4" t="s">
        <v>370</v>
      </c>
      <c r="BI33" s="4" t="s">
        <v>309</v>
      </c>
      <c r="BK33" s="4">
        <v>30</v>
      </c>
      <c r="BN33" s="4">
        <v>1</v>
      </c>
      <c r="BS33" s="4">
        <v>4</v>
      </c>
      <c r="BV33" s="4">
        <v>360</v>
      </c>
      <c r="CB33" s="4" t="s">
        <v>372</v>
      </c>
      <c r="CC33" s="4">
        <v>300</v>
      </c>
      <c r="CE33" s="4" t="s">
        <v>373</v>
      </c>
      <c r="CF33" s="4">
        <v>300</v>
      </c>
      <c r="CH33" s="4" t="s">
        <v>374</v>
      </c>
      <c r="CI33" s="4">
        <v>300</v>
      </c>
      <c r="CK33" s="4" t="s">
        <v>375</v>
      </c>
      <c r="CL33" s="4">
        <v>300</v>
      </c>
      <c r="DM33" s="4">
        <v>360</v>
      </c>
      <c r="DO33" s="4">
        <v>3</v>
      </c>
      <c r="EP33" s="4">
        <v>83</v>
      </c>
      <c r="ES33" s="4">
        <v>83</v>
      </c>
      <c r="FT33" s="4">
        <v>78</v>
      </c>
      <c r="FW33" s="4">
        <v>78</v>
      </c>
      <c r="GI33" s="4">
        <v>62</v>
      </c>
      <c r="GL33" s="4">
        <v>62</v>
      </c>
      <c r="GX33" s="4">
        <v>54</v>
      </c>
      <c r="HA33" s="4">
        <v>54</v>
      </c>
    </row>
    <row r="34" customHeight="1" spans="1:295">
      <c r="A34" s="28">
        <v>3</v>
      </c>
      <c r="B34" s="4" t="s">
        <v>362</v>
      </c>
      <c r="C34" s="5" t="s">
        <v>379</v>
      </c>
      <c r="D34" s="4" t="s">
        <v>364</v>
      </c>
      <c r="E34" s="4" t="s">
        <v>380</v>
      </c>
      <c r="N34" s="24" t="s">
        <v>366</v>
      </c>
      <c r="O34" s="24" t="s">
        <v>367</v>
      </c>
      <c r="Q34" s="24" t="s">
        <v>368</v>
      </c>
      <c r="AC34" s="4" t="s">
        <v>369</v>
      </c>
      <c r="AD34" s="4" t="s">
        <v>370</v>
      </c>
      <c r="BI34" s="4" t="s">
        <v>309</v>
      </c>
      <c r="BK34" s="4">
        <v>30</v>
      </c>
      <c r="BN34" s="4">
        <v>1</v>
      </c>
      <c r="BS34" s="4">
        <v>5</v>
      </c>
      <c r="BV34" s="4">
        <v>360</v>
      </c>
      <c r="CB34" s="4" t="s">
        <v>372</v>
      </c>
      <c r="CC34" s="4">
        <v>300</v>
      </c>
      <c r="CE34" s="4" t="s">
        <v>373</v>
      </c>
      <c r="CF34" s="4">
        <v>300</v>
      </c>
      <c r="CH34" s="4" t="s">
        <v>374</v>
      </c>
      <c r="CI34" s="4">
        <v>300</v>
      </c>
      <c r="CK34" s="4" t="s">
        <v>375</v>
      </c>
      <c r="CL34" s="4">
        <v>300</v>
      </c>
      <c r="DM34" s="4">
        <v>360</v>
      </c>
      <c r="DO34" s="4">
        <v>3</v>
      </c>
      <c r="EP34" s="4">
        <v>75</v>
      </c>
      <c r="ES34" s="4">
        <v>75</v>
      </c>
      <c r="FT34" s="4">
        <v>75</v>
      </c>
      <c r="FW34" s="4">
        <v>75</v>
      </c>
      <c r="GI34" s="4">
        <v>65</v>
      </c>
      <c r="GL34" s="4">
        <v>65</v>
      </c>
      <c r="GX34" s="4">
        <v>69</v>
      </c>
      <c r="HA34" s="4">
        <v>69</v>
      </c>
    </row>
    <row r="35" customHeight="1" spans="1:295">
      <c r="A35" s="28">
        <v>3</v>
      </c>
      <c r="B35" s="4" t="s">
        <v>362</v>
      </c>
      <c r="C35" s="5" t="s">
        <v>379</v>
      </c>
      <c r="D35" s="4" t="s">
        <v>364</v>
      </c>
      <c r="E35" s="4" t="s">
        <v>380</v>
      </c>
      <c r="N35" s="24" t="s">
        <v>366</v>
      </c>
      <c r="O35" s="24" t="s">
        <v>367</v>
      </c>
      <c r="Q35" s="24" t="s">
        <v>368</v>
      </c>
      <c r="AC35" s="4" t="s">
        <v>369</v>
      </c>
      <c r="AD35" s="4" t="s">
        <v>370</v>
      </c>
      <c r="BI35" s="4" t="s">
        <v>309</v>
      </c>
      <c r="BK35" s="4">
        <v>30</v>
      </c>
      <c r="BN35" s="4">
        <v>1</v>
      </c>
      <c r="BS35" s="4">
        <v>6</v>
      </c>
      <c r="BV35" s="4">
        <v>360</v>
      </c>
      <c r="CB35" s="4" t="s">
        <v>372</v>
      </c>
      <c r="CC35" s="4">
        <v>300</v>
      </c>
      <c r="CE35" s="4" t="s">
        <v>373</v>
      </c>
      <c r="CF35" s="4">
        <v>300</v>
      </c>
      <c r="CH35" s="4" t="s">
        <v>374</v>
      </c>
      <c r="CI35" s="4">
        <v>300</v>
      </c>
      <c r="CK35" s="4" t="s">
        <v>375</v>
      </c>
      <c r="CL35" s="4">
        <v>300</v>
      </c>
      <c r="DM35" s="4">
        <v>360</v>
      </c>
      <c r="DO35" s="4">
        <v>3</v>
      </c>
      <c r="EP35" s="4">
        <v>70</v>
      </c>
      <c r="ES35" s="4">
        <v>70</v>
      </c>
      <c r="FT35" s="4">
        <v>65</v>
      </c>
      <c r="FW35" s="4">
        <v>65</v>
      </c>
      <c r="GI35" s="4">
        <v>84</v>
      </c>
      <c r="GL35" s="4">
        <v>84</v>
      </c>
      <c r="GX35" s="4">
        <v>78</v>
      </c>
      <c r="HA35" s="4">
        <v>78</v>
      </c>
    </row>
    <row r="36" customHeight="1" spans="1:295">
      <c r="A36" s="28">
        <v>3</v>
      </c>
      <c r="B36" s="4" t="s">
        <v>362</v>
      </c>
      <c r="C36" s="5" t="s">
        <v>379</v>
      </c>
      <c r="D36" s="4" t="s">
        <v>364</v>
      </c>
      <c r="E36" s="4" t="s">
        <v>380</v>
      </c>
      <c r="N36" s="24" t="s">
        <v>366</v>
      </c>
      <c r="O36" s="24" t="s">
        <v>367</v>
      </c>
      <c r="Q36" s="24" t="s">
        <v>368</v>
      </c>
      <c r="AC36" s="4" t="s">
        <v>369</v>
      </c>
      <c r="AD36" s="4" t="s">
        <v>370</v>
      </c>
      <c r="BI36" s="4" t="s">
        <v>309</v>
      </c>
      <c r="BK36" s="4">
        <v>30</v>
      </c>
      <c r="BN36" s="4">
        <v>1</v>
      </c>
      <c r="BS36" s="4">
        <v>7</v>
      </c>
      <c r="BV36" s="4">
        <v>360</v>
      </c>
      <c r="CB36" s="4" t="s">
        <v>372</v>
      </c>
      <c r="CC36" s="4">
        <v>300</v>
      </c>
      <c r="CE36" s="4" t="s">
        <v>373</v>
      </c>
      <c r="CF36" s="4">
        <v>300</v>
      </c>
      <c r="CH36" s="4" t="s">
        <v>374</v>
      </c>
      <c r="CI36" s="4">
        <v>300</v>
      </c>
      <c r="CK36" s="4" t="s">
        <v>375</v>
      </c>
      <c r="CL36" s="4">
        <v>300</v>
      </c>
      <c r="DM36" s="4">
        <v>360</v>
      </c>
      <c r="DO36" s="4">
        <v>3</v>
      </c>
      <c r="EP36" s="4">
        <v>60</v>
      </c>
      <c r="ES36" s="4">
        <v>60</v>
      </c>
      <c r="FT36" s="4">
        <v>63</v>
      </c>
      <c r="FW36" s="4">
        <v>63</v>
      </c>
      <c r="GI36" s="4">
        <v>89</v>
      </c>
      <c r="GL36" s="4">
        <v>89</v>
      </c>
      <c r="GX36" s="4">
        <v>85</v>
      </c>
      <c r="HA36" s="4">
        <v>85</v>
      </c>
    </row>
    <row r="37" customHeight="1" spans="1:295">
      <c r="A37" s="28">
        <v>3</v>
      </c>
      <c r="B37" s="4" t="s">
        <v>362</v>
      </c>
      <c r="C37" s="5" t="s">
        <v>379</v>
      </c>
      <c r="D37" s="4" t="s">
        <v>364</v>
      </c>
      <c r="E37" s="4" t="s">
        <v>380</v>
      </c>
      <c r="N37" s="24" t="s">
        <v>366</v>
      </c>
      <c r="O37" s="24" t="s">
        <v>367</v>
      </c>
      <c r="Q37" s="24" t="s">
        <v>368</v>
      </c>
      <c r="AC37" s="4" t="s">
        <v>369</v>
      </c>
      <c r="AD37" s="4" t="s">
        <v>370</v>
      </c>
      <c r="BI37" s="4" t="s">
        <v>309</v>
      </c>
      <c r="BK37" s="4">
        <v>30</v>
      </c>
      <c r="BN37" s="4">
        <v>1</v>
      </c>
      <c r="BS37" s="4">
        <v>8</v>
      </c>
      <c r="BV37" s="4">
        <v>360</v>
      </c>
      <c r="CB37" s="4" t="s">
        <v>372</v>
      </c>
      <c r="CC37" s="4">
        <v>300</v>
      </c>
      <c r="CE37" s="4" t="s">
        <v>373</v>
      </c>
      <c r="CF37" s="4">
        <v>300</v>
      </c>
      <c r="CH37" s="4" t="s">
        <v>374</v>
      </c>
      <c r="CI37" s="4">
        <v>300</v>
      </c>
      <c r="CK37" s="4" t="s">
        <v>375</v>
      </c>
      <c r="CL37" s="4">
        <v>300</v>
      </c>
      <c r="DM37" s="4">
        <v>360</v>
      </c>
      <c r="DO37" s="4">
        <v>3</v>
      </c>
      <c r="EP37" s="4">
        <v>54</v>
      </c>
      <c r="ES37" s="4">
        <v>54</v>
      </c>
      <c r="FT37" s="4">
        <v>58</v>
      </c>
      <c r="FW37" s="4">
        <v>58</v>
      </c>
      <c r="GI37" s="4">
        <v>94</v>
      </c>
      <c r="GL37" s="4">
        <v>94</v>
      </c>
      <c r="GX37" s="4">
        <v>92</v>
      </c>
      <c r="HA37" s="4">
        <v>92</v>
      </c>
    </row>
    <row r="38" customHeight="1" spans="1:295">
      <c r="A38" s="28">
        <v>3</v>
      </c>
      <c r="B38" s="4" t="s">
        <v>362</v>
      </c>
      <c r="C38" s="5" t="s">
        <v>379</v>
      </c>
      <c r="D38" s="4" t="s">
        <v>364</v>
      </c>
      <c r="E38" s="4" t="s">
        <v>380</v>
      </c>
      <c r="N38" s="24" t="s">
        <v>366</v>
      </c>
      <c r="O38" s="24" t="s">
        <v>367</v>
      </c>
      <c r="Q38" s="24" t="s">
        <v>368</v>
      </c>
      <c r="AC38" s="4" t="s">
        <v>369</v>
      </c>
      <c r="AD38" s="4" t="s">
        <v>370</v>
      </c>
      <c r="BI38" s="4" t="s">
        <v>321</v>
      </c>
      <c r="DO38" s="4">
        <v>3</v>
      </c>
      <c r="EH38" s="4">
        <v>78.52</v>
      </c>
      <c r="FL38" s="4">
        <v>33.64</v>
      </c>
      <c r="GA38" s="4">
        <v>42.38</v>
      </c>
      <c r="GP38" s="4">
        <v>37.25</v>
      </c>
      <c r="GV38" s="4"/>
      <c r="JJ38" s="1" t="s">
        <v>355</v>
      </c>
      <c r="JK38" s="1" t="s">
        <v>383</v>
      </c>
      <c r="JL38" s="27">
        <v>62.9322268326417</v>
      </c>
      <c r="JM38" s="27"/>
      <c r="JN38" s="27">
        <v>15.6293222683265</v>
      </c>
      <c r="JO38" s="27"/>
      <c r="JP38" s="27">
        <v>11.8948824343015</v>
      </c>
      <c r="JQ38" s="27"/>
      <c r="JR38" s="27">
        <v>9.5435684647303</v>
      </c>
      <c r="JS38" s="27"/>
      <c r="JT38" s="27">
        <v>21.0235131396957</v>
      </c>
      <c r="JU38" s="27"/>
      <c r="JV38" s="27">
        <v>21.9917012448133</v>
      </c>
      <c r="JW38" s="27"/>
      <c r="JX38" s="27">
        <v>13.969571230982</v>
      </c>
      <c r="JY38" s="27"/>
      <c r="JZ38" s="27">
        <v>43.015214384509</v>
      </c>
      <c r="KA38" s="27"/>
      <c r="KB38" s="27">
        <v>15.9059474412171</v>
      </c>
      <c r="KC38" s="27">
        <v>60.0276625172891</v>
      </c>
      <c r="KD38" s="27">
        <v>16.4591977869986</v>
      </c>
      <c r="KE38" s="27">
        <v>7.6071922544952</v>
      </c>
      <c r="KF38" s="27">
        <v>41.908713692946</v>
      </c>
      <c r="KG38" s="27">
        <v>30.9820193637621</v>
      </c>
      <c r="KH38" s="27">
        <v>12.0331950207469</v>
      </c>
      <c r="KI38" s="27">
        <v>15.076071922545</v>
      </c>
    </row>
    <row r="39" customHeight="1" spans="1:295">
      <c r="A39" s="28">
        <v>3</v>
      </c>
      <c r="B39" s="4" t="s">
        <v>362</v>
      </c>
      <c r="C39" s="5" t="s">
        <v>379</v>
      </c>
      <c r="D39" s="4" t="s">
        <v>364</v>
      </c>
      <c r="E39" s="4" t="s">
        <v>380</v>
      </c>
      <c r="N39" s="24" t="s">
        <v>366</v>
      </c>
      <c r="O39" s="24" t="s">
        <v>367</v>
      </c>
      <c r="Q39" s="24" t="s">
        <v>368</v>
      </c>
      <c r="AC39" s="4" t="s">
        <v>369</v>
      </c>
      <c r="AD39" s="4" t="s">
        <v>370</v>
      </c>
      <c r="BI39" s="4" t="s">
        <v>321</v>
      </c>
      <c r="DO39" s="4">
        <v>3</v>
      </c>
      <c r="EH39" s="4">
        <v>2.58</v>
      </c>
      <c r="EP39" s="4">
        <v>52.48</v>
      </c>
      <c r="ES39" s="4">
        <v>52.48</v>
      </c>
      <c r="FL39" s="4">
        <v>2.61</v>
      </c>
      <c r="FT39" s="4">
        <v>45.67</v>
      </c>
      <c r="FW39" s="4">
        <v>45.67</v>
      </c>
      <c r="GA39" s="4">
        <v>0.62</v>
      </c>
      <c r="GI39" s="4">
        <v>59.33</v>
      </c>
      <c r="GL39" s="4">
        <v>59.33</v>
      </c>
      <c r="GP39" s="4">
        <v>0.14</v>
      </c>
      <c r="GV39" s="4"/>
      <c r="GX39" s="4">
        <v>48.92</v>
      </c>
      <c r="HA39" s="4">
        <v>48.92</v>
      </c>
      <c r="JJ39" s="1" t="s">
        <v>355</v>
      </c>
      <c r="JK39" s="1" t="s">
        <v>383</v>
      </c>
      <c r="JL39" s="27">
        <v>5.94744121715075</v>
      </c>
      <c r="JM39" s="27"/>
      <c r="JN39" s="27">
        <v>21.9917012448132</v>
      </c>
      <c r="JO39" s="27"/>
      <c r="JP39" s="27">
        <v>55.0484094052559</v>
      </c>
      <c r="JQ39" s="27"/>
      <c r="JR39" s="27">
        <v>17.0124481327801</v>
      </c>
      <c r="JS39" s="27"/>
      <c r="JT39" s="27">
        <v>10.5117565698478</v>
      </c>
      <c r="JU39" s="27"/>
      <c r="JV39" s="27">
        <v>13.2780082987552</v>
      </c>
      <c r="JW39" s="27"/>
      <c r="JX39" s="27">
        <v>27.939142461964</v>
      </c>
      <c r="JY39" s="27"/>
      <c r="JZ39" s="27">
        <v>48.271092669433</v>
      </c>
      <c r="KA39" s="27"/>
      <c r="KB39" s="27">
        <v>5.94744121715075</v>
      </c>
      <c r="KC39" s="27">
        <v>54.9100968188104</v>
      </c>
      <c r="KD39" s="27">
        <v>13.1396957123098</v>
      </c>
      <c r="KE39" s="27">
        <v>26.002766251729</v>
      </c>
      <c r="KF39" s="27">
        <v>8.85200553250345</v>
      </c>
      <c r="KG39" s="27">
        <v>15.0760719225449</v>
      </c>
      <c r="KH39" s="27">
        <v>30.0138312586445</v>
      </c>
      <c r="KI39" s="27">
        <v>46.0580912863071</v>
      </c>
    </row>
    <row r="40" customHeight="1" spans="1:295">
      <c r="A40" s="28">
        <v>3</v>
      </c>
      <c r="B40" s="4" t="s">
        <v>362</v>
      </c>
      <c r="C40" s="5" t="s">
        <v>384</v>
      </c>
      <c r="D40" s="4" t="s">
        <v>364</v>
      </c>
      <c r="E40" s="4" t="s">
        <v>385</v>
      </c>
      <c r="N40" s="24" t="s">
        <v>366</v>
      </c>
      <c r="O40" s="24" t="s">
        <v>367</v>
      </c>
      <c r="Q40" s="24" t="s">
        <v>368</v>
      </c>
      <c r="AC40" s="4" t="s">
        <v>369</v>
      </c>
      <c r="AD40" s="4" t="s">
        <v>370</v>
      </c>
      <c r="AH40" s="4" t="s">
        <v>371</v>
      </c>
      <c r="AQ40" s="4" t="s">
        <v>372</v>
      </c>
      <c r="AR40" s="4">
        <v>22.54</v>
      </c>
      <c r="AS40" s="4" t="s">
        <v>373</v>
      </c>
      <c r="AT40" s="4">
        <v>12.67</v>
      </c>
      <c r="AU40" s="4" t="s">
        <v>374</v>
      </c>
      <c r="AV40" s="4">
        <v>6.03</v>
      </c>
      <c r="AW40" s="4" t="s">
        <v>375</v>
      </c>
      <c r="AX40" s="4">
        <v>25.26</v>
      </c>
      <c r="BI40" s="4" t="s">
        <v>321</v>
      </c>
      <c r="BK40" s="4">
        <v>30</v>
      </c>
      <c r="BL40" s="4">
        <v>10</v>
      </c>
      <c r="BO40" s="4">
        <v>0.03</v>
      </c>
      <c r="BV40" s="4" t="s">
        <v>376</v>
      </c>
      <c r="BW40" s="4">
        <v>25</v>
      </c>
      <c r="CB40" s="4" t="s">
        <v>372</v>
      </c>
      <c r="CC40" s="4">
        <v>300</v>
      </c>
      <c r="CE40" s="4" t="s">
        <v>373</v>
      </c>
      <c r="CF40" s="4">
        <v>300</v>
      </c>
      <c r="CH40" s="4" t="s">
        <v>374</v>
      </c>
      <c r="CI40" s="4">
        <v>300</v>
      </c>
      <c r="CK40" s="4" t="s">
        <v>375</v>
      </c>
      <c r="CL40" s="4">
        <v>300</v>
      </c>
      <c r="CV40" s="4">
        <v>90</v>
      </c>
      <c r="CX40" s="4" t="s">
        <v>314</v>
      </c>
      <c r="DM40" s="4">
        <v>360</v>
      </c>
      <c r="DO40" s="4">
        <v>3</v>
      </c>
      <c r="EL40" s="4">
        <v>86.8</v>
      </c>
      <c r="EM40" s="1">
        <v>3.23</v>
      </c>
      <c r="FP40" s="4">
        <v>93.6</v>
      </c>
      <c r="FQ40" s="1">
        <v>3.92</v>
      </c>
      <c r="FV40" s="1">
        <f>FP40/300*100</f>
        <v>31.2</v>
      </c>
      <c r="FW40" s="1">
        <v>31.2</v>
      </c>
      <c r="GE40" s="1">
        <v>195.5</v>
      </c>
      <c r="GF40" s="1">
        <v>7.51</v>
      </c>
      <c r="GK40" s="1">
        <f>GE40/300*100</f>
        <v>65.1666666666667</v>
      </c>
      <c r="GL40" s="1">
        <v>65.1666666666667</v>
      </c>
      <c r="GT40" s="1">
        <v>187.8</v>
      </c>
      <c r="GU40" s="1">
        <v>5.68</v>
      </c>
      <c r="GV40" s="4"/>
      <c r="GZ40" s="1">
        <f>GT40/3</f>
        <v>62.6</v>
      </c>
      <c r="HA40" s="1">
        <v>62.6</v>
      </c>
    </row>
    <row r="41" customHeight="1" spans="1:295">
      <c r="A41" s="28">
        <v>3</v>
      </c>
      <c r="B41" s="4" t="s">
        <v>362</v>
      </c>
      <c r="C41" s="5" t="s">
        <v>384</v>
      </c>
      <c r="D41" s="4" t="s">
        <v>364</v>
      </c>
      <c r="E41" s="4" t="s">
        <v>385</v>
      </c>
      <c r="N41" s="24" t="s">
        <v>366</v>
      </c>
      <c r="O41" s="24" t="s">
        <v>367</v>
      </c>
      <c r="Q41" s="24" t="s">
        <v>368</v>
      </c>
      <c r="AC41" s="4" t="s">
        <v>369</v>
      </c>
      <c r="AD41" s="4" t="s">
        <v>370</v>
      </c>
      <c r="AH41" s="4" t="s">
        <v>371</v>
      </c>
      <c r="AQ41" s="4" t="s">
        <v>372</v>
      </c>
      <c r="AR41" s="4">
        <v>22.54</v>
      </c>
      <c r="AS41" s="4" t="s">
        <v>373</v>
      </c>
      <c r="AT41" s="4">
        <v>12.67</v>
      </c>
      <c r="AU41" s="4" t="s">
        <v>374</v>
      </c>
      <c r="AV41" s="4">
        <v>6.03</v>
      </c>
      <c r="AW41" s="4" t="s">
        <v>375</v>
      </c>
      <c r="AX41" s="4">
        <v>25.26</v>
      </c>
      <c r="BI41" s="4" t="s">
        <v>321</v>
      </c>
      <c r="BK41" s="4">
        <v>30</v>
      </c>
      <c r="BL41" s="4">
        <v>10</v>
      </c>
      <c r="BO41" s="4">
        <v>1</v>
      </c>
      <c r="BV41" s="4">
        <v>360</v>
      </c>
      <c r="BW41" s="4">
        <v>25</v>
      </c>
      <c r="CB41" s="4" t="s">
        <v>372</v>
      </c>
      <c r="CC41" s="4" t="s">
        <v>382</v>
      </c>
      <c r="CE41" s="4" t="s">
        <v>373</v>
      </c>
      <c r="CF41" s="4" t="s">
        <v>382</v>
      </c>
      <c r="CH41" s="4" t="s">
        <v>374</v>
      </c>
      <c r="CI41" s="4" t="s">
        <v>382</v>
      </c>
      <c r="CK41" s="4" t="s">
        <v>375</v>
      </c>
      <c r="CL41" s="4" t="s">
        <v>382</v>
      </c>
      <c r="DB41" s="4" t="s">
        <v>377</v>
      </c>
      <c r="DC41" s="4" t="s">
        <v>378</v>
      </c>
      <c r="DE41" s="4">
        <v>142.86</v>
      </c>
      <c r="DG41" s="4">
        <v>140.84</v>
      </c>
      <c r="DH41" s="4">
        <v>270.27</v>
      </c>
      <c r="DI41" s="4">
        <v>256.41</v>
      </c>
      <c r="DM41" s="4">
        <v>360</v>
      </c>
      <c r="DO41" s="4">
        <v>3</v>
      </c>
      <c r="EL41" s="29">
        <v>113.13</v>
      </c>
      <c r="EM41" s="1">
        <v>4.78</v>
      </c>
      <c r="FP41" s="1">
        <v>113.9</v>
      </c>
      <c r="FQ41" s="1">
        <v>6.35</v>
      </c>
      <c r="GE41" s="1">
        <v>233.6</v>
      </c>
      <c r="GF41" s="1">
        <v>11.91</v>
      </c>
      <c r="GT41" s="1">
        <v>223.17</v>
      </c>
      <c r="GU41" s="1">
        <v>11.29</v>
      </c>
      <c r="GV41" s="4"/>
    </row>
    <row r="42" customHeight="1" spans="1:295">
      <c r="A42" s="28">
        <v>3</v>
      </c>
      <c r="B42" s="4" t="s">
        <v>362</v>
      </c>
      <c r="C42" s="5" t="s">
        <v>384</v>
      </c>
      <c r="D42" s="4" t="s">
        <v>364</v>
      </c>
      <c r="E42" s="4" t="s">
        <v>385</v>
      </c>
      <c r="N42" s="24" t="s">
        <v>366</v>
      </c>
      <c r="O42" s="24" t="s">
        <v>367</v>
      </c>
      <c r="Q42" s="24" t="s">
        <v>368</v>
      </c>
      <c r="AC42" s="4" t="s">
        <v>369</v>
      </c>
      <c r="AD42" s="4" t="s">
        <v>370</v>
      </c>
      <c r="AH42" s="4" t="s">
        <v>371</v>
      </c>
      <c r="AQ42" s="4" t="s">
        <v>372</v>
      </c>
      <c r="AR42" s="4">
        <v>22.54</v>
      </c>
      <c r="AS42" s="4" t="s">
        <v>373</v>
      </c>
      <c r="AT42" s="4">
        <v>12.67</v>
      </c>
      <c r="AU42" s="4" t="s">
        <v>374</v>
      </c>
      <c r="AV42" s="4">
        <v>6.03</v>
      </c>
      <c r="AW42" s="4" t="s">
        <v>375</v>
      </c>
      <c r="AX42" s="4">
        <v>25.26</v>
      </c>
      <c r="BI42" s="4" t="s">
        <v>321</v>
      </c>
      <c r="BK42" s="4">
        <v>30</v>
      </c>
      <c r="BL42" s="4">
        <v>10</v>
      </c>
      <c r="BO42" s="4">
        <v>1</v>
      </c>
      <c r="BV42" s="4">
        <v>360</v>
      </c>
      <c r="BW42" s="4">
        <v>35</v>
      </c>
      <c r="CB42" s="4" t="s">
        <v>372</v>
      </c>
      <c r="CC42" s="4" t="s">
        <v>382</v>
      </c>
      <c r="CE42" s="4" t="s">
        <v>373</v>
      </c>
      <c r="CF42" s="4" t="s">
        <v>382</v>
      </c>
      <c r="CH42" s="4" t="s">
        <v>374</v>
      </c>
      <c r="CI42" s="4" t="s">
        <v>382</v>
      </c>
      <c r="CK42" s="4" t="s">
        <v>375</v>
      </c>
      <c r="CL42" s="4" t="s">
        <v>382</v>
      </c>
      <c r="DB42" s="4" t="s">
        <v>377</v>
      </c>
      <c r="DC42" s="4" t="s">
        <v>378</v>
      </c>
      <c r="DM42" s="4">
        <v>360</v>
      </c>
      <c r="DO42" s="4">
        <v>3</v>
      </c>
      <c r="GT42" s="4"/>
      <c r="GV42" s="4"/>
    </row>
    <row r="43" customHeight="1" spans="1:295">
      <c r="A43" s="28">
        <v>3</v>
      </c>
      <c r="B43" s="4" t="s">
        <v>362</v>
      </c>
      <c r="C43" s="5" t="s">
        <v>384</v>
      </c>
      <c r="D43" s="4" t="s">
        <v>364</v>
      </c>
      <c r="E43" s="4" t="s">
        <v>385</v>
      </c>
      <c r="N43" s="24" t="s">
        <v>366</v>
      </c>
      <c r="O43" s="24" t="s">
        <v>367</v>
      </c>
      <c r="Q43" s="24" t="s">
        <v>368</v>
      </c>
      <c r="AC43" s="4" t="s">
        <v>369</v>
      </c>
      <c r="AD43" s="4" t="s">
        <v>370</v>
      </c>
      <c r="AH43" s="4" t="s">
        <v>371</v>
      </c>
      <c r="AQ43" s="4" t="s">
        <v>372</v>
      </c>
      <c r="AR43" s="4">
        <v>22.54</v>
      </c>
      <c r="AS43" s="4" t="s">
        <v>373</v>
      </c>
      <c r="AT43" s="4">
        <v>12.67</v>
      </c>
      <c r="AU43" s="4" t="s">
        <v>374</v>
      </c>
      <c r="AV43" s="4">
        <v>6.03</v>
      </c>
      <c r="AW43" s="4" t="s">
        <v>375</v>
      </c>
      <c r="AX43" s="4">
        <v>25.26</v>
      </c>
      <c r="BI43" s="4" t="s">
        <v>321</v>
      </c>
      <c r="BK43" s="4">
        <v>30</v>
      </c>
      <c r="BL43" s="4">
        <v>10</v>
      </c>
      <c r="BO43" s="4">
        <v>1</v>
      </c>
      <c r="BV43" s="4">
        <v>360</v>
      </c>
      <c r="BW43" s="4">
        <v>45</v>
      </c>
      <c r="CB43" s="4" t="s">
        <v>372</v>
      </c>
      <c r="CC43" s="4" t="s">
        <v>382</v>
      </c>
      <c r="CE43" s="4" t="s">
        <v>373</v>
      </c>
      <c r="CF43" s="4" t="s">
        <v>382</v>
      </c>
      <c r="CH43" s="4" t="s">
        <v>374</v>
      </c>
      <c r="CI43" s="4" t="s">
        <v>382</v>
      </c>
      <c r="CK43" s="4" t="s">
        <v>375</v>
      </c>
      <c r="CL43" s="4" t="s">
        <v>382</v>
      </c>
      <c r="DB43" s="4" t="s">
        <v>377</v>
      </c>
      <c r="DC43" s="4" t="s">
        <v>378</v>
      </c>
      <c r="DM43" s="4">
        <v>360</v>
      </c>
      <c r="DO43" s="4">
        <v>3</v>
      </c>
      <c r="GV43" s="4"/>
    </row>
    <row r="44" customHeight="1" spans="1:295">
      <c r="A44" s="16">
        <v>4</v>
      </c>
      <c r="B44" s="4" t="s">
        <v>386</v>
      </c>
      <c r="C44" s="5" t="s">
        <v>387</v>
      </c>
      <c r="D44" s="4" t="s">
        <v>388</v>
      </c>
      <c r="K44" s="4" t="s">
        <v>389</v>
      </c>
      <c r="L44" s="4">
        <v>900</v>
      </c>
      <c r="N44" s="24" t="s">
        <v>366</v>
      </c>
      <c r="O44" s="24" t="s">
        <v>367</v>
      </c>
      <c r="Q44" s="24" t="s">
        <v>390</v>
      </c>
      <c r="X44" s="4">
        <v>0.78</v>
      </c>
      <c r="AB44" s="4" t="s">
        <v>391</v>
      </c>
      <c r="AC44" s="4" t="s">
        <v>392</v>
      </c>
      <c r="AD44" s="4" t="s">
        <v>393</v>
      </c>
      <c r="AH44" s="4" t="s">
        <v>394</v>
      </c>
      <c r="AM44" s="4">
        <v>5.8</v>
      </c>
      <c r="AN44" s="4">
        <v>6.8</v>
      </c>
      <c r="AQ44" s="4" t="s">
        <v>372</v>
      </c>
      <c r="AR44" s="4">
        <v>58.88</v>
      </c>
      <c r="BC44" s="4" t="s">
        <v>395</v>
      </c>
      <c r="BD44" s="4" t="s">
        <v>396</v>
      </c>
      <c r="BE44" s="4" t="s">
        <v>397</v>
      </c>
      <c r="BK44" s="4">
        <v>5</v>
      </c>
      <c r="BL44" s="4">
        <v>1</v>
      </c>
      <c r="BO44" s="4">
        <v>0</v>
      </c>
      <c r="BP44" s="4">
        <v>0</v>
      </c>
      <c r="BU44" s="4" t="s">
        <v>398</v>
      </c>
      <c r="BV44" s="4">
        <v>2880</v>
      </c>
      <c r="BW44" s="4" t="s">
        <v>311</v>
      </c>
      <c r="CB44" s="4" t="s">
        <v>372</v>
      </c>
      <c r="CC44" s="4">
        <v>600</v>
      </c>
      <c r="DM44" s="4">
        <v>2880</v>
      </c>
      <c r="DO44" s="4">
        <v>3</v>
      </c>
      <c r="EH44" s="4">
        <v>63.17</v>
      </c>
      <c r="GV44" s="4"/>
    </row>
    <row r="45" customHeight="1" spans="1:295">
      <c r="A45" s="16">
        <v>4</v>
      </c>
      <c r="B45" s="4" t="s">
        <v>386</v>
      </c>
      <c r="C45" s="5" t="s">
        <v>387</v>
      </c>
      <c r="D45" s="4" t="s">
        <v>388</v>
      </c>
      <c r="K45" s="4" t="s">
        <v>389</v>
      </c>
      <c r="L45" s="4">
        <v>900</v>
      </c>
      <c r="N45" s="24" t="s">
        <v>366</v>
      </c>
      <c r="O45" s="24" t="s">
        <v>367</v>
      </c>
      <c r="Q45" s="24" t="s">
        <v>390</v>
      </c>
      <c r="X45" s="4">
        <v>0.78</v>
      </c>
      <c r="AB45" s="4" t="s">
        <v>391</v>
      </c>
      <c r="AC45" s="4" t="s">
        <v>392</v>
      </c>
      <c r="AD45" s="4" t="s">
        <v>393</v>
      </c>
      <c r="AH45" s="4" t="s">
        <v>394</v>
      </c>
      <c r="AM45" s="4">
        <v>5.8</v>
      </c>
      <c r="AN45" s="4">
        <v>6.8</v>
      </c>
      <c r="AQ45" s="4" t="s">
        <v>372</v>
      </c>
      <c r="AR45" s="4">
        <v>58.88</v>
      </c>
      <c r="BC45" s="4" t="s">
        <v>395</v>
      </c>
      <c r="BD45" s="4" t="s">
        <v>396</v>
      </c>
      <c r="BE45" s="4" t="s">
        <v>397</v>
      </c>
      <c r="BK45" s="4">
        <v>5</v>
      </c>
      <c r="BL45" s="4">
        <v>1</v>
      </c>
      <c r="BO45" s="4">
        <v>0.03</v>
      </c>
      <c r="BP45" s="4">
        <v>0</v>
      </c>
      <c r="BU45" s="4" t="s">
        <v>398</v>
      </c>
      <c r="BV45" s="4">
        <v>2880</v>
      </c>
      <c r="BW45" s="4" t="s">
        <v>311</v>
      </c>
      <c r="CB45" s="4" t="s">
        <v>372</v>
      </c>
      <c r="CC45" s="4">
        <v>600</v>
      </c>
      <c r="DM45" s="4">
        <v>2880</v>
      </c>
      <c r="DO45" s="4">
        <v>3</v>
      </c>
      <c r="EJ45" s="1">
        <v>32.31</v>
      </c>
      <c r="EK45" s="1">
        <v>2.86</v>
      </c>
      <c r="EL45" s="1">
        <v>22.36</v>
      </c>
      <c r="EM45" s="1">
        <v>1.64</v>
      </c>
      <c r="EP45" s="4">
        <v>45.19</v>
      </c>
      <c r="EQ45" s="1">
        <v>3.37</v>
      </c>
      <c r="ES45" s="4">
        <v>45.19</v>
      </c>
      <c r="GV45" s="4"/>
    </row>
    <row r="46" customHeight="1" spans="1:295">
      <c r="A46" s="16">
        <v>4</v>
      </c>
      <c r="B46" s="4" t="s">
        <v>386</v>
      </c>
      <c r="C46" s="5" t="s">
        <v>387</v>
      </c>
      <c r="D46" s="4" t="s">
        <v>388</v>
      </c>
      <c r="K46" s="4" t="s">
        <v>389</v>
      </c>
      <c r="L46" s="4">
        <v>900</v>
      </c>
      <c r="N46" s="24" t="s">
        <v>366</v>
      </c>
      <c r="O46" s="24" t="s">
        <v>367</v>
      </c>
      <c r="Q46" s="24" t="s">
        <v>390</v>
      </c>
      <c r="X46" s="4">
        <v>0.78</v>
      </c>
      <c r="AB46" s="4" t="s">
        <v>391</v>
      </c>
      <c r="AC46" s="4" t="s">
        <v>392</v>
      </c>
      <c r="AD46" s="4" t="s">
        <v>393</v>
      </c>
      <c r="AH46" s="4" t="s">
        <v>394</v>
      </c>
      <c r="AM46" s="4">
        <v>5.8</v>
      </c>
      <c r="AN46" s="4">
        <v>6.8</v>
      </c>
      <c r="AQ46" s="4" t="s">
        <v>372</v>
      </c>
      <c r="AR46" s="4">
        <v>58.88</v>
      </c>
      <c r="BC46" s="4" t="s">
        <v>395</v>
      </c>
      <c r="BD46" s="4" t="s">
        <v>396</v>
      </c>
      <c r="BE46" s="4" t="s">
        <v>397</v>
      </c>
      <c r="BK46" s="4">
        <v>5</v>
      </c>
      <c r="BL46" s="4">
        <v>1</v>
      </c>
      <c r="BO46" s="4">
        <v>0.05</v>
      </c>
      <c r="BP46" s="4">
        <v>0</v>
      </c>
      <c r="BU46" s="4" t="s">
        <v>398</v>
      </c>
      <c r="BV46" s="4">
        <v>2880</v>
      </c>
      <c r="BW46" s="4" t="s">
        <v>311</v>
      </c>
      <c r="CB46" s="4" t="s">
        <v>372</v>
      </c>
      <c r="CC46" s="4">
        <v>600</v>
      </c>
      <c r="DM46" s="4">
        <v>2880</v>
      </c>
      <c r="DO46" s="4">
        <v>3</v>
      </c>
      <c r="EJ46" s="1">
        <v>32.31</v>
      </c>
      <c r="EK46" s="1">
        <v>0.66</v>
      </c>
      <c r="EL46" s="1">
        <v>17.03</v>
      </c>
      <c r="EM46" s="1">
        <v>0.93</v>
      </c>
      <c r="EP46" s="4">
        <v>62.08</v>
      </c>
      <c r="EQ46" s="1">
        <v>1.69</v>
      </c>
      <c r="ES46" s="4">
        <v>62.08</v>
      </c>
    </row>
    <row r="47" customHeight="1" spans="1:295">
      <c r="A47" s="16">
        <v>4</v>
      </c>
      <c r="B47" s="4" t="s">
        <v>386</v>
      </c>
      <c r="C47" s="5" t="s">
        <v>387</v>
      </c>
      <c r="D47" s="4" t="s">
        <v>388</v>
      </c>
      <c r="K47" s="4" t="s">
        <v>389</v>
      </c>
      <c r="L47" s="4">
        <v>900</v>
      </c>
      <c r="N47" s="24" t="s">
        <v>366</v>
      </c>
      <c r="O47" s="24" t="s">
        <v>367</v>
      </c>
      <c r="Q47" s="24" t="s">
        <v>390</v>
      </c>
      <c r="X47" s="4">
        <v>0.78</v>
      </c>
      <c r="AB47" s="4" t="s">
        <v>391</v>
      </c>
      <c r="AC47" s="4" t="s">
        <v>392</v>
      </c>
      <c r="AD47" s="4" t="s">
        <v>393</v>
      </c>
      <c r="AH47" s="4" t="s">
        <v>394</v>
      </c>
      <c r="AM47" s="4">
        <v>5.8</v>
      </c>
      <c r="AN47" s="4">
        <v>6.8</v>
      </c>
      <c r="AQ47" s="4" t="s">
        <v>372</v>
      </c>
      <c r="AR47" s="4">
        <v>58.88</v>
      </c>
      <c r="BC47" s="4" t="s">
        <v>395</v>
      </c>
      <c r="BD47" s="4" t="s">
        <v>396</v>
      </c>
      <c r="BE47" s="4" t="s">
        <v>397</v>
      </c>
      <c r="BK47" s="4">
        <v>5</v>
      </c>
      <c r="BL47" s="4">
        <v>1</v>
      </c>
      <c r="BO47" s="4">
        <v>0.07</v>
      </c>
      <c r="BP47" s="4">
        <v>0</v>
      </c>
      <c r="BU47" s="4" t="s">
        <v>398</v>
      </c>
      <c r="BV47" s="4">
        <v>2880</v>
      </c>
      <c r="BW47" s="4" t="s">
        <v>311</v>
      </c>
      <c r="CB47" s="4" t="s">
        <v>372</v>
      </c>
      <c r="CC47" s="4">
        <v>600</v>
      </c>
      <c r="DM47" s="4">
        <v>2880</v>
      </c>
      <c r="DO47" s="4">
        <v>3</v>
      </c>
      <c r="EJ47" s="1">
        <v>32.36</v>
      </c>
      <c r="EK47" s="1">
        <v>1.76</v>
      </c>
      <c r="EL47" s="1">
        <v>13.62</v>
      </c>
      <c r="EM47" s="1">
        <v>1.92</v>
      </c>
      <c r="EP47" s="4">
        <v>86.88</v>
      </c>
      <c r="EQ47" s="1">
        <v>1.99</v>
      </c>
      <c r="ES47" s="4">
        <v>86.88</v>
      </c>
    </row>
    <row r="48" customHeight="1" spans="1:295">
      <c r="A48" s="16">
        <v>4</v>
      </c>
      <c r="B48" s="4" t="s">
        <v>386</v>
      </c>
      <c r="C48" s="5" t="s">
        <v>387</v>
      </c>
      <c r="D48" s="4" t="s">
        <v>388</v>
      </c>
      <c r="K48" s="4" t="s">
        <v>389</v>
      </c>
      <c r="L48" s="4">
        <v>900</v>
      </c>
      <c r="N48" s="24" t="s">
        <v>366</v>
      </c>
      <c r="O48" s="24" t="s">
        <v>367</v>
      </c>
      <c r="Q48" s="24" t="s">
        <v>390</v>
      </c>
      <c r="X48" s="4">
        <v>0.78</v>
      </c>
      <c r="AB48" s="4" t="s">
        <v>391</v>
      </c>
      <c r="AC48" s="4" t="s">
        <v>392</v>
      </c>
      <c r="AD48" s="4" t="s">
        <v>393</v>
      </c>
      <c r="AH48" s="4" t="s">
        <v>394</v>
      </c>
      <c r="AM48" s="4">
        <v>5.8</v>
      </c>
      <c r="AN48" s="4">
        <v>6.8</v>
      </c>
      <c r="AQ48" s="4" t="s">
        <v>372</v>
      </c>
      <c r="AR48" s="4">
        <v>58.88</v>
      </c>
      <c r="BC48" s="4" t="s">
        <v>395</v>
      </c>
      <c r="BD48" s="4" t="s">
        <v>396</v>
      </c>
      <c r="BE48" s="4" t="s">
        <v>397</v>
      </c>
      <c r="BK48" s="4">
        <v>5</v>
      </c>
      <c r="BL48" s="4">
        <v>1</v>
      </c>
      <c r="BO48" s="4">
        <v>0.03</v>
      </c>
      <c r="BP48" s="4">
        <v>0</v>
      </c>
      <c r="BU48" s="4" t="s">
        <v>398</v>
      </c>
      <c r="BV48" s="4">
        <v>2880</v>
      </c>
      <c r="BW48" s="4" t="s">
        <v>311</v>
      </c>
      <c r="CB48" s="4" t="s">
        <v>372</v>
      </c>
      <c r="CC48" s="4">
        <v>400</v>
      </c>
      <c r="DM48" s="4">
        <v>2880</v>
      </c>
      <c r="DO48" s="4">
        <v>3</v>
      </c>
      <c r="EP48" s="4">
        <v>52.86</v>
      </c>
      <c r="EQ48" s="1">
        <v>2.61</v>
      </c>
      <c r="ES48" s="4">
        <v>52.86</v>
      </c>
    </row>
    <row r="49" customHeight="1" spans="1:149">
      <c r="A49" s="16">
        <v>4</v>
      </c>
      <c r="B49" s="4" t="s">
        <v>386</v>
      </c>
      <c r="C49" s="5" t="s">
        <v>387</v>
      </c>
      <c r="D49" s="4" t="s">
        <v>388</v>
      </c>
      <c r="K49" s="4" t="s">
        <v>389</v>
      </c>
      <c r="L49" s="4">
        <v>900</v>
      </c>
      <c r="N49" s="24" t="s">
        <v>366</v>
      </c>
      <c r="O49" s="24" t="s">
        <v>367</v>
      </c>
      <c r="Q49" s="24" t="s">
        <v>390</v>
      </c>
      <c r="X49" s="4">
        <v>0.78</v>
      </c>
      <c r="AB49" s="4" t="s">
        <v>391</v>
      </c>
      <c r="AC49" s="4" t="s">
        <v>392</v>
      </c>
      <c r="AD49" s="4" t="s">
        <v>393</v>
      </c>
      <c r="AH49" s="4" t="s">
        <v>394</v>
      </c>
      <c r="AM49" s="4">
        <v>5.8</v>
      </c>
      <c r="AN49" s="4">
        <v>6.8</v>
      </c>
      <c r="AQ49" s="4" t="s">
        <v>372</v>
      </c>
      <c r="AR49" s="4">
        <v>58.88</v>
      </c>
      <c r="BC49" s="4" t="s">
        <v>395</v>
      </c>
      <c r="BD49" s="4" t="s">
        <v>396</v>
      </c>
      <c r="BE49" s="4" t="s">
        <v>397</v>
      </c>
      <c r="BK49" s="4">
        <v>5</v>
      </c>
      <c r="BL49" s="4">
        <v>1</v>
      </c>
      <c r="BO49" s="4">
        <v>0.03</v>
      </c>
      <c r="BP49" s="4">
        <v>0</v>
      </c>
      <c r="BU49" s="4" t="s">
        <v>398</v>
      </c>
      <c r="BV49" s="4">
        <v>2880</v>
      </c>
      <c r="BW49" s="4" t="s">
        <v>311</v>
      </c>
      <c r="CB49" s="4" t="s">
        <v>372</v>
      </c>
      <c r="CC49" s="4">
        <v>800</v>
      </c>
      <c r="DM49" s="4">
        <v>2880</v>
      </c>
      <c r="DO49" s="4">
        <v>3</v>
      </c>
      <c r="EP49" s="4">
        <v>31.95</v>
      </c>
      <c r="EQ49" s="1">
        <v>0.31</v>
      </c>
      <c r="ES49" s="4">
        <v>31.95</v>
      </c>
    </row>
    <row r="50" customHeight="1" spans="1:149">
      <c r="A50" s="16">
        <v>4</v>
      </c>
      <c r="B50" s="4" t="s">
        <v>386</v>
      </c>
      <c r="C50" s="5" t="s">
        <v>387</v>
      </c>
      <c r="D50" s="4" t="s">
        <v>388</v>
      </c>
      <c r="K50" s="4" t="s">
        <v>389</v>
      </c>
      <c r="L50" s="4">
        <v>900</v>
      </c>
      <c r="N50" s="24" t="s">
        <v>366</v>
      </c>
      <c r="O50" s="24" t="s">
        <v>367</v>
      </c>
      <c r="Q50" s="24" t="s">
        <v>390</v>
      </c>
      <c r="X50" s="4">
        <v>0.78</v>
      </c>
      <c r="AB50" s="4" t="s">
        <v>391</v>
      </c>
      <c r="AC50" s="4" t="s">
        <v>392</v>
      </c>
      <c r="AD50" s="4" t="s">
        <v>393</v>
      </c>
      <c r="AH50" s="4" t="s">
        <v>394</v>
      </c>
      <c r="AM50" s="4">
        <v>5.8</v>
      </c>
      <c r="AN50" s="4">
        <v>6.8</v>
      </c>
      <c r="AQ50" s="4" t="s">
        <v>372</v>
      </c>
      <c r="AR50" s="4">
        <v>58.88</v>
      </c>
      <c r="BC50" s="4" t="s">
        <v>395</v>
      </c>
      <c r="BD50" s="4" t="s">
        <v>396</v>
      </c>
      <c r="BE50" s="4" t="s">
        <v>397</v>
      </c>
      <c r="BK50" s="4">
        <v>5</v>
      </c>
      <c r="BL50" s="4">
        <v>1</v>
      </c>
      <c r="BO50" s="4">
        <v>0.03</v>
      </c>
      <c r="BP50" s="4">
        <v>0</v>
      </c>
      <c r="BU50" s="4" t="s">
        <v>398</v>
      </c>
      <c r="BV50" s="4">
        <v>2880</v>
      </c>
      <c r="BW50" s="4" t="s">
        <v>311</v>
      </c>
      <c r="CB50" s="4" t="s">
        <v>372</v>
      </c>
      <c r="CC50" s="4">
        <v>1000</v>
      </c>
      <c r="DM50" s="4">
        <v>2880</v>
      </c>
      <c r="DO50" s="4">
        <v>3</v>
      </c>
      <c r="EP50" s="4">
        <v>19.04</v>
      </c>
      <c r="EQ50" s="1">
        <v>2.92</v>
      </c>
      <c r="ES50" s="4">
        <v>19.04</v>
      </c>
    </row>
    <row r="51" customHeight="1" spans="1:149">
      <c r="A51" s="16">
        <v>4</v>
      </c>
      <c r="B51" s="4" t="s">
        <v>386</v>
      </c>
      <c r="C51" s="5" t="s">
        <v>387</v>
      </c>
      <c r="D51" s="4" t="s">
        <v>388</v>
      </c>
      <c r="K51" s="4" t="s">
        <v>389</v>
      </c>
      <c r="L51" s="4">
        <v>900</v>
      </c>
      <c r="N51" s="24" t="s">
        <v>366</v>
      </c>
      <c r="O51" s="24" t="s">
        <v>367</v>
      </c>
      <c r="Q51" s="24" t="s">
        <v>390</v>
      </c>
      <c r="X51" s="4">
        <v>0.78</v>
      </c>
      <c r="AB51" s="4" t="s">
        <v>391</v>
      </c>
      <c r="AC51" s="4" t="s">
        <v>392</v>
      </c>
      <c r="AD51" s="4" t="s">
        <v>393</v>
      </c>
      <c r="AH51" s="4" t="s">
        <v>394</v>
      </c>
      <c r="AM51" s="4">
        <v>5.8</v>
      </c>
      <c r="AN51" s="4">
        <v>6.8</v>
      </c>
      <c r="AQ51" s="4" t="s">
        <v>372</v>
      </c>
      <c r="AR51" s="4">
        <v>58.88</v>
      </c>
      <c r="BC51" s="4" t="s">
        <v>395</v>
      </c>
      <c r="BD51" s="4" t="s">
        <v>396</v>
      </c>
      <c r="BE51" s="4" t="s">
        <v>397</v>
      </c>
      <c r="BK51" s="4">
        <v>5</v>
      </c>
      <c r="BL51" s="4">
        <v>1</v>
      </c>
      <c r="BO51" s="4">
        <v>0.03</v>
      </c>
      <c r="BP51" s="4">
        <v>0</v>
      </c>
      <c r="BS51" s="4">
        <v>3</v>
      </c>
      <c r="BU51" s="4" t="s">
        <v>398</v>
      </c>
      <c r="BV51" s="4">
        <v>2880</v>
      </c>
      <c r="BW51" s="4" t="s">
        <v>311</v>
      </c>
      <c r="CB51" s="4" t="s">
        <v>372</v>
      </c>
      <c r="CC51" s="4">
        <v>600</v>
      </c>
      <c r="DM51" s="4">
        <v>2880</v>
      </c>
      <c r="DO51" s="4">
        <v>3</v>
      </c>
      <c r="EP51" s="4">
        <v>28.19</v>
      </c>
      <c r="EQ51" s="1">
        <v>0.67</v>
      </c>
      <c r="ES51" s="4">
        <v>28.19</v>
      </c>
    </row>
    <row r="52" customHeight="1" spans="1:149">
      <c r="A52" s="16">
        <v>4</v>
      </c>
      <c r="B52" s="4" t="s">
        <v>386</v>
      </c>
      <c r="C52" s="5" t="s">
        <v>387</v>
      </c>
      <c r="D52" s="4" t="s">
        <v>388</v>
      </c>
      <c r="K52" s="4" t="s">
        <v>389</v>
      </c>
      <c r="L52" s="4">
        <v>900</v>
      </c>
      <c r="N52" s="24" t="s">
        <v>366</v>
      </c>
      <c r="O52" s="24" t="s">
        <v>367</v>
      </c>
      <c r="Q52" s="24" t="s">
        <v>390</v>
      </c>
      <c r="X52" s="4">
        <v>0.78</v>
      </c>
      <c r="AB52" s="4" t="s">
        <v>391</v>
      </c>
      <c r="AC52" s="4" t="s">
        <v>392</v>
      </c>
      <c r="AD52" s="4" t="s">
        <v>393</v>
      </c>
      <c r="AH52" s="4" t="s">
        <v>394</v>
      </c>
      <c r="AM52" s="4">
        <v>5.8</v>
      </c>
      <c r="AN52" s="4">
        <v>6.8</v>
      </c>
      <c r="AQ52" s="4" t="s">
        <v>372</v>
      </c>
      <c r="AR52" s="4">
        <v>58.88</v>
      </c>
      <c r="BC52" s="4" t="s">
        <v>395</v>
      </c>
      <c r="BD52" s="4" t="s">
        <v>396</v>
      </c>
      <c r="BE52" s="4" t="s">
        <v>397</v>
      </c>
      <c r="BK52" s="4">
        <v>5</v>
      </c>
      <c r="BL52" s="4">
        <v>1</v>
      </c>
      <c r="BO52" s="4">
        <v>0.03</v>
      </c>
      <c r="BP52" s="4">
        <v>0</v>
      </c>
      <c r="BS52" s="4">
        <v>5</v>
      </c>
      <c r="BU52" s="4" t="s">
        <v>398</v>
      </c>
      <c r="BV52" s="4">
        <v>2880</v>
      </c>
      <c r="BW52" s="4" t="s">
        <v>311</v>
      </c>
      <c r="CB52" s="4" t="s">
        <v>372</v>
      </c>
      <c r="CC52" s="4">
        <v>600</v>
      </c>
      <c r="DM52" s="4">
        <v>2880</v>
      </c>
      <c r="DO52" s="4">
        <v>3</v>
      </c>
      <c r="EP52" s="4">
        <v>23.07</v>
      </c>
      <c r="EQ52" s="1">
        <v>2.67</v>
      </c>
      <c r="ES52" s="4">
        <v>23.07</v>
      </c>
    </row>
    <row r="53" customHeight="1" spans="1:149">
      <c r="A53" s="16">
        <v>4</v>
      </c>
      <c r="B53" s="4" t="s">
        <v>386</v>
      </c>
      <c r="C53" s="5" t="s">
        <v>387</v>
      </c>
      <c r="D53" s="4" t="s">
        <v>388</v>
      </c>
      <c r="K53" s="4" t="s">
        <v>389</v>
      </c>
      <c r="L53" s="4">
        <v>900</v>
      </c>
      <c r="N53" s="24" t="s">
        <v>366</v>
      </c>
      <c r="O53" s="24" t="s">
        <v>367</v>
      </c>
      <c r="Q53" s="24" t="s">
        <v>390</v>
      </c>
      <c r="X53" s="4">
        <v>0.78</v>
      </c>
      <c r="AB53" s="4" t="s">
        <v>391</v>
      </c>
      <c r="AC53" s="4" t="s">
        <v>392</v>
      </c>
      <c r="AD53" s="4" t="s">
        <v>393</v>
      </c>
      <c r="AH53" s="4" t="s">
        <v>394</v>
      </c>
      <c r="AM53" s="4">
        <v>5.8</v>
      </c>
      <c r="AN53" s="4">
        <v>6.8</v>
      </c>
      <c r="AQ53" s="4" t="s">
        <v>372</v>
      </c>
      <c r="AR53" s="4">
        <v>58.88</v>
      </c>
      <c r="BC53" s="4" t="s">
        <v>395</v>
      </c>
      <c r="BD53" s="4" t="s">
        <v>396</v>
      </c>
      <c r="BE53" s="4" t="s">
        <v>397</v>
      </c>
      <c r="BK53" s="4">
        <v>5</v>
      </c>
      <c r="BL53" s="4">
        <v>1</v>
      </c>
      <c r="BO53" s="4">
        <v>0.03</v>
      </c>
      <c r="BP53" s="4">
        <v>0</v>
      </c>
      <c r="BS53" s="4">
        <v>7</v>
      </c>
      <c r="BU53" s="4" t="s">
        <v>398</v>
      </c>
      <c r="BV53" s="4">
        <v>2880</v>
      </c>
      <c r="BW53" s="4" t="s">
        <v>311</v>
      </c>
      <c r="CB53" s="4" t="s">
        <v>372</v>
      </c>
      <c r="CC53" s="4">
        <v>600</v>
      </c>
      <c r="DM53" s="4">
        <v>2880</v>
      </c>
      <c r="DO53" s="4">
        <v>3</v>
      </c>
      <c r="EP53" s="4">
        <v>23.78</v>
      </c>
      <c r="EQ53" s="1">
        <v>1.17</v>
      </c>
      <c r="ES53" s="4">
        <v>23.78</v>
      </c>
    </row>
    <row r="54" customHeight="1" spans="1:149">
      <c r="A54" s="16">
        <v>4</v>
      </c>
      <c r="B54" s="4" t="s">
        <v>386</v>
      </c>
      <c r="C54" s="5" t="s">
        <v>387</v>
      </c>
      <c r="D54" s="4" t="s">
        <v>388</v>
      </c>
      <c r="K54" s="4" t="s">
        <v>389</v>
      </c>
      <c r="L54" s="4">
        <v>900</v>
      </c>
      <c r="N54" s="24" t="s">
        <v>366</v>
      </c>
      <c r="O54" s="24" t="s">
        <v>367</v>
      </c>
      <c r="Q54" s="24" t="s">
        <v>390</v>
      </c>
      <c r="X54" s="4">
        <v>0.78</v>
      </c>
      <c r="AB54" s="4" t="s">
        <v>391</v>
      </c>
      <c r="AC54" s="4" t="s">
        <v>392</v>
      </c>
      <c r="AD54" s="4" t="s">
        <v>393</v>
      </c>
      <c r="AH54" s="4" t="s">
        <v>394</v>
      </c>
      <c r="AM54" s="4">
        <v>5.8</v>
      </c>
      <c r="AN54" s="4">
        <v>6.8</v>
      </c>
      <c r="AQ54" s="4" t="s">
        <v>372</v>
      </c>
      <c r="AR54" s="4">
        <v>58.88</v>
      </c>
      <c r="BC54" s="4" t="s">
        <v>395</v>
      </c>
      <c r="BD54" s="4" t="s">
        <v>396</v>
      </c>
      <c r="BE54" s="4" t="s">
        <v>397</v>
      </c>
      <c r="BK54" s="4">
        <v>5</v>
      </c>
      <c r="BL54" s="4">
        <v>1</v>
      </c>
      <c r="BO54" s="4">
        <v>0.03</v>
      </c>
      <c r="BP54" s="4">
        <v>0</v>
      </c>
      <c r="BS54" s="4">
        <v>10</v>
      </c>
      <c r="BU54" s="4" t="s">
        <v>398</v>
      </c>
      <c r="BV54" s="4">
        <v>2880</v>
      </c>
      <c r="BW54" s="4" t="s">
        <v>311</v>
      </c>
      <c r="CB54" s="4" t="s">
        <v>372</v>
      </c>
      <c r="CC54" s="4">
        <v>600</v>
      </c>
      <c r="DM54" s="4">
        <v>2880</v>
      </c>
      <c r="DO54" s="4">
        <v>3</v>
      </c>
      <c r="EP54" s="4">
        <v>23.65</v>
      </c>
      <c r="EQ54" s="1">
        <v>0.83</v>
      </c>
      <c r="ES54" s="4">
        <v>23.65</v>
      </c>
    </row>
    <row r="55" customHeight="1" spans="1:149">
      <c r="A55" s="16">
        <v>4</v>
      </c>
      <c r="B55" s="4" t="s">
        <v>386</v>
      </c>
      <c r="C55" s="5" t="s">
        <v>399</v>
      </c>
      <c r="D55" s="4" t="s">
        <v>400</v>
      </c>
      <c r="K55" s="4" t="s">
        <v>401</v>
      </c>
      <c r="L55" s="4">
        <v>900</v>
      </c>
      <c r="M55" s="4">
        <v>300</v>
      </c>
      <c r="N55" s="24" t="s">
        <v>366</v>
      </c>
      <c r="O55" s="24" t="s">
        <v>367</v>
      </c>
      <c r="Q55" s="24" t="s">
        <v>390</v>
      </c>
      <c r="AB55" s="4" t="s">
        <v>402</v>
      </c>
      <c r="AC55" s="4" t="s">
        <v>392</v>
      </c>
      <c r="AD55" s="4" t="s">
        <v>403</v>
      </c>
      <c r="AH55" s="4" t="s">
        <v>394</v>
      </c>
      <c r="AM55" s="4">
        <v>5.8</v>
      </c>
      <c r="AN55" s="4">
        <v>6.8</v>
      </c>
      <c r="AQ55" s="4" t="s">
        <v>372</v>
      </c>
      <c r="AR55" s="4">
        <v>58.88</v>
      </c>
      <c r="BC55" s="4" t="s">
        <v>395</v>
      </c>
      <c r="BD55" s="4" t="s">
        <v>396</v>
      </c>
      <c r="BE55" s="4" t="s">
        <v>397</v>
      </c>
      <c r="BK55" s="4">
        <v>5</v>
      </c>
      <c r="BL55" s="4">
        <v>1</v>
      </c>
      <c r="BO55" s="4">
        <v>0</v>
      </c>
      <c r="BP55" s="4">
        <v>0</v>
      </c>
      <c r="BU55" s="4" t="s">
        <v>398</v>
      </c>
      <c r="BV55" s="4">
        <v>2880</v>
      </c>
      <c r="BW55" s="4" t="s">
        <v>311</v>
      </c>
      <c r="CB55" s="4" t="s">
        <v>372</v>
      </c>
      <c r="CC55" s="4">
        <v>600</v>
      </c>
      <c r="DM55" s="4">
        <v>2880</v>
      </c>
      <c r="DO55" s="4">
        <v>3</v>
      </c>
      <c r="EH55" s="4">
        <v>63.17</v>
      </c>
    </row>
    <row r="56" customHeight="1" spans="1:149">
      <c r="A56" s="16">
        <v>4</v>
      </c>
      <c r="B56" s="4" t="s">
        <v>386</v>
      </c>
      <c r="C56" s="5" t="s">
        <v>399</v>
      </c>
      <c r="D56" s="4" t="s">
        <v>400</v>
      </c>
      <c r="K56" s="4" t="s">
        <v>401</v>
      </c>
      <c r="L56" s="4">
        <v>900</v>
      </c>
      <c r="M56" s="4">
        <v>300</v>
      </c>
      <c r="N56" s="24" t="s">
        <v>366</v>
      </c>
      <c r="O56" s="24" t="s">
        <v>367</v>
      </c>
      <c r="Q56" s="24" t="s">
        <v>390</v>
      </c>
      <c r="AB56" s="4" t="s">
        <v>402</v>
      </c>
      <c r="AC56" s="4" t="s">
        <v>392</v>
      </c>
      <c r="AD56" s="4" t="s">
        <v>403</v>
      </c>
      <c r="AH56" s="4" t="s">
        <v>394</v>
      </c>
      <c r="AM56" s="4">
        <v>5.8</v>
      </c>
      <c r="AN56" s="4">
        <v>6.8</v>
      </c>
      <c r="AQ56" s="4" t="s">
        <v>372</v>
      </c>
      <c r="AR56" s="4">
        <v>58.88</v>
      </c>
      <c r="BC56" s="4" t="s">
        <v>395</v>
      </c>
      <c r="BD56" s="4" t="s">
        <v>396</v>
      </c>
      <c r="BE56" s="4" t="s">
        <v>397</v>
      </c>
      <c r="BK56" s="4">
        <v>5</v>
      </c>
      <c r="BL56" s="4">
        <v>1</v>
      </c>
      <c r="BO56" s="4">
        <v>0.03</v>
      </c>
      <c r="BP56" s="4">
        <v>0</v>
      </c>
      <c r="BU56" s="4" t="s">
        <v>398</v>
      </c>
      <c r="BV56" s="4">
        <v>2880</v>
      </c>
      <c r="BW56" s="4" t="s">
        <v>311</v>
      </c>
      <c r="CB56" s="4" t="s">
        <v>372</v>
      </c>
      <c r="CC56" s="4">
        <v>600</v>
      </c>
      <c r="DM56" s="4">
        <v>2880</v>
      </c>
      <c r="DO56" s="4">
        <v>3</v>
      </c>
      <c r="EJ56" s="1">
        <v>32.31</v>
      </c>
      <c r="EK56" s="1">
        <v>2.86</v>
      </c>
      <c r="EL56" s="1">
        <v>20.99</v>
      </c>
      <c r="EM56" s="1">
        <v>1.92</v>
      </c>
      <c r="EP56" s="4">
        <v>46.46</v>
      </c>
      <c r="EQ56" s="1">
        <v>3.28</v>
      </c>
      <c r="ES56" s="4">
        <v>46.46</v>
      </c>
    </row>
    <row r="57" customHeight="1" spans="1:149">
      <c r="A57" s="16">
        <v>4</v>
      </c>
      <c r="B57" s="4" t="s">
        <v>386</v>
      </c>
      <c r="C57" s="5" t="s">
        <v>399</v>
      </c>
      <c r="D57" s="4" t="s">
        <v>400</v>
      </c>
      <c r="K57" s="4" t="s">
        <v>401</v>
      </c>
      <c r="L57" s="4">
        <v>900</v>
      </c>
      <c r="M57" s="4">
        <v>300</v>
      </c>
      <c r="N57" s="24" t="s">
        <v>366</v>
      </c>
      <c r="O57" s="24" t="s">
        <v>367</v>
      </c>
      <c r="Q57" s="24" t="s">
        <v>390</v>
      </c>
      <c r="AB57" s="4" t="s">
        <v>402</v>
      </c>
      <c r="AC57" s="4" t="s">
        <v>392</v>
      </c>
      <c r="AD57" s="4" t="s">
        <v>403</v>
      </c>
      <c r="AH57" s="4" t="s">
        <v>394</v>
      </c>
      <c r="AM57" s="4">
        <v>5.8</v>
      </c>
      <c r="AN57" s="4">
        <v>6.8</v>
      </c>
      <c r="AQ57" s="4" t="s">
        <v>372</v>
      </c>
      <c r="AR57" s="4">
        <v>58.88</v>
      </c>
      <c r="BC57" s="4" t="s">
        <v>395</v>
      </c>
      <c r="BD57" s="4" t="s">
        <v>396</v>
      </c>
      <c r="BE57" s="4" t="s">
        <v>397</v>
      </c>
      <c r="BK57" s="4">
        <v>5</v>
      </c>
      <c r="BL57" s="4">
        <v>1</v>
      </c>
      <c r="BO57" s="4">
        <v>0.05</v>
      </c>
      <c r="BP57" s="4">
        <v>0</v>
      </c>
      <c r="BU57" s="4" t="s">
        <v>398</v>
      </c>
      <c r="BV57" s="4">
        <v>2880</v>
      </c>
      <c r="BW57" s="4" t="s">
        <v>311</v>
      </c>
      <c r="CB57" s="4" t="s">
        <v>372</v>
      </c>
      <c r="CC57" s="4">
        <v>600</v>
      </c>
      <c r="DM57" s="4">
        <v>2880</v>
      </c>
      <c r="DO57" s="4">
        <v>3</v>
      </c>
      <c r="EJ57" s="1">
        <v>32.31</v>
      </c>
      <c r="EK57" s="1">
        <v>0.66</v>
      </c>
      <c r="EL57" s="1">
        <v>16.87</v>
      </c>
      <c r="EM57" s="1">
        <v>1.32</v>
      </c>
      <c r="EP57" s="4">
        <v>54.63</v>
      </c>
      <c r="EQ57" s="1">
        <v>2.99</v>
      </c>
      <c r="ES57" s="4">
        <v>54.63</v>
      </c>
    </row>
    <row r="58" customHeight="1" spans="1:149">
      <c r="A58" s="16">
        <v>4</v>
      </c>
      <c r="B58" s="4" t="s">
        <v>386</v>
      </c>
      <c r="C58" s="5" t="s">
        <v>399</v>
      </c>
      <c r="D58" s="4" t="s">
        <v>400</v>
      </c>
      <c r="K58" s="4" t="s">
        <v>401</v>
      </c>
      <c r="L58" s="4">
        <v>900</v>
      </c>
      <c r="M58" s="4">
        <v>300</v>
      </c>
      <c r="N58" s="24" t="s">
        <v>366</v>
      </c>
      <c r="O58" s="24" t="s">
        <v>367</v>
      </c>
      <c r="Q58" s="24" t="s">
        <v>390</v>
      </c>
      <c r="AB58" s="4" t="s">
        <v>402</v>
      </c>
      <c r="AC58" s="4" t="s">
        <v>392</v>
      </c>
      <c r="AD58" s="4" t="s">
        <v>403</v>
      </c>
      <c r="AH58" s="4" t="s">
        <v>394</v>
      </c>
      <c r="AM58" s="4">
        <v>5.8</v>
      </c>
      <c r="AN58" s="4">
        <v>6.8</v>
      </c>
      <c r="AQ58" s="4" t="s">
        <v>372</v>
      </c>
      <c r="AR58" s="4">
        <v>58.88</v>
      </c>
      <c r="BC58" s="4" t="s">
        <v>395</v>
      </c>
      <c r="BD58" s="4" t="s">
        <v>396</v>
      </c>
      <c r="BE58" s="4" t="s">
        <v>397</v>
      </c>
      <c r="BK58" s="4">
        <v>5</v>
      </c>
      <c r="BL58" s="4">
        <v>1</v>
      </c>
      <c r="BO58" s="4">
        <v>0.07</v>
      </c>
      <c r="BP58" s="4">
        <v>0</v>
      </c>
      <c r="BU58" s="4" t="s">
        <v>398</v>
      </c>
      <c r="BV58" s="4">
        <v>2880</v>
      </c>
      <c r="BW58" s="4" t="s">
        <v>311</v>
      </c>
      <c r="CB58" s="4" t="s">
        <v>372</v>
      </c>
      <c r="CC58" s="4">
        <v>600</v>
      </c>
      <c r="DM58" s="4">
        <v>2880</v>
      </c>
      <c r="DO58" s="4">
        <v>3</v>
      </c>
      <c r="EJ58" s="1">
        <v>32.36</v>
      </c>
      <c r="EK58" s="1">
        <v>1.76</v>
      </c>
      <c r="EL58" s="1">
        <v>12.64</v>
      </c>
      <c r="EM58" s="1">
        <v>3.02</v>
      </c>
      <c r="EP58" s="4">
        <v>66.3</v>
      </c>
      <c r="EQ58" s="1">
        <v>3.58</v>
      </c>
      <c r="ES58" s="4">
        <v>66.3</v>
      </c>
    </row>
    <row r="59" customHeight="1" spans="1:149">
      <c r="A59" s="16">
        <v>4</v>
      </c>
      <c r="B59" s="4" t="s">
        <v>386</v>
      </c>
      <c r="C59" s="5" t="s">
        <v>399</v>
      </c>
      <c r="D59" s="4" t="s">
        <v>400</v>
      </c>
      <c r="K59" s="4" t="s">
        <v>401</v>
      </c>
      <c r="L59" s="4">
        <v>900</v>
      </c>
      <c r="M59" s="4">
        <v>300</v>
      </c>
      <c r="N59" s="24" t="s">
        <v>366</v>
      </c>
      <c r="O59" s="24" t="s">
        <v>367</v>
      </c>
      <c r="Q59" s="24" t="s">
        <v>390</v>
      </c>
      <c r="AB59" s="4" t="s">
        <v>402</v>
      </c>
      <c r="AC59" s="4" t="s">
        <v>392</v>
      </c>
      <c r="AD59" s="4" t="s">
        <v>403</v>
      </c>
      <c r="AH59" s="4" t="s">
        <v>394</v>
      </c>
      <c r="AM59" s="4">
        <v>5.8</v>
      </c>
      <c r="AN59" s="4">
        <v>6.8</v>
      </c>
      <c r="AQ59" s="4" t="s">
        <v>372</v>
      </c>
      <c r="AR59" s="4">
        <v>58.88</v>
      </c>
      <c r="BC59" s="4" t="s">
        <v>395</v>
      </c>
      <c r="BD59" s="4" t="s">
        <v>396</v>
      </c>
      <c r="BE59" s="4" t="s">
        <v>397</v>
      </c>
      <c r="BK59" s="4">
        <v>5</v>
      </c>
      <c r="BL59" s="4">
        <v>1</v>
      </c>
      <c r="BO59" s="4">
        <v>0.03</v>
      </c>
      <c r="BP59" s="4">
        <v>0</v>
      </c>
      <c r="BU59" s="4" t="s">
        <v>398</v>
      </c>
      <c r="BV59" s="4">
        <v>2880</v>
      </c>
      <c r="BW59" s="4" t="s">
        <v>311</v>
      </c>
      <c r="CB59" s="4" t="s">
        <v>372</v>
      </c>
      <c r="CC59" s="4">
        <v>400</v>
      </c>
      <c r="DM59" s="4">
        <v>2880</v>
      </c>
      <c r="DO59" s="4">
        <v>3</v>
      </c>
      <c r="EP59" s="4">
        <v>50.38</v>
      </c>
      <c r="EQ59" s="1">
        <v>2.15</v>
      </c>
      <c r="ES59" s="4">
        <v>50.38</v>
      </c>
    </row>
    <row r="60" customHeight="1" spans="1:149">
      <c r="A60" s="16">
        <v>4</v>
      </c>
      <c r="B60" s="4" t="s">
        <v>386</v>
      </c>
      <c r="C60" s="5" t="s">
        <v>399</v>
      </c>
      <c r="D60" s="4" t="s">
        <v>400</v>
      </c>
      <c r="K60" s="4" t="s">
        <v>401</v>
      </c>
      <c r="L60" s="4">
        <v>900</v>
      </c>
      <c r="M60" s="4">
        <v>300</v>
      </c>
      <c r="N60" s="24" t="s">
        <v>366</v>
      </c>
      <c r="O60" s="24" t="s">
        <v>367</v>
      </c>
      <c r="Q60" s="24" t="s">
        <v>390</v>
      </c>
      <c r="AB60" s="4" t="s">
        <v>402</v>
      </c>
      <c r="AC60" s="4" t="s">
        <v>392</v>
      </c>
      <c r="AD60" s="4" t="s">
        <v>403</v>
      </c>
      <c r="AH60" s="4" t="s">
        <v>394</v>
      </c>
      <c r="AM60" s="4">
        <v>5.8</v>
      </c>
      <c r="AN60" s="4">
        <v>6.8</v>
      </c>
      <c r="AQ60" s="4" t="s">
        <v>372</v>
      </c>
      <c r="AR60" s="4">
        <v>58.88</v>
      </c>
      <c r="BC60" s="4" t="s">
        <v>395</v>
      </c>
      <c r="BD60" s="4" t="s">
        <v>396</v>
      </c>
      <c r="BE60" s="4" t="s">
        <v>397</v>
      </c>
      <c r="BK60" s="4">
        <v>5</v>
      </c>
      <c r="BL60" s="4">
        <v>1</v>
      </c>
      <c r="BO60" s="4">
        <v>0.03</v>
      </c>
      <c r="BP60" s="4">
        <v>0</v>
      </c>
      <c r="BU60" s="4" t="s">
        <v>398</v>
      </c>
      <c r="BV60" s="4">
        <v>2880</v>
      </c>
      <c r="BW60" s="4" t="s">
        <v>311</v>
      </c>
      <c r="CB60" s="4" t="s">
        <v>372</v>
      </c>
      <c r="CC60" s="4">
        <v>800</v>
      </c>
      <c r="DM60" s="4">
        <v>2880</v>
      </c>
      <c r="DO60" s="4">
        <v>3</v>
      </c>
      <c r="EP60" s="4">
        <v>34.72</v>
      </c>
      <c r="EQ60" s="1">
        <v>1.68</v>
      </c>
      <c r="ES60" s="4">
        <v>34.72</v>
      </c>
    </row>
    <row r="61" customHeight="1" spans="1:149">
      <c r="A61" s="16">
        <v>4</v>
      </c>
      <c r="B61" s="4" t="s">
        <v>386</v>
      </c>
      <c r="C61" s="5" t="s">
        <v>399</v>
      </c>
      <c r="D61" s="4" t="s">
        <v>400</v>
      </c>
      <c r="K61" s="4" t="s">
        <v>401</v>
      </c>
      <c r="L61" s="4">
        <v>900</v>
      </c>
      <c r="M61" s="4">
        <v>300</v>
      </c>
      <c r="N61" s="24" t="s">
        <v>366</v>
      </c>
      <c r="O61" s="24" t="s">
        <v>367</v>
      </c>
      <c r="Q61" s="24" t="s">
        <v>390</v>
      </c>
      <c r="AB61" s="4" t="s">
        <v>402</v>
      </c>
      <c r="AC61" s="4" t="s">
        <v>392</v>
      </c>
      <c r="AD61" s="4" t="s">
        <v>403</v>
      </c>
      <c r="AH61" s="4" t="s">
        <v>394</v>
      </c>
      <c r="AM61" s="4">
        <v>5.8</v>
      </c>
      <c r="AN61" s="4">
        <v>6.8</v>
      </c>
      <c r="AQ61" s="4" t="s">
        <v>372</v>
      </c>
      <c r="AR61" s="4">
        <v>58.88</v>
      </c>
      <c r="BC61" s="4" t="s">
        <v>395</v>
      </c>
      <c r="BD61" s="4" t="s">
        <v>396</v>
      </c>
      <c r="BE61" s="4" t="s">
        <v>397</v>
      </c>
      <c r="BK61" s="4">
        <v>5</v>
      </c>
      <c r="BL61" s="4">
        <v>1</v>
      </c>
      <c r="BO61" s="4">
        <v>0.03</v>
      </c>
      <c r="BP61" s="4">
        <v>0</v>
      </c>
      <c r="BU61" s="4" t="s">
        <v>398</v>
      </c>
      <c r="BV61" s="4">
        <v>2880</v>
      </c>
      <c r="BW61" s="4" t="s">
        <v>311</v>
      </c>
      <c r="CB61" s="4" t="s">
        <v>372</v>
      </c>
      <c r="CC61" s="4">
        <v>1000</v>
      </c>
      <c r="DM61" s="4">
        <v>2880</v>
      </c>
      <c r="DO61" s="4">
        <v>3</v>
      </c>
      <c r="EP61" s="4">
        <v>20.28</v>
      </c>
      <c r="EQ61" s="1">
        <v>2.61</v>
      </c>
      <c r="ES61" s="4">
        <v>20.28</v>
      </c>
    </row>
    <row r="62" customHeight="1" spans="1:149">
      <c r="A62" s="16">
        <v>4</v>
      </c>
      <c r="B62" s="4" t="s">
        <v>386</v>
      </c>
      <c r="C62" s="5" t="s">
        <v>399</v>
      </c>
      <c r="D62" s="4" t="s">
        <v>400</v>
      </c>
      <c r="K62" s="4" t="s">
        <v>401</v>
      </c>
      <c r="L62" s="4">
        <v>900</v>
      </c>
      <c r="M62" s="4">
        <v>300</v>
      </c>
      <c r="N62" s="24" t="s">
        <v>366</v>
      </c>
      <c r="O62" s="24" t="s">
        <v>367</v>
      </c>
      <c r="Q62" s="24" t="s">
        <v>390</v>
      </c>
      <c r="AB62" s="4" t="s">
        <v>402</v>
      </c>
      <c r="AC62" s="4" t="s">
        <v>392</v>
      </c>
      <c r="AD62" s="4" t="s">
        <v>403</v>
      </c>
      <c r="AH62" s="4" t="s">
        <v>394</v>
      </c>
      <c r="AM62" s="4">
        <v>5.8</v>
      </c>
      <c r="AN62" s="4">
        <v>6.8</v>
      </c>
      <c r="AQ62" s="4" t="s">
        <v>372</v>
      </c>
      <c r="AR62" s="4">
        <v>58.88</v>
      </c>
      <c r="BC62" s="4" t="s">
        <v>395</v>
      </c>
      <c r="BD62" s="4" t="s">
        <v>396</v>
      </c>
      <c r="BE62" s="4" t="s">
        <v>397</v>
      </c>
      <c r="BK62" s="4">
        <v>5</v>
      </c>
      <c r="BL62" s="4">
        <v>1</v>
      </c>
      <c r="BO62" s="4">
        <v>0.03</v>
      </c>
      <c r="BP62" s="4">
        <v>0</v>
      </c>
      <c r="BS62" s="4">
        <v>3</v>
      </c>
      <c r="BU62" s="4" t="s">
        <v>398</v>
      </c>
      <c r="BV62" s="4">
        <v>2880</v>
      </c>
      <c r="BW62" s="4" t="s">
        <v>311</v>
      </c>
      <c r="CB62" s="4" t="s">
        <v>372</v>
      </c>
      <c r="CC62" s="4">
        <v>600</v>
      </c>
      <c r="DM62" s="4">
        <v>2880</v>
      </c>
      <c r="DO62" s="4">
        <v>3</v>
      </c>
      <c r="EP62" s="4">
        <v>28.07</v>
      </c>
      <c r="EQ62" s="1">
        <v>0.83</v>
      </c>
      <c r="ES62" s="4">
        <v>28.07</v>
      </c>
    </row>
    <row r="63" customHeight="1" spans="1:149">
      <c r="A63" s="16">
        <v>4</v>
      </c>
      <c r="B63" s="4" t="s">
        <v>386</v>
      </c>
      <c r="C63" s="5" t="s">
        <v>399</v>
      </c>
      <c r="D63" s="4" t="s">
        <v>400</v>
      </c>
      <c r="K63" s="4" t="s">
        <v>401</v>
      </c>
      <c r="L63" s="4">
        <v>900</v>
      </c>
      <c r="M63" s="4">
        <v>300</v>
      </c>
      <c r="N63" s="24" t="s">
        <v>366</v>
      </c>
      <c r="O63" s="24" t="s">
        <v>367</v>
      </c>
      <c r="Q63" s="24" t="s">
        <v>390</v>
      </c>
      <c r="AB63" s="4" t="s">
        <v>402</v>
      </c>
      <c r="AC63" s="4" t="s">
        <v>392</v>
      </c>
      <c r="AD63" s="4" t="s">
        <v>403</v>
      </c>
      <c r="AH63" s="4" t="s">
        <v>394</v>
      </c>
      <c r="AM63" s="4">
        <v>5.8</v>
      </c>
      <c r="AN63" s="4">
        <v>6.8</v>
      </c>
      <c r="AQ63" s="4" t="s">
        <v>372</v>
      </c>
      <c r="AR63" s="4">
        <v>58.88</v>
      </c>
      <c r="BC63" s="4" t="s">
        <v>395</v>
      </c>
      <c r="BD63" s="4" t="s">
        <v>396</v>
      </c>
      <c r="BE63" s="4" t="s">
        <v>397</v>
      </c>
      <c r="BK63" s="4">
        <v>5</v>
      </c>
      <c r="BL63" s="4">
        <v>1</v>
      </c>
      <c r="BO63" s="4">
        <v>0.03</v>
      </c>
      <c r="BP63" s="4">
        <v>0</v>
      </c>
      <c r="BS63" s="4">
        <v>5</v>
      </c>
      <c r="BU63" s="4" t="s">
        <v>398</v>
      </c>
      <c r="BV63" s="4">
        <v>2880</v>
      </c>
      <c r="BW63" s="4" t="s">
        <v>311</v>
      </c>
      <c r="CB63" s="4" t="s">
        <v>372</v>
      </c>
      <c r="CC63" s="4">
        <v>600</v>
      </c>
      <c r="DM63" s="4">
        <v>2880</v>
      </c>
      <c r="DO63" s="4">
        <v>3</v>
      </c>
      <c r="EP63" s="4">
        <v>37.71</v>
      </c>
      <c r="EQ63" s="1">
        <v>1.17</v>
      </c>
      <c r="ES63" s="4">
        <v>37.71</v>
      </c>
    </row>
    <row r="64" customHeight="1" spans="1:149">
      <c r="A64" s="16">
        <v>4</v>
      </c>
      <c r="B64" s="4" t="s">
        <v>386</v>
      </c>
      <c r="C64" s="5" t="s">
        <v>399</v>
      </c>
      <c r="D64" s="4" t="s">
        <v>400</v>
      </c>
      <c r="K64" s="4" t="s">
        <v>401</v>
      </c>
      <c r="L64" s="4">
        <v>900</v>
      </c>
      <c r="M64" s="4">
        <v>300</v>
      </c>
      <c r="N64" s="24" t="s">
        <v>366</v>
      </c>
      <c r="O64" s="24" t="s">
        <v>367</v>
      </c>
      <c r="Q64" s="24" t="s">
        <v>390</v>
      </c>
      <c r="AB64" s="4" t="s">
        <v>402</v>
      </c>
      <c r="AC64" s="4" t="s">
        <v>392</v>
      </c>
      <c r="AD64" s="4" t="s">
        <v>403</v>
      </c>
      <c r="AH64" s="4" t="s">
        <v>394</v>
      </c>
      <c r="AM64" s="4">
        <v>5.8</v>
      </c>
      <c r="AN64" s="4">
        <v>6.8</v>
      </c>
      <c r="AQ64" s="4" t="s">
        <v>372</v>
      </c>
      <c r="AR64" s="4">
        <v>58.88</v>
      </c>
      <c r="BC64" s="4" t="s">
        <v>395</v>
      </c>
      <c r="BD64" s="4" t="s">
        <v>396</v>
      </c>
      <c r="BE64" s="4" t="s">
        <v>397</v>
      </c>
      <c r="BK64" s="4">
        <v>5</v>
      </c>
      <c r="BL64" s="4">
        <v>1</v>
      </c>
      <c r="BO64" s="4">
        <v>0.03</v>
      </c>
      <c r="BP64" s="4">
        <v>0</v>
      </c>
      <c r="BS64" s="4">
        <v>7</v>
      </c>
      <c r="BU64" s="4" t="s">
        <v>398</v>
      </c>
      <c r="BV64" s="4">
        <v>2880</v>
      </c>
      <c r="BW64" s="4" t="s">
        <v>311</v>
      </c>
      <c r="CB64" s="4" t="s">
        <v>372</v>
      </c>
      <c r="CC64" s="4">
        <v>600</v>
      </c>
      <c r="DM64" s="4">
        <v>2880</v>
      </c>
      <c r="DO64" s="4">
        <v>3</v>
      </c>
      <c r="EP64" s="4">
        <v>36.39</v>
      </c>
      <c r="EQ64" s="1">
        <v>2.5</v>
      </c>
      <c r="ES64" s="4">
        <v>36.39</v>
      </c>
    </row>
    <row r="65" customHeight="1" spans="1:149">
      <c r="A65" s="16">
        <v>4</v>
      </c>
      <c r="B65" s="4" t="s">
        <v>386</v>
      </c>
      <c r="C65" s="5" t="s">
        <v>399</v>
      </c>
      <c r="D65" s="4" t="s">
        <v>400</v>
      </c>
      <c r="K65" s="4" t="s">
        <v>401</v>
      </c>
      <c r="L65" s="4">
        <v>900</v>
      </c>
      <c r="M65" s="4">
        <v>300</v>
      </c>
      <c r="N65" s="24" t="s">
        <v>366</v>
      </c>
      <c r="O65" s="24" t="s">
        <v>367</v>
      </c>
      <c r="Q65" s="24" t="s">
        <v>390</v>
      </c>
      <c r="AB65" s="4" t="s">
        <v>402</v>
      </c>
      <c r="AC65" s="4" t="s">
        <v>392</v>
      </c>
      <c r="AD65" s="4" t="s">
        <v>403</v>
      </c>
      <c r="AH65" s="4" t="s">
        <v>394</v>
      </c>
      <c r="AM65" s="4">
        <v>5.8</v>
      </c>
      <c r="AN65" s="4">
        <v>6.8</v>
      </c>
      <c r="AQ65" s="4" t="s">
        <v>372</v>
      </c>
      <c r="AR65" s="4">
        <v>58.88</v>
      </c>
      <c r="BC65" s="4" t="s">
        <v>395</v>
      </c>
      <c r="BD65" s="4" t="s">
        <v>396</v>
      </c>
      <c r="BE65" s="4" t="s">
        <v>397</v>
      </c>
      <c r="BK65" s="4">
        <v>5</v>
      </c>
      <c r="BL65" s="4">
        <v>1</v>
      </c>
      <c r="BO65" s="4">
        <v>0.03</v>
      </c>
      <c r="BP65" s="4">
        <v>0</v>
      </c>
      <c r="BS65" s="4">
        <v>10</v>
      </c>
      <c r="BU65" s="4" t="s">
        <v>398</v>
      </c>
      <c r="BV65" s="4">
        <v>2880</v>
      </c>
      <c r="BW65" s="4" t="s">
        <v>311</v>
      </c>
      <c r="CB65" s="4" t="s">
        <v>372</v>
      </c>
      <c r="CC65" s="4">
        <v>600</v>
      </c>
      <c r="DM65" s="4">
        <v>2880</v>
      </c>
      <c r="DO65" s="4">
        <v>3</v>
      </c>
      <c r="EP65" s="4">
        <v>21.15</v>
      </c>
      <c r="EQ65" s="1">
        <v>1.17</v>
      </c>
      <c r="ES65" s="4">
        <v>21.15</v>
      </c>
    </row>
    <row r="66" customHeight="1" spans="1:149">
      <c r="A66" s="16">
        <v>4</v>
      </c>
      <c r="B66" s="4" t="s">
        <v>386</v>
      </c>
      <c r="C66" s="5" t="s">
        <v>404</v>
      </c>
      <c r="D66" s="4" t="s">
        <v>400</v>
      </c>
      <c r="K66" s="4" t="s">
        <v>401</v>
      </c>
      <c r="L66" s="4">
        <v>900</v>
      </c>
      <c r="M66" s="4">
        <v>500</v>
      </c>
      <c r="N66" s="24" t="s">
        <v>366</v>
      </c>
      <c r="O66" s="24" t="s">
        <v>367</v>
      </c>
      <c r="Q66" s="24" t="s">
        <v>390</v>
      </c>
      <c r="AB66" s="4" t="s">
        <v>402</v>
      </c>
      <c r="AC66" s="4" t="s">
        <v>405</v>
      </c>
      <c r="AD66" s="4" t="s">
        <v>406</v>
      </c>
      <c r="AH66" s="4" t="s">
        <v>394</v>
      </c>
      <c r="AM66" s="4">
        <v>5.8</v>
      </c>
      <c r="AN66" s="4">
        <v>6.8</v>
      </c>
      <c r="AQ66" s="4" t="s">
        <v>372</v>
      </c>
      <c r="AR66" s="4">
        <v>58.88</v>
      </c>
      <c r="BC66" s="4" t="s">
        <v>395</v>
      </c>
      <c r="BD66" s="4" t="s">
        <v>396</v>
      </c>
      <c r="BE66" s="4" t="s">
        <v>397</v>
      </c>
      <c r="BK66" s="4">
        <v>5</v>
      </c>
      <c r="BL66" s="4">
        <v>1</v>
      </c>
      <c r="BO66" s="4">
        <v>0</v>
      </c>
      <c r="BP66" s="4">
        <v>0</v>
      </c>
      <c r="BU66" s="4" t="s">
        <v>398</v>
      </c>
      <c r="BV66" s="4">
        <v>2880</v>
      </c>
      <c r="BW66" s="4" t="s">
        <v>311</v>
      </c>
      <c r="CB66" s="4" t="s">
        <v>372</v>
      </c>
      <c r="CC66" s="4">
        <v>600</v>
      </c>
      <c r="DM66" s="4">
        <v>2880</v>
      </c>
      <c r="DO66" s="4">
        <v>3</v>
      </c>
      <c r="EJ66" s="1">
        <v>32.31</v>
      </c>
      <c r="EK66" s="1">
        <v>2.86</v>
      </c>
      <c r="EL66" s="1">
        <v>16.15</v>
      </c>
      <c r="EM66" s="1">
        <v>2.69</v>
      </c>
    </row>
    <row r="67" customHeight="1" spans="1:149">
      <c r="A67" s="16">
        <v>4</v>
      </c>
      <c r="B67" s="4" t="s">
        <v>386</v>
      </c>
      <c r="C67" s="5" t="s">
        <v>404</v>
      </c>
      <c r="D67" s="4" t="s">
        <v>400</v>
      </c>
      <c r="K67" s="4" t="s">
        <v>401</v>
      </c>
      <c r="L67" s="4">
        <v>900</v>
      </c>
      <c r="M67" s="4">
        <v>500</v>
      </c>
      <c r="N67" s="24" t="s">
        <v>366</v>
      </c>
      <c r="O67" s="24" t="s">
        <v>367</v>
      </c>
      <c r="Q67" s="24" t="s">
        <v>390</v>
      </c>
      <c r="AB67" s="4" t="s">
        <v>402</v>
      </c>
      <c r="AC67" s="4" t="s">
        <v>405</v>
      </c>
      <c r="AD67" s="4" t="s">
        <v>406</v>
      </c>
      <c r="AH67" s="4" t="s">
        <v>394</v>
      </c>
      <c r="AM67" s="4">
        <v>5.8</v>
      </c>
      <c r="AN67" s="4">
        <v>6.8</v>
      </c>
      <c r="AQ67" s="4" t="s">
        <v>372</v>
      </c>
      <c r="AR67" s="4">
        <v>58.88</v>
      </c>
      <c r="BC67" s="4" t="s">
        <v>395</v>
      </c>
      <c r="BD67" s="4" t="s">
        <v>396</v>
      </c>
      <c r="BE67" s="4" t="s">
        <v>397</v>
      </c>
      <c r="BK67" s="4">
        <v>5</v>
      </c>
      <c r="BL67" s="4">
        <v>1</v>
      </c>
      <c r="BO67" s="4">
        <v>0.03</v>
      </c>
      <c r="BP67" s="4">
        <v>0</v>
      </c>
      <c r="BU67" s="4" t="s">
        <v>398</v>
      </c>
      <c r="BV67" s="4">
        <v>2880</v>
      </c>
      <c r="BW67" s="4" t="s">
        <v>311</v>
      </c>
      <c r="CB67" s="4" t="s">
        <v>372</v>
      </c>
      <c r="CC67" s="4">
        <v>600</v>
      </c>
      <c r="DM67" s="4">
        <v>2880</v>
      </c>
      <c r="DO67" s="4">
        <v>3</v>
      </c>
      <c r="EJ67" s="1">
        <v>32.31</v>
      </c>
      <c r="EK67" s="1">
        <v>0.66</v>
      </c>
      <c r="EL67" s="1">
        <v>9.89</v>
      </c>
      <c r="EM67" s="1">
        <v>1.81</v>
      </c>
      <c r="EP67" s="4">
        <v>85.05</v>
      </c>
      <c r="EQ67" s="1">
        <v>1.8</v>
      </c>
      <c r="ES67" s="4">
        <v>85.05</v>
      </c>
    </row>
    <row r="68" customHeight="1" spans="1:149">
      <c r="A68" s="16">
        <v>4</v>
      </c>
      <c r="B68" s="4" t="s">
        <v>386</v>
      </c>
      <c r="C68" s="5" t="s">
        <v>404</v>
      </c>
      <c r="D68" s="4" t="s">
        <v>400</v>
      </c>
      <c r="K68" s="4" t="s">
        <v>401</v>
      </c>
      <c r="L68" s="4">
        <v>900</v>
      </c>
      <c r="M68" s="4">
        <v>500</v>
      </c>
      <c r="N68" s="24" t="s">
        <v>366</v>
      </c>
      <c r="O68" s="24" t="s">
        <v>367</v>
      </c>
      <c r="Q68" s="24" t="s">
        <v>390</v>
      </c>
      <c r="AB68" s="4" t="s">
        <v>402</v>
      </c>
      <c r="AC68" s="4" t="s">
        <v>405</v>
      </c>
      <c r="AD68" s="4" t="s">
        <v>406</v>
      </c>
      <c r="AH68" s="4" t="s">
        <v>394</v>
      </c>
      <c r="AM68" s="4">
        <v>5.8</v>
      </c>
      <c r="AN68" s="4">
        <v>6.8</v>
      </c>
      <c r="AQ68" s="4" t="s">
        <v>372</v>
      </c>
      <c r="AR68" s="4">
        <v>58.88</v>
      </c>
      <c r="BC68" s="4" t="s">
        <v>395</v>
      </c>
      <c r="BD68" s="4" t="s">
        <v>396</v>
      </c>
      <c r="BE68" s="4" t="s">
        <v>397</v>
      </c>
      <c r="BK68" s="4">
        <v>5</v>
      </c>
      <c r="BL68" s="4">
        <v>1</v>
      </c>
      <c r="BO68" s="4">
        <v>0.05</v>
      </c>
      <c r="BP68" s="4">
        <v>0</v>
      </c>
      <c r="BU68" s="4" t="s">
        <v>398</v>
      </c>
      <c r="BV68" s="4">
        <v>2880</v>
      </c>
      <c r="BW68" s="4" t="s">
        <v>311</v>
      </c>
      <c r="CB68" s="4" t="s">
        <v>372</v>
      </c>
      <c r="CC68" s="4">
        <v>600</v>
      </c>
      <c r="DM68" s="4">
        <v>2880</v>
      </c>
      <c r="DO68" s="4">
        <v>3</v>
      </c>
      <c r="EJ68" s="1">
        <v>32.36</v>
      </c>
      <c r="EK68" s="1">
        <v>1.76</v>
      </c>
      <c r="EL68" s="1">
        <v>6.59</v>
      </c>
      <c r="EM68" s="1">
        <v>2.14</v>
      </c>
      <c r="EP68" s="4">
        <v>97.9</v>
      </c>
      <c r="EQ68" s="1">
        <v>2.1</v>
      </c>
      <c r="ES68" s="4">
        <v>97.9</v>
      </c>
    </row>
    <row r="69" customHeight="1" spans="1:149">
      <c r="A69" s="16">
        <v>4</v>
      </c>
      <c r="B69" s="4" t="s">
        <v>386</v>
      </c>
      <c r="C69" s="5" t="s">
        <v>404</v>
      </c>
      <c r="D69" s="4" t="s">
        <v>400</v>
      </c>
      <c r="K69" s="4" t="s">
        <v>401</v>
      </c>
      <c r="L69" s="4">
        <v>900</v>
      </c>
      <c r="M69" s="4">
        <v>500</v>
      </c>
      <c r="N69" s="24" t="s">
        <v>366</v>
      </c>
      <c r="O69" s="24" t="s">
        <v>367</v>
      </c>
      <c r="Q69" s="24" t="s">
        <v>390</v>
      </c>
      <c r="AB69" s="4" t="s">
        <v>402</v>
      </c>
      <c r="AC69" s="4" t="s">
        <v>405</v>
      </c>
      <c r="AD69" s="4" t="s">
        <v>406</v>
      </c>
      <c r="AH69" s="4" t="s">
        <v>394</v>
      </c>
      <c r="AM69" s="4">
        <v>5.8</v>
      </c>
      <c r="AN69" s="4">
        <v>6.8</v>
      </c>
      <c r="AQ69" s="4" t="s">
        <v>372</v>
      </c>
      <c r="AR69" s="4">
        <v>58.88</v>
      </c>
      <c r="BC69" s="4" t="s">
        <v>395</v>
      </c>
      <c r="BD69" s="4" t="s">
        <v>396</v>
      </c>
      <c r="BE69" s="4" t="s">
        <v>397</v>
      </c>
      <c r="BK69" s="4">
        <v>5</v>
      </c>
      <c r="BL69" s="4">
        <v>1</v>
      </c>
      <c r="BO69" s="4">
        <v>0.07</v>
      </c>
      <c r="BP69" s="4">
        <v>0</v>
      </c>
      <c r="BU69" s="4" t="s">
        <v>398</v>
      </c>
      <c r="BV69" s="4">
        <v>2880</v>
      </c>
      <c r="BW69" s="4" t="s">
        <v>311</v>
      </c>
      <c r="CB69" s="4" t="s">
        <v>372</v>
      </c>
      <c r="CC69" s="4">
        <v>600</v>
      </c>
      <c r="DM69" s="4">
        <v>2880</v>
      </c>
      <c r="DO69" s="4">
        <v>3</v>
      </c>
      <c r="EP69" s="4">
        <v>100</v>
      </c>
      <c r="EQ69" s="1">
        <v>2.09</v>
      </c>
      <c r="ES69" s="4">
        <v>100</v>
      </c>
    </row>
    <row r="70" customHeight="1" spans="1:149">
      <c r="A70" s="16">
        <v>4</v>
      </c>
      <c r="B70" s="4" t="s">
        <v>386</v>
      </c>
      <c r="C70" s="5" t="s">
        <v>404</v>
      </c>
      <c r="D70" s="4" t="s">
        <v>400</v>
      </c>
      <c r="K70" s="4" t="s">
        <v>401</v>
      </c>
      <c r="L70" s="4">
        <v>900</v>
      </c>
      <c r="M70" s="4">
        <v>500</v>
      </c>
      <c r="N70" s="24" t="s">
        <v>366</v>
      </c>
      <c r="O70" s="24" t="s">
        <v>367</v>
      </c>
      <c r="Q70" s="24" t="s">
        <v>390</v>
      </c>
      <c r="AB70" s="4" t="s">
        <v>402</v>
      </c>
      <c r="AC70" s="4" t="s">
        <v>405</v>
      </c>
      <c r="AD70" s="4" t="s">
        <v>406</v>
      </c>
      <c r="AH70" s="4" t="s">
        <v>394</v>
      </c>
      <c r="AM70" s="4">
        <v>5.8</v>
      </c>
      <c r="AN70" s="4">
        <v>6.8</v>
      </c>
      <c r="AQ70" s="4" t="s">
        <v>372</v>
      </c>
      <c r="AR70" s="4">
        <v>58.88</v>
      </c>
      <c r="BC70" s="4" t="s">
        <v>395</v>
      </c>
      <c r="BD70" s="4" t="s">
        <v>396</v>
      </c>
      <c r="BE70" s="4" t="s">
        <v>397</v>
      </c>
      <c r="BK70" s="4">
        <v>5</v>
      </c>
      <c r="BL70" s="4">
        <v>1</v>
      </c>
      <c r="BO70" s="4">
        <v>0.03</v>
      </c>
      <c r="BP70" s="4">
        <v>0</v>
      </c>
      <c r="BU70" s="4" t="s">
        <v>398</v>
      </c>
      <c r="BV70" s="4">
        <v>2880</v>
      </c>
      <c r="BW70" s="4" t="s">
        <v>311</v>
      </c>
      <c r="CB70" s="4" t="s">
        <v>372</v>
      </c>
      <c r="CC70" s="4">
        <v>400</v>
      </c>
      <c r="DM70" s="4">
        <v>2880</v>
      </c>
      <c r="DO70" s="4">
        <v>3</v>
      </c>
      <c r="EP70" s="4">
        <v>97.08</v>
      </c>
      <c r="EQ70" s="1">
        <v>2.92</v>
      </c>
      <c r="ES70" s="4">
        <v>97.08</v>
      </c>
    </row>
    <row r="71" customHeight="1" spans="1:149">
      <c r="A71" s="16">
        <v>4</v>
      </c>
      <c r="B71" s="4" t="s">
        <v>386</v>
      </c>
      <c r="C71" s="5" t="s">
        <v>404</v>
      </c>
      <c r="D71" s="4" t="s">
        <v>400</v>
      </c>
      <c r="K71" s="4" t="s">
        <v>401</v>
      </c>
      <c r="L71" s="4">
        <v>900</v>
      </c>
      <c r="M71" s="4">
        <v>500</v>
      </c>
      <c r="N71" s="24" t="s">
        <v>366</v>
      </c>
      <c r="O71" s="24" t="s">
        <v>367</v>
      </c>
      <c r="Q71" s="24" t="s">
        <v>390</v>
      </c>
      <c r="AB71" s="4" t="s">
        <v>402</v>
      </c>
      <c r="AC71" s="4" t="s">
        <v>405</v>
      </c>
      <c r="AD71" s="4" t="s">
        <v>406</v>
      </c>
      <c r="AH71" s="4" t="s">
        <v>394</v>
      </c>
      <c r="AM71" s="4">
        <v>5.8</v>
      </c>
      <c r="AN71" s="4">
        <v>6.8</v>
      </c>
      <c r="AQ71" s="4" t="s">
        <v>372</v>
      </c>
      <c r="AR71" s="4">
        <v>58.88</v>
      </c>
      <c r="BC71" s="4" t="s">
        <v>395</v>
      </c>
      <c r="BD71" s="4" t="s">
        <v>396</v>
      </c>
      <c r="BE71" s="4" t="s">
        <v>397</v>
      </c>
      <c r="BK71" s="4">
        <v>5</v>
      </c>
      <c r="BL71" s="4">
        <v>1</v>
      </c>
      <c r="BO71" s="4">
        <v>0.03</v>
      </c>
      <c r="BP71" s="4">
        <v>0</v>
      </c>
      <c r="BU71" s="4" t="s">
        <v>398</v>
      </c>
      <c r="BV71" s="4">
        <v>2880</v>
      </c>
      <c r="BW71" s="4" t="s">
        <v>311</v>
      </c>
      <c r="CB71" s="4" t="s">
        <v>372</v>
      </c>
      <c r="CC71" s="4">
        <v>800</v>
      </c>
      <c r="DM71" s="4">
        <v>2880</v>
      </c>
      <c r="DO71" s="4">
        <v>3</v>
      </c>
      <c r="EP71" s="4">
        <v>77.27</v>
      </c>
      <c r="EQ71" s="1">
        <v>0.77</v>
      </c>
      <c r="ES71" s="4">
        <v>77.27</v>
      </c>
    </row>
    <row r="72" customHeight="1" spans="1:149">
      <c r="A72" s="16">
        <v>4</v>
      </c>
      <c r="B72" s="4" t="s">
        <v>386</v>
      </c>
      <c r="C72" s="5" t="s">
        <v>404</v>
      </c>
      <c r="D72" s="4" t="s">
        <v>400</v>
      </c>
      <c r="K72" s="4" t="s">
        <v>401</v>
      </c>
      <c r="L72" s="4">
        <v>900</v>
      </c>
      <c r="M72" s="4">
        <v>500</v>
      </c>
      <c r="N72" s="24" t="s">
        <v>366</v>
      </c>
      <c r="O72" s="24" t="s">
        <v>367</v>
      </c>
      <c r="Q72" s="24" t="s">
        <v>390</v>
      </c>
      <c r="AB72" s="4" t="s">
        <v>402</v>
      </c>
      <c r="AC72" s="4" t="s">
        <v>405</v>
      </c>
      <c r="AD72" s="4" t="s">
        <v>406</v>
      </c>
      <c r="AH72" s="4" t="s">
        <v>394</v>
      </c>
      <c r="AM72" s="4">
        <v>5.8</v>
      </c>
      <c r="AN72" s="4">
        <v>6.8</v>
      </c>
      <c r="AQ72" s="4" t="s">
        <v>372</v>
      </c>
      <c r="AR72" s="4">
        <v>58.88</v>
      </c>
      <c r="BC72" s="4" t="s">
        <v>395</v>
      </c>
      <c r="BD72" s="4" t="s">
        <v>396</v>
      </c>
      <c r="BE72" s="4" t="s">
        <v>397</v>
      </c>
      <c r="BK72" s="4">
        <v>5</v>
      </c>
      <c r="BL72" s="4">
        <v>1</v>
      </c>
      <c r="BO72" s="4">
        <v>0.03</v>
      </c>
      <c r="BP72" s="4">
        <v>0</v>
      </c>
      <c r="BU72" s="4" t="s">
        <v>398</v>
      </c>
      <c r="BV72" s="4">
        <v>2880</v>
      </c>
      <c r="BW72" s="4" t="s">
        <v>311</v>
      </c>
      <c r="CB72" s="4" t="s">
        <v>372</v>
      </c>
      <c r="CC72" s="4">
        <v>1000</v>
      </c>
      <c r="DM72" s="4">
        <v>2880</v>
      </c>
      <c r="DO72" s="4">
        <v>3</v>
      </c>
      <c r="EP72" s="4">
        <v>66.82</v>
      </c>
      <c r="EQ72" s="1">
        <v>2.76</v>
      </c>
      <c r="ES72" s="4">
        <v>66.82</v>
      </c>
    </row>
    <row r="73" customHeight="1" spans="1:149">
      <c r="A73" s="16">
        <v>4</v>
      </c>
      <c r="B73" s="4" t="s">
        <v>386</v>
      </c>
      <c r="C73" s="5" t="s">
        <v>404</v>
      </c>
      <c r="D73" s="4" t="s">
        <v>400</v>
      </c>
      <c r="K73" s="4" t="s">
        <v>401</v>
      </c>
      <c r="L73" s="4">
        <v>900</v>
      </c>
      <c r="M73" s="4">
        <v>500</v>
      </c>
      <c r="N73" s="24" t="s">
        <v>366</v>
      </c>
      <c r="O73" s="24" t="s">
        <v>367</v>
      </c>
      <c r="Q73" s="24" t="s">
        <v>390</v>
      </c>
      <c r="AB73" s="4" t="s">
        <v>402</v>
      </c>
      <c r="AC73" s="4" t="s">
        <v>405</v>
      </c>
      <c r="AD73" s="4" t="s">
        <v>406</v>
      </c>
      <c r="AH73" s="4" t="s">
        <v>394</v>
      </c>
      <c r="AM73" s="4">
        <v>5.8</v>
      </c>
      <c r="AN73" s="4">
        <v>6.8</v>
      </c>
      <c r="AQ73" s="4" t="s">
        <v>372</v>
      </c>
      <c r="AR73" s="4">
        <v>58.88</v>
      </c>
      <c r="BC73" s="4" t="s">
        <v>395</v>
      </c>
      <c r="BD73" s="4" t="s">
        <v>396</v>
      </c>
      <c r="BE73" s="4" t="s">
        <v>397</v>
      </c>
      <c r="BK73" s="4">
        <v>5</v>
      </c>
      <c r="BL73" s="4">
        <v>1</v>
      </c>
      <c r="BO73" s="4">
        <v>0.03</v>
      </c>
      <c r="BP73" s="4">
        <v>0</v>
      </c>
      <c r="BS73" s="4">
        <v>3</v>
      </c>
      <c r="BU73" s="4" t="s">
        <v>398</v>
      </c>
      <c r="BV73" s="4">
        <v>2880</v>
      </c>
      <c r="BW73" s="4" t="s">
        <v>311</v>
      </c>
      <c r="CB73" s="4" t="s">
        <v>372</v>
      </c>
      <c r="CC73" s="4">
        <v>600</v>
      </c>
      <c r="DM73" s="4">
        <v>2880</v>
      </c>
      <c r="DO73" s="4">
        <v>3</v>
      </c>
      <c r="EP73" s="4">
        <v>92.52</v>
      </c>
      <c r="EQ73" s="1">
        <v>1.33</v>
      </c>
      <c r="ES73" s="4">
        <v>92.52</v>
      </c>
    </row>
    <row r="74" customHeight="1" spans="1:149">
      <c r="A74" s="16">
        <v>4</v>
      </c>
      <c r="B74" s="4" t="s">
        <v>386</v>
      </c>
      <c r="C74" s="5" t="s">
        <v>404</v>
      </c>
      <c r="D74" s="4" t="s">
        <v>400</v>
      </c>
      <c r="K74" s="4" t="s">
        <v>401</v>
      </c>
      <c r="L74" s="4">
        <v>900</v>
      </c>
      <c r="M74" s="4">
        <v>500</v>
      </c>
      <c r="N74" s="24" t="s">
        <v>366</v>
      </c>
      <c r="O74" s="24" t="s">
        <v>367</v>
      </c>
      <c r="Q74" s="24" t="s">
        <v>390</v>
      </c>
      <c r="AB74" s="4" t="s">
        <v>402</v>
      </c>
      <c r="AC74" s="4" t="s">
        <v>405</v>
      </c>
      <c r="AD74" s="4" t="s">
        <v>406</v>
      </c>
      <c r="AH74" s="4" t="s">
        <v>394</v>
      </c>
      <c r="AM74" s="4">
        <v>5.8</v>
      </c>
      <c r="AN74" s="4">
        <v>6.8</v>
      </c>
      <c r="AQ74" s="4" t="s">
        <v>372</v>
      </c>
      <c r="AR74" s="4">
        <v>58.88</v>
      </c>
      <c r="BC74" s="4" t="s">
        <v>395</v>
      </c>
      <c r="BD74" s="4" t="s">
        <v>396</v>
      </c>
      <c r="BE74" s="4" t="s">
        <v>397</v>
      </c>
      <c r="BK74" s="4">
        <v>5</v>
      </c>
      <c r="BL74" s="4">
        <v>1</v>
      </c>
      <c r="BO74" s="4">
        <v>0.03</v>
      </c>
      <c r="BP74" s="4">
        <v>0</v>
      </c>
      <c r="BS74" s="4">
        <v>5</v>
      </c>
      <c r="BU74" s="4" t="s">
        <v>398</v>
      </c>
      <c r="BV74" s="4">
        <v>2880</v>
      </c>
      <c r="BW74" s="4" t="s">
        <v>311</v>
      </c>
      <c r="CB74" s="4" t="s">
        <v>372</v>
      </c>
      <c r="CC74" s="4">
        <v>600</v>
      </c>
      <c r="DM74" s="4">
        <v>2880</v>
      </c>
      <c r="DO74" s="4">
        <v>3</v>
      </c>
      <c r="EP74" s="4">
        <v>83.82</v>
      </c>
      <c r="EQ74" s="1">
        <v>1.67</v>
      </c>
      <c r="ES74" s="4">
        <v>83.82</v>
      </c>
    </row>
    <row r="75" customHeight="1" spans="1:149">
      <c r="A75" s="16">
        <v>4</v>
      </c>
      <c r="B75" s="4" t="s">
        <v>386</v>
      </c>
      <c r="C75" s="5" t="s">
        <v>404</v>
      </c>
      <c r="D75" s="4" t="s">
        <v>400</v>
      </c>
      <c r="K75" s="4" t="s">
        <v>401</v>
      </c>
      <c r="L75" s="4">
        <v>900</v>
      </c>
      <c r="M75" s="4">
        <v>500</v>
      </c>
      <c r="N75" s="24" t="s">
        <v>366</v>
      </c>
      <c r="O75" s="24" t="s">
        <v>367</v>
      </c>
      <c r="Q75" s="24" t="s">
        <v>390</v>
      </c>
      <c r="AB75" s="4" t="s">
        <v>402</v>
      </c>
      <c r="AC75" s="4" t="s">
        <v>405</v>
      </c>
      <c r="AD75" s="4" t="s">
        <v>406</v>
      </c>
      <c r="AH75" s="4" t="s">
        <v>394</v>
      </c>
      <c r="AM75" s="4">
        <v>5.8</v>
      </c>
      <c r="AN75" s="4">
        <v>6.8</v>
      </c>
      <c r="AQ75" s="4" t="s">
        <v>372</v>
      </c>
      <c r="AR75" s="4">
        <v>58.88</v>
      </c>
      <c r="BC75" s="4" t="s">
        <v>395</v>
      </c>
      <c r="BD75" s="4" t="s">
        <v>396</v>
      </c>
      <c r="BE75" s="4" t="s">
        <v>397</v>
      </c>
      <c r="BK75" s="4">
        <v>5</v>
      </c>
      <c r="BL75" s="4">
        <v>1</v>
      </c>
      <c r="BO75" s="4">
        <v>0.03</v>
      </c>
      <c r="BP75" s="4">
        <v>0</v>
      </c>
      <c r="BS75" s="4">
        <v>7</v>
      </c>
      <c r="BU75" s="4" t="s">
        <v>398</v>
      </c>
      <c r="BV75" s="4">
        <v>2880</v>
      </c>
      <c r="BW75" s="4" t="s">
        <v>311</v>
      </c>
      <c r="CB75" s="4" t="s">
        <v>372</v>
      </c>
      <c r="CC75" s="4">
        <v>600</v>
      </c>
      <c r="DM75" s="4">
        <v>2880</v>
      </c>
      <c r="DO75" s="4">
        <v>3</v>
      </c>
      <c r="EP75" s="4">
        <v>90.45</v>
      </c>
      <c r="EQ75" s="1">
        <v>1</v>
      </c>
      <c r="ES75" s="4">
        <v>90.45</v>
      </c>
    </row>
    <row r="76" customHeight="1" spans="1:149">
      <c r="A76" s="16">
        <v>4</v>
      </c>
      <c r="B76" s="4" t="s">
        <v>386</v>
      </c>
      <c r="C76" s="5" t="s">
        <v>404</v>
      </c>
      <c r="D76" s="4" t="s">
        <v>400</v>
      </c>
      <c r="K76" s="4" t="s">
        <v>401</v>
      </c>
      <c r="L76" s="4">
        <v>900</v>
      </c>
      <c r="M76" s="4">
        <v>500</v>
      </c>
      <c r="N76" s="24" t="s">
        <v>366</v>
      </c>
      <c r="O76" s="24" t="s">
        <v>367</v>
      </c>
      <c r="Q76" s="24" t="s">
        <v>390</v>
      </c>
      <c r="AB76" s="4" t="s">
        <v>402</v>
      </c>
      <c r="AC76" s="4" t="s">
        <v>405</v>
      </c>
      <c r="AD76" s="4" t="s">
        <v>406</v>
      </c>
      <c r="AH76" s="4" t="s">
        <v>394</v>
      </c>
      <c r="AM76" s="4">
        <v>5.8</v>
      </c>
      <c r="AN76" s="4">
        <v>6.8</v>
      </c>
      <c r="AQ76" s="4" t="s">
        <v>372</v>
      </c>
      <c r="AR76" s="4">
        <v>58.88</v>
      </c>
      <c r="BC76" s="4" t="s">
        <v>395</v>
      </c>
      <c r="BD76" s="4" t="s">
        <v>396</v>
      </c>
      <c r="BE76" s="4" t="s">
        <v>397</v>
      </c>
      <c r="BK76" s="4">
        <v>5</v>
      </c>
      <c r="BL76" s="4">
        <v>1</v>
      </c>
      <c r="BO76" s="4">
        <v>0.03</v>
      </c>
      <c r="BP76" s="4">
        <v>0</v>
      </c>
      <c r="BS76" s="4">
        <v>10</v>
      </c>
      <c r="BU76" s="4" t="s">
        <v>398</v>
      </c>
      <c r="BV76" s="4">
        <v>2880</v>
      </c>
      <c r="BW76" s="4" t="s">
        <v>311</v>
      </c>
      <c r="CB76" s="4" t="s">
        <v>372</v>
      </c>
      <c r="CC76" s="4">
        <v>600</v>
      </c>
      <c r="DM76" s="4">
        <v>2880</v>
      </c>
      <c r="DO76" s="4">
        <v>3</v>
      </c>
      <c r="EP76" s="4">
        <v>89.21</v>
      </c>
      <c r="EQ76" s="1">
        <v>1.83</v>
      </c>
      <c r="ES76" s="4">
        <v>89.21</v>
      </c>
    </row>
    <row r="77" customHeight="1" spans="1:149">
      <c r="A77" s="16">
        <v>4</v>
      </c>
      <c r="B77" s="4" t="s">
        <v>386</v>
      </c>
      <c r="C77" s="5" t="s">
        <v>404</v>
      </c>
      <c r="D77" s="4" t="s">
        <v>400</v>
      </c>
      <c r="K77" s="4" t="s">
        <v>401</v>
      </c>
      <c r="L77" s="4">
        <v>900</v>
      </c>
      <c r="M77" s="4">
        <v>500</v>
      </c>
      <c r="N77" s="24" t="s">
        <v>366</v>
      </c>
      <c r="O77" s="24" t="s">
        <v>367</v>
      </c>
      <c r="Q77" s="24" t="s">
        <v>390</v>
      </c>
      <c r="AB77" s="4" t="s">
        <v>402</v>
      </c>
      <c r="AC77" s="4" t="s">
        <v>405</v>
      </c>
      <c r="AD77" s="4" t="s">
        <v>406</v>
      </c>
      <c r="AH77" s="4" t="s">
        <v>394</v>
      </c>
      <c r="AM77" s="4">
        <v>5.8</v>
      </c>
      <c r="AN77" s="4">
        <v>6.8</v>
      </c>
      <c r="AQ77" s="4" t="s">
        <v>372</v>
      </c>
      <c r="AR77" s="4">
        <v>58.88</v>
      </c>
      <c r="BC77" s="4" t="s">
        <v>395</v>
      </c>
      <c r="BD77" s="4" t="s">
        <v>396</v>
      </c>
      <c r="BI77" s="1" t="s">
        <v>407</v>
      </c>
      <c r="BJ77" s="1"/>
      <c r="BK77" s="1"/>
      <c r="BL77" s="1"/>
      <c r="BM77" s="1"/>
      <c r="BO77" s="1">
        <v>0</v>
      </c>
      <c r="BV77" s="4" t="s">
        <v>408</v>
      </c>
      <c r="CB77" s="1" t="s">
        <v>8</v>
      </c>
      <c r="CD77" s="1">
        <v>0</v>
      </c>
      <c r="DO77" s="4">
        <v>3</v>
      </c>
      <c r="EP77" s="4"/>
      <c r="ES77" s="4"/>
    </row>
    <row r="78" customHeight="1" spans="1:149">
      <c r="A78" s="16">
        <v>4</v>
      </c>
      <c r="B78" s="4" t="s">
        <v>386</v>
      </c>
      <c r="C78" s="5" t="s">
        <v>404</v>
      </c>
      <c r="D78" s="4" t="s">
        <v>400</v>
      </c>
      <c r="K78" s="4" t="s">
        <v>401</v>
      </c>
      <c r="L78" s="4">
        <v>900</v>
      </c>
      <c r="M78" s="4">
        <v>500</v>
      </c>
      <c r="N78" s="24" t="s">
        <v>366</v>
      </c>
      <c r="O78" s="24" t="s">
        <v>367</v>
      </c>
      <c r="Q78" s="24" t="s">
        <v>390</v>
      </c>
      <c r="AB78" s="4" t="s">
        <v>402</v>
      </c>
      <c r="AC78" s="4" t="s">
        <v>405</v>
      </c>
      <c r="AD78" s="4" t="s">
        <v>406</v>
      </c>
      <c r="AH78" s="4" t="s">
        <v>394</v>
      </c>
      <c r="AM78" s="4">
        <v>5.8</v>
      </c>
      <c r="AN78" s="4">
        <v>6.8</v>
      </c>
      <c r="AQ78" s="4" t="s">
        <v>372</v>
      </c>
      <c r="AR78" s="4">
        <v>58.88</v>
      </c>
      <c r="BC78" s="4" t="s">
        <v>395</v>
      </c>
      <c r="BD78" s="4" t="s">
        <v>396</v>
      </c>
      <c r="BI78" s="1" t="s">
        <v>321</v>
      </c>
      <c r="BJ78" s="1"/>
      <c r="BK78" s="1"/>
      <c r="BL78" s="1"/>
      <c r="BM78" s="1"/>
      <c r="BO78" s="1">
        <v>0</v>
      </c>
      <c r="BV78" s="4" t="s">
        <v>408</v>
      </c>
      <c r="CB78" s="1" t="s">
        <v>8</v>
      </c>
      <c r="CD78" s="1">
        <v>600</v>
      </c>
      <c r="DO78" s="4">
        <v>3</v>
      </c>
      <c r="EP78" s="4"/>
      <c r="ES78" s="4"/>
    </row>
    <row r="79" customHeight="1" spans="1:149">
      <c r="A79" s="16">
        <v>4</v>
      </c>
      <c r="B79" s="4" t="s">
        <v>386</v>
      </c>
      <c r="C79" s="5" t="s">
        <v>404</v>
      </c>
      <c r="D79" s="4" t="s">
        <v>400</v>
      </c>
      <c r="K79" s="4" t="s">
        <v>401</v>
      </c>
      <c r="L79" s="4">
        <v>900</v>
      </c>
      <c r="M79" s="4">
        <v>500</v>
      </c>
      <c r="N79" s="24" t="s">
        <v>366</v>
      </c>
      <c r="O79" s="24" t="s">
        <v>367</v>
      </c>
      <c r="Q79" s="24" t="s">
        <v>390</v>
      </c>
      <c r="AB79" s="4" t="s">
        <v>402</v>
      </c>
      <c r="AC79" s="4" t="s">
        <v>405</v>
      </c>
      <c r="AD79" s="4" t="s">
        <v>406</v>
      </c>
      <c r="AH79" s="4" t="s">
        <v>394</v>
      </c>
      <c r="AM79" s="4">
        <v>5.8</v>
      </c>
      <c r="AN79" s="4">
        <v>6.8</v>
      </c>
      <c r="AQ79" s="4" t="s">
        <v>372</v>
      </c>
      <c r="AR79" s="4">
        <v>58.88</v>
      </c>
      <c r="BC79" s="4" t="s">
        <v>395</v>
      </c>
      <c r="BD79" s="4" t="s">
        <v>396</v>
      </c>
      <c r="BI79" s="1" t="s">
        <v>321</v>
      </c>
      <c r="BJ79" s="1"/>
      <c r="BK79" s="1"/>
      <c r="BL79" s="1"/>
      <c r="BM79" s="1"/>
      <c r="BO79" s="1">
        <v>0.03</v>
      </c>
      <c r="BV79" s="4" t="s">
        <v>408</v>
      </c>
      <c r="CB79" s="1" t="s">
        <v>8</v>
      </c>
      <c r="CD79" s="1">
        <v>600</v>
      </c>
      <c r="DO79" s="4">
        <v>3</v>
      </c>
      <c r="EP79" s="4"/>
      <c r="ES79" s="4"/>
    </row>
    <row r="80" customHeight="1" spans="1:149">
      <c r="A80" s="16">
        <v>4</v>
      </c>
      <c r="B80" s="4" t="s">
        <v>386</v>
      </c>
      <c r="C80" s="5" t="s">
        <v>409</v>
      </c>
      <c r="D80" s="4" t="s">
        <v>400</v>
      </c>
      <c r="K80" s="4" t="s">
        <v>401</v>
      </c>
      <c r="L80" s="4">
        <v>900</v>
      </c>
      <c r="M80" s="4">
        <v>900</v>
      </c>
      <c r="N80" s="24" t="s">
        <v>366</v>
      </c>
      <c r="O80" s="24" t="s">
        <v>367</v>
      </c>
      <c r="Q80" s="24" t="s">
        <v>390</v>
      </c>
      <c r="AB80" s="4" t="s">
        <v>402</v>
      </c>
      <c r="AC80" s="4">
        <v>43.42</v>
      </c>
      <c r="AD80" s="4" t="s">
        <v>410</v>
      </c>
      <c r="AH80" s="4" t="s">
        <v>394</v>
      </c>
      <c r="AM80" s="4">
        <v>5.8</v>
      </c>
      <c r="AN80" s="4">
        <v>6.8</v>
      </c>
      <c r="AQ80" s="4" t="s">
        <v>372</v>
      </c>
      <c r="AR80" s="4">
        <v>58.88</v>
      </c>
      <c r="BC80" s="4" t="s">
        <v>395</v>
      </c>
      <c r="BD80" s="4" t="s">
        <v>396</v>
      </c>
      <c r="BE80" s="4" t="s">
        <v>397</v>
      </c>
      <c r="BK80" s="4">
        <v>5</v>
      </c>
      <c r="BL80" s="4">
        <v>1</v>
      </c>
      <c r="BO80" s="4">
        <v>0</v>
      </c>
      <c r="BP80" s="4">
        <v>0</v>
      </c>
      <c r="BU80" s="4" t="s">
        <v>398</v>
      </c>
      <c r="BV80" s="4">
        <v>2880</v>
      </c>
      <c r="BW80" s="4" t="s">
        <v>311</v>
      </c>
      <c r="CB80" s="4" t="s">
        <v>372</v>
      </c>
      <c r="CC80" s="4">
        <v>600</v>
      </c>
      <c r="DM80" s="4">
        <v>2880</v>
      </c>
      <c r="DO80" s="4">
        <v>3</v>
      </c>
      <c r="EH80" s="4">
        <v>63.17</v>
      </c>
      <c r="EP80" s="4"/>
      <c r="ES80" s="4">
        <v>0</v>
      </c>
    </row>
    <row r="81" customHeight="1" spans="1:313">
      <c r="A81" s="16">
        <v>4</v>
      </c>
      <c r="B81" s="4" t="s">
        <v>386</v>
      </c>
      <c r="C81" s="5" t="s">
        <v>409</v>
      </c>
      <c r="D81" s="4" t="s">
        <v>400</v>
      </c>
      <c r="K81" s="4" t="s">
        <v>401</v>
      </c>
      <c r="L81" s="4">
        <v>900</v>
      </c>
      <c r="M81" s="4">
        <v>900</v>
      </c>
      <c r="N81" s="24" t="s">
        <v>366</v>
      </c>
      <c r="O81" s="24" t="s">
        <v>367</v>
      </c>
      <c r="Q81" s="24" t="s">
        <v>390</v>
      </c>
      <c r="AB81" s="4" t="s">
        <v>402</v>
      </c>
      <c r="AC81" s="4">
        <v>43.42</v>
      </c>
      <c r="AD81" s="4" t="s">
        <v>410</v>
      </c>
      <c r="AH81" s="4" t="s">
        <v>394</v>
      </c>
      <c r="AM81" s="4">
        <v>5.8</v>
      </c>
      <c r="AN81" s="4">
        <v>6.8</v>
      </c>
      <c r="AQ81" s="4" t="s">
        <v>372</v>
      </c>
      <c r="AR81" s="4">
        <v>58.88</v>
      </c>
      <c r="BC81" s="4" t="s">
        <v>395</v>
      </c>
      <c r="BD81" s="4" t="s">
        <v>396</v>
      </c>
      <c r="BE81" s="4" t="s">
        <v>397</v>
      </c>
      <c r="BK81" s="4">
        <v>5</v>
      </c>
      <c r="BL81" s="4">
        <v>1</v>
      </c>
      <c r="BO81" s="4">
        <v>0.03</v>
      </c>
      <c r="BP81" s="4">
        <v>0</v>
      </c>
      <c r="BU81" s="4" t="s">
        <v>398</v>
      </c>
      <c r="BV81" s="4">
        <v>2880</v>
      </c>
      <c r="BW81" s="4" t="s">
        <v>311</v>
      </c>
      <c r="CB81" s="4" t="s">
        <v>372</v>
      </c>
      <c r="CC81" s="4">
        <v>600</v>
      </c>
      <c r="DM81" s="4">
        <v>2880</v>
      </c>
      <c r="DO81" s="4">
        <v>3</v>
      </c>
      <c r="EJ81" s="1">
        <v>32.31</v>
      </c>
      <c r="EK81" s="1">
        <v>2.86</v>
      </c>
      <c r="EL81" s="1">
        <v>24.28</v>
      </c>
      <c r="EM81" s="1">
        <v>0.99</v>
      </c>
      <c r="EP81" s="4">
        <v>30.01</v>
      </c>
      <c r="EQ81" s="1">
        <v>0</v>
      </c>
      <c r="ES81" s="4">
        <v>30.01</v>
      </c>
    </row>
    <row r="82" customHeight="1" spans="1:313">
      <c r="A82" s="16">
        <v>4</v>
      </c>
      <c r="B82" s="4" t="s">
        <v>386</v>
      </c>
      <c r="C82" s="5" t="s">
        <v>409</v>
      </c>
      <c r="D82" s="4" t="s">
        <v>400</v>
      </c>
      <c r="K82" s="4" t="s">
        <v>401</v>
      </c>
      <c r="L82" s="4">
        <v>900</v>
      </c>
      <c r="M82" s="4">
        <v>900</v>
      </c>
      <c r="N82" s="24" t="s">
        <v>366</v>
      </c>
      <c r="O82" s="24" t="s">
        <v>367</v>
      </c>
      <c r="Q82" s="24" t="s">
        <v>390</v>
      </c>
      <c r="AB82" s="4" t="s">
        <v>402</v>
      </c>
      <c r="AC82" s="4">
        <v>43.42</v>
      </c>
      <c r="AD82" s="4" t="s">
        <v>410</v>
      </c>
      <c r="AH82" s="4" t="s">
        <v>394</v>
      </c>
      <c r="AM82" s="4">
        <v>5.8</v>
      </c>
      <c r="AN82" s="4">
        <v>6.8</v>
      </c>
      <c r="AQ82" s="4" t="s">
        <v>372</v>
      </c>
      <c r="AR82" s="4">
        <v>58.88</v>
      </c>
      <c r="BC82" s="4" t="s">
        <v>395</v>
      </c>
      <c r="BD82" s="4" t="s">
        <v>396</v>
      </c>
      <c r="BE82" s="4" t="s">
        <v>397</v>
      </c>
      <c r="BK82" s="4">
        <v>5</v>
      </c>
      <c r="BL82" s="4">
        <v>1</v>
      </c>
      <c r="BO82" s="4">
        <v>0.05</v>
      </c>
      <c r="BP82" s="4">
        <v>0</v>
      </c>
      <c r="BU82" s="4" t="s">
        <v>398</v>
      </c>
      <c r="BV82" s="4">
        <v>2880</v>
      </c>
      <c r="BW82" s="4" t="s">
        <v>311</v>
      </c>
      <c r="CB82" s="4" t="s">
        <v>372</v>
      </c>
      <c r="CC82" s="4">
        <v>600</v>
      </c>
      <c r="DM82" s="4">
        <v>2880</v>
      </c>
      <c r="DO82" s="4">
        <v>3</v>
      </c>
      <c r="EJ82" s="1">
        <v>32.31</v>
      </c>
      <c r="EK82" s="1">
        <v>0.66</v>
      </c>
      <c r="EL82" s="1">
        <v>20.71</v>
      </c>
      <c r="EM82" s="1">
        <v>1.87</v>
      </c>
      <c r="EP82" s="4">
        <v>44.78</v>
      </c>
      <c r="EQ82" s="1">
        <v>2.09</v>
      </c>
      <c r="ES82" s="4">
        <v>44.78</v>
      </c>
    </row>
    <row r="83" customHeight="1" spans="1:313">
      <c r="A83" s="16">
        <v>4</v>
      </c>
      <c r="B83" s="4" t="s">
        <v>386</v>
      </c>
      <c r="C83" s="5" t="s">
        <v>409</v>
      </c>
      <c r="D83" s="4" t="s">
        <v>400</v>
      </c>
      <c r="K83" s="4" t="s">
        <v>401</v>
      </c>
      <c r="L83" s="4">
        <v>900</v>
      </c>
      <c r="M83" s="4">
        <v>900</v>
      </c>
      <c r="N83" s="24" t="s">
        <v>366</v>
      </c>
      <c r="O83" s="24" t="s">
        <v>367</v>
      </c>
      <c r="Q83" s="24" t="s">
        <v>390</v>
      </c>
      <c r="AB83" s="4" t="s">
        <v>402</v>
      </c>
      <c r="AC83" s="4">
        <v>43.42</v>
      </c>
      <c r="AD83" s="4" t="s">
        <v>410</v>
      </c>
      <c r="AH83" s="4" t="s">
        <v>394</v>
      </c>
      <c r="AM83" s="4">
        <v>5.8</v>
      </c>
      <c r="AN83" s="4">
        <v>6.8</v>
      </c>
      <c r="AQ83" s="4" t="s">
        <v>372</v>
      </c>
      <c r="AR83" s="4">
        <v>58.88</v>
      </c>
      <c r="BC83" s="4" t="s">
        <v>395</v>
      </c>
      <c r="BD83" s="4" t="s">
        <v>396</v>
      </c>
      <c r="BE83" s="4" t="s">
        <v>397</v>
      </c>
      <c r="BK83" s="4">
        <v>5</v>
      </c>
      <c r="BL83" s="4">
        <v>1</v>
      </c>
      <c r="BO83" s="4">
        <v>0.07</v>
      </c>
      <c r="BP83" s="4">
        <v>0</v>
      </c>
      <c r="BU83" s="4" t="s">
        <v>398</v>
      </c>
      <c r="BV83" s="4">
        <v>2880</v>
      </c>
      <c r="BW83" s="4" t="s">
        <v>311</v>
      </c>
      <c r="CB83" s="4" t="s">
        <v>372</v>
      </c>
      <c r="CC83" s="4">
        <v>600</v>
      </c>
      <c r="DM83" s="4">
        <v>2880</v>
      </c>
      <c r="DO83" s="4">
        <v>3</v>
      </c>
      <c r="EJ83" s="1">
        <v>32.36</v>
      </c>
      <c r="EK83" s="1">
        <v>1.76</v>
      </c>
      <c r="EL83" s="1">
        <v>15.27</v>
      </c>
      <c r="EM83" s="1">
        <v>2.69</v>
      </c>
      <c r="EP83" s="4">
        <v>52.48</v>
      </c>
      <c r="EQ83" s="1">
        <v>2.69</v>
      </c>
      <c r="ES83" s="4">
        <v>52.48</v>
      </c>
    </row>
    <row r="84" customHeight="1" spans="1:313">
      <c r="A84" s="16">
        <v>4</v>
      </c>
      <c r="B84" s="4" t="s">
        <v>386</v>
      </c>
      <c r="C84" s="5" t="s">
        <v>409</v>
      </c>
      <c r="D84" s="4" t="s">
        <v>400</v>
      </c>
      <c r="K84" s="4" t="s">
        <v>401</v>
      </c>
      <c r="L84" s="4">
        <v>900</v>
      </c>
      <c r="M84" s="4">
        <v>900</v>
      </c>
      <c r="N84" s="24" t="s">
        <v>366</v>
      </c>
      <c r="O84" s="24" t="s">
        <v>367</v>
      </c>
      <c r="Q84" s="24" t="s">
        <v>390</v>
      </c>
      <c r="AB84" s="4" t="s">
        <v>402</v>
      </c>
      <c r="AC84" s="4">
        <v>43.42</v>
      </c>
      <c r="AD84" s="4" t="s">
        <v>410</v>
      </c>
      <c r="AH84" s="4" t="s">
        <v>394</v>
      </c>
      <c r="AM84" s="4">
        <v>5.8</v>
      </c>
      <c r="AN84" s="4">
        <v>6.8</v>
      </c>
      <c r="AQ84" s="4" t="s">
        <v>372</v>
      </c>
      <c r="AR84" s="4">
        <v>58.88</v>
      </c>
      <c r="BC84" s="4" t="s">
        <v>395</v>
      </c>
      <c r="BD84" s="4" t="s">
        <v>396</v>
      </c>
      <c r="BE84" s="4" t="s">
        <v>397</v>
      </c>
      <c r="BK84" s="4">
        <v>5</v>
      </c>
      <c r="BL84" s="4">
        <v>1</v>
      </c>
      <c r="BO84" s="4">
        <v>0.03</v>
      </c>
      <c r="BP84" s="4">
        <v>0</v>
      </c>
      <c r="BU84" s="4" t="s">
        <v>398</v>
      </c>
      <c r="BV84" s="4">
        <v>2880</v>
      </c>
      <c r="BW84" s="4" t="s">
        <v>311</v>
      </c>
      <c r="CB84" s="4" t="s">
        <v>372</v>
      </c>
      <c r="CC84" s="4">
        <v>400</v>
      </c>
      <c r="DM84" s="4">
        <v>2880</v>
      </c>
      <c r="DO84" s="4">
        <v>3</v>
      </c>
      <c r="EP84" s="4">
        <v>34.25</v>
      </c>
      <c r="EQ84" s="1">
        <v>1.08</v>
      </c>
      <c r="ES84" s="4">
        <v>34.25</v>
      </c>
    </row>
    <row r="85" customHeight="1" spans="1:313">
      <c r="A85" s="16">
        <v>4</v>
      </c>
      <c r="B85" s="4" t="s">
        <v>386</v>
      </c>
      <c r="C85" s="5" t="s">
        <v>409</v>
      </c>
      <c r="D85" s="4" t="s">
        <v>400</v>
      </c>
      <c r="K85" s="4" t="s">
        <v>401</v>
      </c>
      <c r="L85" s="4">
        <v>900</v>
      </c>
      <c r="M85" s="4">
        <v>900</v>
      </c>
      <c r="N85" s="24" t="s">
        <v>366</v>
      </c>
      <c r="O85" s="24" t="s">
        <v>367</v>
      </c>
      <c r="Q85" s="24" t="s">
        <v>390</v>
      </c>
      <c r="AB85" s="4" t="s">
        <v>402</v>
      </c>
      <c r="AC85" s="4">
        <v>43.42</v>
      </c>
      <c r="AD85" s="4" t="s">
        <v>410</v>
      </c>
      <c r="AH85" s="4" t="s">
        <v>394</v>
      </c>
      <c r="AM85" s="4">
        <v>5.8</v>
      </c>
      <c r="AN85" s="4">
        <v>6.8</v>
      </c>
      <c r="AQ85" s="4" t="s">
        <v>372</v>
      </c>
      <c r="AR85" s="4">
        <v>58.88</v>
      </c>
      <c r="BC85" s="4" t="s">
        <v>395</v>
      </c>
      <c r="BD85" s="4" t="s">
        <v>396</v>
      </c>
      <c r="BE85" s="4" t="s">
        <v>397</v>
      </c>
      <c r="BK85" s="4">
        <v>5</v>
      </c>
      <c r="BL85" s="4">
        <v>1</v>
      </c>
      <c r="BO85" s="4">
        <v>0.03</v>
      </c>
      <c r="BP85" s="4">
        <v>0</v>
      </c>
      <c r="BU85" s="4" t="s">
        <v>398</v>
      </c>
      <c r="BV85" s="4">
        <v>2880</v>
      </c>
      <c r="BW85" s="4" t="s">
        <v>311</v>
      </c>
      <c r="CB85" s="4" t="s">
        <v>372</v>
      </c>
      <c r="CC85" s="4">
        <v>800</v>
      </c>
      <c r="DM85" s="4">
        <v>2880</v>
      </c>
      <c r="DO85" s="4">
        <v>3</v>
      </c>
      <c r="EP85" s="4">
        <v>15.67</v>
      </c>
      <c r="EQ85" s="1">
        <v>0.31</v>
      </c>
      <c r="ES85" s="4">
        <v>15.67</v>
      </c>
    </row>
    <row r="86" customHeight="1" spans="1:313">
      <c r="A86" s="16">
        <v>4</v>
      </c>
      <c r="B86" s="4" t="s">
        <v>386</v>
      </c>
      <c r="C86" s="5" t="s">
        <v>409</v>
      </c>
      <c r="D86" s="4" t="s">
        <v>400</v>
      </c>
      <c r="K86" s="4" t="s">
        <v>401</v>
      </c>
      <c r="L86" s="4">
        <v>900</v>
      </c>
      <c r="M86" s="4">
        <v>900</v>
      </c>
      <c r="N86" s="24" t="s">
        <v>366</v>
      </c>
      <c r="O86" s="24" t="s">
        <v>367</v>
      </c>
      <c r="Q86" s="24" t="s">
        <v>390</v>
      </c>
      <c r="AB86" s="4" t="s">
        <v>402</v>
      </c>
      <c r="AC86" s="4">
        <v>43.42</v>
      </c>
      <c r="AD86" s="4" t="s">
        <v>410</v>
      </c>
      <c r="AH86" s="4" t="s">
        <v>394</v>
      </c>
      <c r="AM86" s="4">
        <v>5.8</v>
      </c>
      <c r="AN86" s="4">
        <v>6.8</v>
      </c>
      <c r="AQ86" s="4" t="s">
        <v>372</v>
      </c>
      <c r="AR86" s="4">
        <v>58.88</v>
      </c>
      <c r="BC86" s="4" t="s">
        <v>395</v>
      </c>
      <c r="BD86" s="4" t="s">
        <v>396</v>
      </c>
      <c r="BE86" s="4" t="s">
        <v>397</v>
      </c>
      <c r="BK86" s="4">
        <v>5</v>
      </c>
      <c r="BL86" s="4">
        <v>1</v>
      </c>
      <c r="BO86" s="4">
        <v>0.03</v>
      </c>
      <c r="BP86" s="4">
        <v>0</v>
      </c>
      <c r="BU86" s="4" t="s">
        <v>398</v>
      </c>
      <c r="BV86" s="4">
        <v>2880</v>
      </c>
      <c r="BW86" s="4" t="s">
        <v>311</v>
      </c>
      <c r="CB86" s="4" t="s">
        <v>372</v>
      </c>
      <c r="CC86" s="4">
        <v>1000</v>
      </c>
      <c r="DM86" s="4">
        <v>2880</v>
      </c>
      <c r="DO86" s="4">
        <v>3</v>
      </c>
      <c r="EP86" s="4">
        <v>9.52</v>
      </c>
      <c r="EQ86" s="1">
        <v>1.69</v>
      </c>
      <c r="ES86" s="4">
        <v>9.52</v>
      </c>
    </row>
    <row r="87" customHeight="1" spans="1:313">
      <c r="A87" s="16">
        <v>4</v>
      </c>
      <c r="B87" s="4" t="s">
        <v>386</v>
      </c>
      <c r="C87" s="5" t="s">
        <v>409</v>
      </c>
      <c r="D87" s="4" t="s">
        <v>400</v>
      </c>
      <c r="K87" s="4" t="s">
        <v>401</v>
      </c>
      <c r="L87" s="4">
        <v>900</v>
      </c>
      <c r="M87" s="4">
        <v>900</v>
      </c>
      <c r="N87" s="24" t="s">
        <v>366</v>
      </c>
      <c r="O87" s="24" t="s">
        <v>367</v>
      </c>
      <c r="Q87" s="24" t="s">
        <v>390</v>
      </c>
      <c r="AB87" s="4" t="s">
        <v>402</v>
      </c>
      <c r="AC87" s="4">
        <v>43.42</v>
      </c>
      <c r="AD87" s="4" t="s">
        <v>410</v>
      </c>
      <c r="AH87" s="4" t="s">
        <v>394</v>
      </c>
      <c r="AM87" s="4">
        <v>5.8</v>
      </c>
      <c r="AN87" s="4">
        <v>6.8</v>
      </c>
      <c r="AQ87" s="4" t="s">
        <v>372</v>
      </c>
      <c r="AR87" s="4">
        <v>58.88</v>
      </c>
      <c r="BC87" s="4" t="s">
        <v>395</v>
      </c>
      <c r="BD87" s="4" t="s">
        <v>396</v>
      </c>
      <c r="BE87" s="4" t="s">
        <v>397</v>
      </c>
      <c r="BK87" s="4">
        <v>5</v>
      </c>
      <c r="BL87" s="4">
        <v>1</v>
      </c>
      <c r="BO87" s="4">
        <v>0.03</v>
      </c>
      <c r="BP87" s="4">
        <v>0</v>
      </c>
      <c r="BS87" s="4">
        <v>3</v>
      </c>
      <c r="BU87" s="4" t="s">
        <v>398</v>
      </c>
      <c r="BV87" s="4">
        <v>2880</v>
      </c>
      <c r="BW87" s="4" t="s">
        <v>311</v>
      </c>
      <c r="CB87" s="4" t="s">
        <v>372</v>
      </c>
      <c r="CC87" s="4">
        <v>600</v>
      </c>
      <c r="DM87" s="4">
        <v>2880</v>
      </c>
      <c r="DO87" s="4">
        <v>3</v>
      </c>
      <c r="EP87" s="4">
        <v>16.37</v>
      </c>
      <c r="EQ87" s="1">
        <v>2.33</v>
      </c>
      <c r="ES87" s="4">
        <v>16.37</v>
      </c>
    </row>
    <row r="88" customHeight="1" spans="1:313">
      <c r="A88" s="16">
        <v>4</v>
      </c>
      <c r="B88" s="4" t="s">
        <v>386</v>
      </c>
      <c r="C88" s="5" t="s">
        <v>409</v>
      </c>
      <c r="D88" s="4" t="s">
        <v>400</v>
      </c>
      <c r="K88" s="4" t="s">
        <v>401</v>
      </c>
      <c r="L88" s="4">
        <v>900</v>
      </c>
      <c r="M88" s="4">
        <v>900</v>
      </c>
      <c r="N88" s="24" t="s">
        <v>366</v>
      </c>
      <c r="O88" s="24" t="s">
        <v>367</v>
      </c>
      <c r="Q88" s="24" t="s">
        <v>390</v>
      </c>
      <c r="AB88" s="4" t="s">
        <v>402</v>
      </c>
      <c r="AC88" s="4">
        <v>43.42</v>
      </c>
      <c r="AD88" s="4" t="s">
        <v>410</v>
      </c>
      <c r="AH88" s="4" t="s">
        <v>394</v>
      </c>
      <c r="AM88" s="4">
        <v>5.8</v>
      </c>
      <c r="AN88" s="4">
        <v>6.8</v>
      </c>
      <c r="AQ88" s="4" t="s">
        <v>372</v>
      </c>
      <c r="AR88" s="4">
        <v>58.88</v>
      </c>
      <c r="BC88" s="4" t="s">
        <v>395</v>
      </c>
      <c r="BD88" s="4" t="s">
        <v>396</v>
      </c>
      <c r="BE88" s="4" t="s">
        <v>397</v>
      </c>
      <c r="BK88" s="4">
        <v>5</v>
      </c>
      <c r="BL88" s="4">
        <v>1</v>
      </c>
      <c r="BO88" s="4">
        <v>0.03</v>
      </c>
      <c r="BP88" s="4">
        <v>0</v>
      </c>
      <c r="BS88" s="4">
        <v>5</v>
      </c>
      <c r="BU88" s="4" t="s">
        <v>398</v>
      </c>
      <c r="BV88" s="4">
        <v>2880</v>
      </c>
      <c r="BW88" s="4" t="s">
        <v>311</v>
      </c>
      <c r="CB88" s="4" t="s">
        <v>372</v>
      </c>
      <c r="CC88" s="4">
        <v>600</v>
      </c>
      <c r="DM88" s="4">
        <v>2880</v>
      </c>
      <c r="DO88" s="4">
        <v>3</v>
      </c>
      <c r="EP88" s="4">
        <v>16.04</v>
      </c>
      <c r="EQ88" s="1">
        <v>2.67</v>
      </c>
      <c r="ES88" s="4">
        <v>16.04</v>
      </c>
    </row>
    <row r="89" customHeight="1" spans="1:313">
      <c r="A89" s="16">
        <v>4</v>
      </c>
      <c r="B89" s="4" t="s">
        <v>386</v>
      </c>
      <c r="C89" s="5" t="s">
        <v>409</v>
      </c>
      <c r="D89" s="4" t="s">
        <v>400</v>
      </c>
      <c r="K89" s="4" t="s">
        <v>401</v>
      </c>
      <c r="L89" s="4">
        <v>900</v>
      </c>
      <c r="M89" s="4">
        <v>900</v>
      </c>
      <c r="N89" s="24" t="s">
        <v>366</v>
      </c>
      <c r="O89" s="24" t="s">
        <v>367</v>
      </c>
      <c r="Q89" s="24" t="s">
        <v>390</v>
      </c>
      <c r="AB89" s="4" t="s">
        <v>402</v>
      </c>
      <c r="AC89" s="4">
        <v>43.42</v>
      </c>
      <c r="AD89" s="4" t="s">
        <v>410</v>
      </c>
      <c r="AH89" s="4" t="s">
        <v>394</v>
      </c>
      <c r="AM89" s="4">
        <v>5.8</v>
      </c>
      <c r="AN89" s="4">
        <v>6.8</v>
      </c>
      <c r="AQ89" s="4" t="s">
        <v>372</v>
      </c>
      <c r="AR89" s="4">
        <v>58.88</v>
      </c>
      <c r="BC89" s="4" t="s">
        <v>395</v>
      </c>
      <c r="BD89" s="4" t="s">
        <v>396</v>
      </c>
      <c r="BE89" s="4" t="s">
        <v>397</v>
      </c>
      <c r="BK89" s="4">
        <v>5</v>
      </c>
      <c r="BL89" s="4">
        <v>1</v>
      </c>
      <c r="BO89" s="4">
        <v>0.03</v>
      </c>
      <c r="BP89" s="4">
        <v>0</v>
      </c>
      <c r="BS89" s="4">
        <v>7</v>
      </c>
      <c r="BU89" s="4" t="s">
        <v>398</v>
      </c>
      <c r="BV89" s="4">
        <v>2880</v>
      </c>
      <c r="BW89" s="4" t="s">
        <v>311</v>
      </c>
      <c r="CB89" s="4" t="s">
        <v>372</v>
      </c>
      <c r="CC89" s="4">
        <v>600</v>
      </c>
      <c r="DM89" s="4">
        <v>2880</v>
      </c>
      <c r="DO89" s="4">
        <v>3</v>
      </c>
      <c r="EP89" s="4">
        <v>18.24</v>
      </c>
      <c r="EQ89" s="1">
        <v>2.17</v>
      </c>
      <c r="ES89" s="4">
        <v>18.24</v>
      </c>
    </row>
    <row r="90" customHeight="1" spans="1:313">
      <c r="A90" s="16">
        <v>4</v>
      </c>
      <c r="B90" s="4" t="s">
        <v>386</v>
      </c>
      <c r="C90" s="5" t="s">
        <v>409</v>
      </c>
      <c r="D90" s="4" t="s">
        <v>400</v>
      </c>
      <c r="K90" s="4" t="s">
        <v>401</v>
      </c>
      <c r="L90" s="4">
        <v>900</v>
      </c>
      <c r="M90" s="4">
        <v>900</v>
      </c>
      <c r="N90" s="24" t="s">
        <v>366</v>
      </c>
      <c r="O90" s="24" t="s">
        <v>367</v>
      </c>
      <c r="Q90" s="24" t="s">
        <v>390</v>
      </c>
      <c r="AB90" s="4" t="s">
        <v>402</v>
      </c>
      <c r="AC90" s="4">
        <v>43.42</v>
      </c>
      <c r="AD90" s="4" t="s">
        <v>410</v>
      </c>
      <c r="AH90" s="4" t="s">
        <v>394</v>
      </c>
      <c r="AM90" s="4">
        <v>5.8</v>
      </c>
      <c r="AN90" s="4">
        <v>6.8</v>
      </c>
      <c r="AQ90" s="4" t="s">
        <v>372</v>
      </c>
      <c r="AR90" s="4">
        <v>58.88</v>
      </c>
      <c r="BC90" s="4" t="s">
        <v>395</v>
      </c>
      <c r="BD90" s="4" t="s">
        <v>396</v>
      </c>
      <c r="BE90" s="4" t="s">
        <v>397</v>
      </c>
      <c r="BK90" s="4">
        <v>5</v>
      </c>
      <c r="BL90" s="4">
        <v>1</v>
      </c>
      <c r="BO90" s="4">
        <v>0.03</v>
      </c>
      <c r="BP90" s="4">
        <v>0</v>
      </c>
      <c r="BS90" s="4">
        <v>10</v>
      </c>
      <c r="BU90" s="4" t="s">
        <v>398</v>
      </c>
      <c r="BV90" s="4">
        <v>2880</v>
      </c>
      <c r="BW90" s="4" t="s">
        <v>311</v>
      </c>
      <c r="CB90" s="4" t="s">
        <v>372</v>
      </c>
      <c r="CC90" s="4">
        <v>600</v>
      </c>
      <c r="DM90" s="4">
        <v>2880</v>
      </c>
      <c r="DO90" s="4">
        <v>3</v>
      </c>
      <c r="EP90" s="4">
        <v>14.11</v>
      </c>
      <c r="EQ90" s="1">
        <v>1.5</v>
      </c>
      <c r="ES90" s="4">
        <v>14.11</v>
      </c>
    </row>
    <row r="91" customHeight="1" spans="1:313">
      <c r="A91" s="3">
        <v>5</v>
      </c>
      <c r="B91" s="4" t="s">
        <v>411</v>
      </c>
      <c r="C91" s="5" t="s">
        <v>412</v>
      </c>
      <c r="D91" s="4" t="s">
        <v>413</v>
      </c>
      <c r="E91" s="4" t="s">
        <v>414</v>
      </c>
      <c r="N91" s="24" t="s">
        <v>415</v>
      </c>
      <c r="O91" s="24" t="s">
        <v>367</v>
      </c>
      <c r="P91" s="4">
        <v>2.65</v>
      </c>
      <c r="T91" s="4">
        <v>39.8</v>
      </c>
      <c r="U91" s="4">
        <v>0.25</v>
      </c>
      <c r="V91" s="4">
        <v>1.94</v>
      </c>
      <c r="AB91" s="4" t="s">
        <v>416</v>
      </c>
      <c r="AD91" s="4" t="s">
        <v>417</v>
      </c>
      <c r="AE91" s="4" t="s">
        <v>418</v>
      </c>
      <c r="AF91" s="4" t="s">
        <v>419</v>
      </c>
      <c r="BI91" s="4" t="s">
        <v>309</v>
      </c>
      <c r="BN91" s="4">
        <v>0.25</v>
      </c>
      <c r="BS91" s="4">
        <v>2</v>
      </c>
      <c r="BU91" s="4">
        <v>200</v>
      </c>
      <c r="BW91" s="4">
        <v>25</v>
      </c>
      <c r="CB91" s="4" t="s">
        <v>7</v>
      </c>
      <c r="CC91" s="4">
        <v>250</v>
      </c>
      <c r="DO91" s="4">
        <v>3</v>
      </c>
      <c r="DP91" s="4">
        <v>250</v>
      </c>
      <c r="EA91" s="4">
        <v>3.97</v>
      </c>
      <c r="EB91" s="1">
        <v>0.03</v>
      </c>
      <c r="ED91" s="4">
        <v>3.97</v>
      </c>
      <c r="KZ91" s="1" t="s">
        <v>420</v>
      </c>
      <c r="LA91" s="1" t="s">
        <v>421</v>
      </c>
    </row>
    <row r="92" customHeight="1" spans="1:313">
      <c r="A92" s="3">
        <v>5</v>
      </c>
      <c r="B92" s="4" t="s">
        <v>411</v>
      </c>
      <c r="C92" s="5" t="s">
        <v>412</v>
      </c>
      <c r="D92" s="4" t="s">
        <v>413</v>
      </c>
      <c r="E92" s="4" t="s">
        <v>414</v>
      </c>
      <c r="N92" s="24" t="s">
        <v>415</v>
      </c>
      <c r="O92" s="24" t="s">
        <v>367</v>
      </c>
      <c r="P92" s="4">
        <v>2.65</v>
      </c>
      <c r="T92" s="4">
        <v>39.8</v>
      </c>
      <c r="U92" s="4">
        <v>0.25</v>
      </c>
      <c r="V92" s="4">
        <v>1.94</v>
      </c>
      <c r="AB92" s="4" t="s">
        <v>416</v>
      </c>
      <c r="AD92" s="4" t="s">
        <v>417</v>
      </c>
      <c r="AE92" s="4" t="s">
        <v>418</v>
      </c>
      <c r="AF92" s="4" t="s">
        <v>419</v>
      </c>
      <c r="BI92" s="4" t="s">
        <v>309</v>
      </c>
      <c r="BN92" s="4">
        <v>0.25</v>
      </c>
      <c r="BS92" s="4">
        <v>3</v>
      </c>
      <c r="BU92" s="4">
        <v>200</v>
      </c>
      <c r="BW92" s="4">
        <v>25</v>
      </c>
      <c r="CB92" s="4" t="s">
        <v>7</v>
      </c>
      <c r="CC92" s="4">
        <v>250</v>
      </c>
      <c r="DO92" s="4">
        <v>3</v>
      </c>
      <c r="DP92" s="4">
        <v>250</v>
      </c>
      <c r="EA92" s="4">
        <v>57.88</v>
      </c>
      <c r="EB92" s="1">
        <v>0</v>
      </c>
      <c r="ED92" s="4">
        <v>57.88</v>
      </c>
      <c r="KZ92" s="1" t="s">
        <v>422</v>
      </c>
      <c r="LA92" s="1" t="s">
        <v>423</v>
      </c>
    </row>
    <row r="93" customHeight="1" spans="1:313">
      <c r="A93" s="3">
        <v>5</v>
      </c>
      <c r="B93" s="4" t="s">
        <v>411</v>
      </c>
      <c r="C93" s="5" t="s">
        <v>412</v>
      </c>
      <c r="D93" s="4" t="s">
        <v>413</v>
      </c>
      <c r="E93" s="4" t="s">
        <v>414</v>
      </c>
      <c r="N93" s="24" t="s">
        <v>415</v>
      </c>
      <c r="O93" s="24" t="s">
        <v>367</v>
      </c>
      <c r="P93" s="4">
        <v>2.65</v>
      </c>
      <c r="T93" s="4">
        <v>39.8</v>
      </c>
      <c r="U93" s="4">
        <v>0.25</v>
      </c>
      <c r="V93" s="4">
        <v>1.94</v>
      </c>
      <c r="AB93" s="4" t="s">
        <v>416</v>
      </c>
      <c r="AD93" s="4" t="s">
        <v>417</v>
      </c>
      <c r="AE93" s="4" t="s">
        <v>418</v>
      </c>
      <c r="AF93" s="4" t="s">
        <v>419</v>
      </c>
      <c r="BI93" s="4" t="s">
        <v>309</v>
      </c>
      <c r="BN93" s="4">
        <v>0.25</v>
      </c>
      <c r="BS93" s="4">
        <v>4</v>
      </c>
      <c r="BU93" s="4">
        <v>200</v>
      </c>
      <c r="BW93" s="4">
        <v>25</v>
      </c>
      <c r="CB93" s="4" t="s">
        <v>7</v>
      </c>
      <c r="CC93" s="4">
        <v>250</v>
      </c>
      <c r="DO93" s="4">
        <v>3</v>
      </c>
      <c r="DP93" s="4">
        <v>250</v>
      </c>
      <c r="EA93" s="4">
        <v>100</v>
      </c>
      <c r="EB93" s="1">
        <v>0</v>
      </c>
      <c r="ED93" s="4">
        <v>100</v>
      </c>
    </row>
    <row r="94" customHeight="1" spans="1:313">
      <c r="A94" s="3">
        <v>5</v>
      </c>
      <c r="B94" s="4" t="s">
        <v>411</v>
      </c>
      <c r="C94" s="5" t="s">
        <v>412</v>
      </c>
      <c r="D94" s="4" t="s">
        <v>413</v>
      </c>
      <c r="E94" s="4" t="s">
        <v>414</v>
      </c>
      <c r="N94" s="24" t="s">
        <v>415</v>
      </c>
      <c r="O94" s="24" t="s">
        <v>367</v>
      </c>
      <c r="P94" s="4">
        <v>2.65</v>
      </c>
      <c r="T94" s="4">
        <v>39.8</v>
      </c>
      <c r="U94" s="4">
        <v>0.25</v>
      </c>
      <c r="V94" s="4">
        <v>1.94</v>
      </c>
      <c r="AB94" s="4" t="s">
        <v>416</v>
      </c>
      <c r="AD94" s="4" t="s">
        <v>417</v>
      </c>
      <c r="AE94" s="4" t="s">
        <v>418</v>
      </c>
      <c r="AF94" s="4" t="s">
        <v>419</v>
      </c>
      <c r="BI94" s="4" t="s">
        <v>309</v>
      </c>
      <c r="BN94" s="4">
        <v>0.25</v>
      </c>
      <c r="BS94" s="4">
        <v>5</v>
      </c>
      <c r="BU94" s="4">
        <v>200</v>
      </c>
      <c r="BW94" s="4">
        <v>25</v>
      </c>
      <c r="CB94" s="4" t="s">
        <v>7</v>
      </c>
      <c r="CC94" s="4">
        <v>250</v>
      </c>
      <c r="DO94" s="4">
        <v>3</v>
      </c>
      <c r="DP94" s="4">
        <v>250</v>
      </c>
      <c r="EA94" s="4">
        <v>100</v>
      </c>
      <c r="EB94" s="1">
        <v>0</v>
      </c>
      <c r="ED94" s="4">
        <v>100</v>
      </c>
    </row>
    <row r="95" customHeight="1" spans="1:313">
      <c r="A95" s="3">
        <v>5</v>
      </c>
      <c r="B95" s="4" t="s">
        <v>411</v>
      </c>
      <c r="C95" s="5" t="s">
        <v>412</v>
      </c>
      <c r="D95" s="4" t="s">
        <v>413</v>
      </c>
      <c r="E95" s="4" t="s">
        <v>414</v>
      </c>
      <c r="N95" s="24" t="s">
        <v>415</v>
      </c>
      <c r="O95" s="24" t="s">
        <v>367</v>
      </c>
      <c r="P95" s="4">
        <v>2.65</v>
      </c>
      <c r="T95" s="4">
        <v>39.8</v>
      </c>
      <c r="U95" s="4">
        <v>0.25</v>
      </c>
      <c r="V95" s="4">
        <v>1.94</v>
      </c>
      <c r="AB95" s="4" t="s">
        <v>416</v>
      </c>
      <c r="AD95" s="4" t="s">
        <v>417</v>
      </c>
      <c r="AE95" s="4" t="s">
        <v>418</v>
      </c>
      <c r="AF95" s="4" t="s">
        <v>419</v>
      </c>
      <c r="BI95" s="4" t="s">
        <v>309</v>
      </c>
      <c r="BN95" s="4">
        <v>0.25</v>
      </c>
      <c r="BS95" s="4">
        <v>6</v>
      </c>
      <c r="BU95" s="4">
        <v>200</v>
      </c>
      <c r="BW95" s="4">
        <v>25</v>
      </c>
      <c r="CB95" s="4" t="s">
        <v>7</v>
      </c>
      <c r="CC95" s="4">
        <v>250</v>
      </c>
      <c r="DO95" s="4">
        <v>3</v>
      </c>
      <c r="DP95" s="4">
        <v>250</v>
      </c>
      <c r="EA95" s="4">
        <v>100</v>
      </c>
      <c r="EB95" s="1">
        <v>0</v>
      </c>
      <c r="ED95" s="4">
        <v>100</v>
      </c>
      <c r="KZ95" s="1" t="s">
        <v>424</v>
      </c>
      <c r="LA95" s="1" t="s">
        <v>425</v>
      </c>
    </row>
    <row r="96" customHeight="1" spans="1:313">
      <c r="A96" s="3">
        <v>5</v>
      </c>
      <c r="B96" s="4" t="s">
        <v>411</v>
      </c>
      <c r="C96" s="5" t="s">
        <v>412</v>
      </c>
      <c r="D96" s="4" t="s">
        <v>413</v>
      </c>
      <c r="E96" s="4" t="s">
        <v>414</v>
      </c>
      <c r="N96" s="24" t="s">
        <v>415</v>
      </c>
      <c r="O96" s="24" t="s">
        <v>367</v>
      </c>
      <c r="P96" s="4">
        <v>2.65</v>
      </c>
      <c r="T96" s="4">
        <v>39.8</v>
      </c>
      <c r="U96" s="4">
        <v>0.25</v>
      </c>
      <c r="V96" s="4">
        <v>1.94</v>
      </c>
      <c r="AB96" s="4" t="s">
        <v>416</v>
      </c>
      <c r="AD96" s="4" t="s">
        <v>417</v>
      </c>
      <c r="AE96" s="4" t="s">
        <v>418</v>
      </c>
      <c r="AF96" s="4" t="s">
        <v>419</v>
      </c>
      <c r="BI96" s="4" t="s">
        <v>309</v>
      </c>
      <c r="BN96" s="4">
        <v>0.25</v>
      </c>
      <c r="BS96" s="4">
        <v>7</v>
      </c>
      <c r="BU96" s="4">
        <v>200</v>
      </c>
      <c r="BW96" s="4">
        <v>25</v>
      </c>
      <c r="CB96" s="4" t="s">
        <v>7</v>
      </c>
      <c r="CC96" s="4">
        <v>250</v>
      </c>
      <c r="DO96" s="4">
        <v>3</v>
      </c>
      <c r="DP96" s="4">
        <v>250</v>
      </c>
      <c r="EA96" s="4">
        <v>100</v>
      </c>
      <c r="EB96" s="1">
        <v>0</v>
      </c>
      <c r="ED96" s="4">
        <v>100</v>
      </c>
    </row>
    <row r="97" customHeight="1" spans="1:179">
      <c r="A97" s="3">
        <v>5</v>
      </c>
      <c r="B97" s="4" t="s">
        <v>411</v>
      </c>
      <c r="C97" s="5" t="s">
        <v>412</v>
      </c>
      <c r="D97" s="4" t="s">
        <v>413</v>
      </c>
      <c r="E97" s="4" t="s">
        <v>414</v>
      </c>
      <c r="N97" s="24" t="s">
        <v>415</v>
      </c>
      <c r="O97" s="24" t="s">
        <v>367</v>
      </c>
      <c r="P97" s="4">
        <v>2.65</v>
      </c>
      <c r="T97" s="4">
        <v>39.8</v>
      </c>
      <c r="U97" s="4">
        <v>0.25</v>
      </c>
      <c r="V97" s="4">
        <v>1.94</v>
      </c>
      <c r="AB97" s="4" t="s">
        <v>416</v>
      </c>
      <c r="AD97" s="4" t="s">
        <v>417</v>
      </c>
      <c r="AE97" s="4" t="s">
        <v>418</v>
      </c>
      <c r="AF97" s="4" t="s">
        <v>419</v>
      </c>
      <c r="BI97" s="4" t="s">
        <v>309</v>
      </c>
      <c r="BN97" s="4">
        <v>0.25</v>
      </c>
      <c r="BS97" s="4">
        <v>8</v>
      </c>
      <c r="BU97" s="4">
        <v>200</v>
      </c>
      <c r="BW97" s="4">
        <v>25</v>
      </c>
      <c r="CB97" s="4" t="s">
        <v>7</v>
      </c>
      <c r="CC97" s="4">
        <v>250</v>
      </c>
      <c r="DO97" s="4">
        <v>3</v>
      </c>
      <c r="DP97" s="4">
        <v>250</v>
      </c>
      <c r="EA97" s="4">
        <v>100</v>
      </c>
      <c r="EB97" s="1">
        <v>0</v>
      </c>
      <c r="ED97" s="4">
        <v>100</v>
      </c>
    </row>
    <row r="98" customHeight="1" spans="1:179">
      <c r="A98" s="3">
        <v>5</v>
      </c>
      <c r="B98" s="4" t="s">
        <v>411</v>
      </c>
      <c r="C98" s="5" t="s">
        <v>412</v>
      </c>
      <c r="D98" s="4" t="s">
        <v>413</v>
      </c>
      <c r="E98" s="4" t="s">
        <v>414</v>
      </c>
      <c r="N98" s="24" t="s">
        <v>415</v>
      </c>
      <c r="O98" s="24" t="s">
        <v>367</v>
      </c>
      <c r="P98" s="4">
        <v>2.65</v>
      </c>
      <c r="T98" s="4">
        <v>39.8</v>
      </c>
      <c r="U98" s="4">
        <v>0.25</v>
      </c>
      <c r="V98" s="4">
        <v>1.94</v>
      </c>
      <c r="AB98" s="4" t="s">
        <v>416</v>
      </c>
      <c r="AD98" s="4" t="s">
        <v>417</v>
      </c>
      <c r="AE98" s="4" t="s">
        <v>418</v>
      </c>
      <c r="AF98" s="4" t="s">
        <v>419</v>
      </c>
      <c r="BI98" s="4" t="s">
        <v>309</v>
      </c>
      <c r="BN98" s="4">
        <v>0.25</v>
      </c>
      <c r="BS98" s="4">
        <v>9</v>
      </c>
      <c r="BU98" s="4">
        <v>200</v>
      </c>
      <c r="BW98" s="4">
        <v>25</v>
      </c>
      <c r="CB98" s="4" t="s">
        <v>7</v>
      </c>
      <c r="CC98" s="4">
        <v>250</v>
      </c>
      <c r="DO98" s="4">
        <v>3</v>
      </c>
      <c r="DP98" s="4">
        <v>250</v>
      </c>
      <c r="EA98" s="4">
        <v>100</v>
      </c>
      <c r="EB98" s="1">
        <v>0</v>
      </c>
      <c r="ED98" s="4">
        <v>100</v>
      </c>
    </row>
    <row r="99" customHeight="1" spans="1:179">
      <c r="A99" s="3">
        <v>5</v>
      </c>
      <c r="B99" s="4" t="s">
        <v>411</v>
      </c>
      <c r="C99" s="5" t="s">
        <v>412</v>
      </c>
      <c r="D99" s="4" t="s">
        <v>413</v>
      </c>
      <c r="E99" s="4" t="s">
        <v>414</v>
      </c>
      <c r="N99" s="24" t="s">
        <v>415</v>
      </c>
      <c r="O99" s="24" t="s">
        <v>367</v>
      </c>
      <c r="P99" s="4">
        <v>2.65</v>
      </c>
      <c r="T99" s="4">
        <v>39.8</v>
      </c>
      <c r="U99" s="4">
        <v>0.25</v>
      </c>
      <c r="V99" s="4">
        <v>1.94</v>
      </c>
      <c r="AB99" s="4" t="s">
        <v>416</v>
      </c>
      <c r="AD99" s="4" t="s">
        <v>417</v>
      </c>
      <c r="AE99" s="4" t="s">
        <v>418</v>
      </c>
      <c r="AF99" s="4" t="s">
        <v>419</v>
      </c>
      <c r="BI99" s="4" t="s">
        <v>309</v>
      </c>
      <c r="BN99" s="4">
        <v>0.25</v>
      </c>
      <c r="BS99" s="4">
        <v>5.3</v>
      </c>
      <c r="BU99" s="4">
        <v>200</v>
      </c>
      <c r="BV99" s="4" t="s">
        <v>426</v>
      </c>
      <c r="BW99" s="4">
        <v>25</v>
      </c>
      <c r="CB99" s="4" t="s">
        <v>7</v>
      </c>
      <c r="CC99" s="4">
        <v>100</v>
      </c>
      <c r="CV99" s="4">
        <v>180</v>
      </c>
      <c r="CX99" s="4" t="s">
        <v>314</v>
      </c>
      <c r="DO99" s="4">
        <v>3</v>
      </c>
      <c r="DP99" s="4">
        <v>100</v>
      </c>
    </row>
    <row r="100" customHeight="1" spans="1:179">
      <c r="A100" s="3">
        <v>5</v>
      </c>
      <c r="B100" s="4" t="s">
        <v>411</v>
      </c>
      <c r="C100" s="5" t="s">
        <v>412</v>
      </c>
      <c r="D100" s="4" t="s">
        <v>413</v>
      </c>
      <c r="E100" s="4" t="s">
        <v>414</v>
      </c>
      <c r="N100" s="24" t="s">
        <v>415</v>
      </c>
      <c r="O100" s="24" t="s">
        <v>367</v>
      </c>
      <c r="P100" s="4">
        <v>2.65</v>
      </c>
      <c r="T100" s="4">
        <v>39.8</v>
      </c>
      <c r="U100" s="4">
        <v>0.25</v>
      </c>
      <c r="V100" s="4">
        <v>1.94</v>
      </c>
      <c r="AB100" s="4" t="s">
        <v>416</v>
      </c>
      <c r="AD100" s="4" t="s">
        <v>417</v>
      </c>
      <c r="AE100" s="4" t="s">
        <v>418</v>
      </c>
      <c r="AF100" s="4" t="s">
        <v>419</v>
      </c>
      <c r="BI100" s="4" t="s">
        <v>309</v>
      </c>
      <c r="BN100" s="4">
        <v>0.25</v>
      </c>
      <c r="BS100" s="4">
        <v>7</v>
      </c>
      <c r="BU100" s="4">
        <v>200</v>
      </c>
      <c r="BW100" s="4">
        <v>25</v>
      </c>
      <c r="CB100" s="4" t="s">
        <v>7</v>
      </c>
      <c r="CC100" s="4" t="s">
        <v>427</v>
      </c>
      <c r="DB100" s="4" t="s">
        <v>312</v>
      </c>
      <c r="DC100" s="4" t="s">
        <v>428</v>
      </c>
      <c r="DE100" s="4">
        <v>567</v>
      </c>
      <c r="DO100" s="4">
        <v>3</v>
      </c>
      <c r="DP100" s="4" t="s">
        <v>427</v>
      </c>
    </row>
    <row r="101" customHeight="1" spans="1:179">
      <c r="A101" s="3">
        <v>5</v>
      </c>
      <c r="B101" s="4" t="s">
        <v>411</v>
      </c>
      <c r="C101" s="5" t="s">
        <v>412</v>
      </c>
      <c r="D101" s="4" t="s">
        <v>413</v>
      </c>
      <c r="E101" s="4" t="s">
        <v>414</v>
      </c>
      <c r="N101" s="24" t="s">
        <v>415</v>
      </c>
      <c r="O101" s="24" t="s">
        <v>367</v>
      </c>
      <c r="P101" s="4">
        <v>2.65</v>
      </c>
      <c r="T101" s="4">
        <v>39.8</v>
      </c>
      <c r="U101" s="4">
        <v>0.25</v>
      </c>
      <c r="V101" s="4">
        <v>1.94</v>
      </c>
      <c r="AB101" s="4" t="s">
        <v>416</v>
      </c>
      <c r="AD101" s="4" t="s">
        <v>417</v>
      </c>
      <c r="AE101" s="4" t="s">
        <v>418</v>
      </c>
      <c r="AF101" s="4" t="s">
        <v>419</v>
      </c>
      <c r="BI101" s="4" t="s">
        <v>309</v>
      </c>
      <c r="BN101" s="4">
        <v>1.65</v>
      </c>
      <c r="BS101" s="4">
        <v>2</v>
      </c>
      <c r="BU101" s="4">
        <v>200</v>
      </c>
      <c r="BW101" s="4">
        <v>25</v>
      </c>
      <c r="CB101" s="4" t="s">
        <v>429</v>
      </c>
      <c r="CC101" s="4">
        <v>1667</v>
      </c>
      <c r="DO101" s="4">
        <v>3</v>
      </c>
      <c r="FT101" s="4">
        <v>78.91</v>
      </c>
      <c r="FU101" s="1">
        <v>0.99</v>
      </c>
      <c r="FW101" s="4">
        <v>78.91</v>
      </c>
    </row>
    <row r="102" customHeight="1" spans="1:179">
      <c r="A102" s="3">
        <v>5</v>
      </c>
      <c r="B102" s="4" t="s">
        <v>411</v>
      </c>
      <c r="C102" s="5" t="s">
        <v>412</v>
      </c>
      <c r="D102" s="4" t="s">
        <v>413</v>
      </c>
      <c r="E102" s="4" t="s">
        <v>414</v>
      </c>
      <c r="N102" s="24" t="s">
        <v>415</v>
      </c>
      <c r="O102" s="24" t="s">
        <v>367</v>
      </c>
      <c r="P102" s="4">
        <v>2.65</v>
      </c>
      <c r="T102" s="4">
        <v>39.8</v>
      </c>
      <c r="U102" s="4">
        <v>0.25</v>
      </c>
      <c r="V102" s="4">
        <v>1.94</v>
      </c>
      <c r="AB102" s="4" t="s">
        <v>416</v>
      </c>
      <c r="AD102" s="4" t="s">
        <v>417</v>
      </c>
      <c r="AE102" s="4" t="s">
        <v>418</v>
      </c>
      <c r="AF102" s="4" t="s">
        <v>419</v>
      </c>
      <c r="BI102" s="4" t="s">
        <v>309</v>
      </c>
      <c r="BN102" s="4">
        <v>1.65</v>
      </c>
      <c r="BS102" s="4">
        <v>3</v>
      </c>
      <c r="BU102" s="4">
        <v>200</v>
      </c>
      <c r="BW102" s="4">
        <v>25</v>
      </c>
      <c r="CB102" s="4" t="s">
        <v>429</v>
      </c>
      <c r="CC102" s="4">
        <v>1667</v>
      </c>
      <c r="DO102" s="4">
        <v>3</v>
      </c>
      <c r="FT102" s="4">
        <v>79.53</v>
      </c>
      <c r="FU102" s="1">
        <v>1.12</v>
      </c>
      <c r="FW102" s="4">
        <v>79.53</v>
      </c>
    </row>
    <row r="103" customHeight="1" spans="1:179">
      <c r="A103" s="3">
        <v>5</v>
      </c>
      <c r="B103" s="4" t="s">
        <v>411</v>
      </c>
      <c r="C103" s="5" t="s">
        <v>412</v>
      </c>
      <c r="D103" s="4" t="s">
        <v>413</v>
      </c>
      <c r="E103" s="4" t="s">
        <v>414</v>
      </c>
      <c r="N103" s="24" t="s">
        <v>415</v>
      </c>
      <c r="O103" s="24" t="s">
        <v>367</v>
      </c>
      <c r="P103" s="4">
        <v>2.65</v>
      </c>
      <c r="T103" s="4">
        <v>39.8</v>
      </c>
      <c r="U103" s="4">
        <v>0.25</v>
      </c>
      <c r="V103" s="4">
        <v>1.94</v>
      </c>
      <c r="AB103" s="4" t="s">
        <v>416</v>
      </c>
      <c r="AD103" s="4" t="s">
        <v>417</v>
      </c>
      <c r="AE103" s="4" t="s">
        <v>418</v>
      </c>
      <c r="AF103" s="4" t="s">
        <v>419</v>
      </c>
      <c r="BI103" s="4" t="s">
        <v>309</v>
      </c>
      <c r="BN103" s="4">
        <v>1.65</v>
      </c>
      <c r="BS103" s="4">
        <v>4</v>
      </c>
      <c r="BU103" s="4">
        <v>200</v>
      </c>
      <c r="BW103" s="4">
        <v>25</v>
      </c>
      <c r="CB103" s="4" t="s">
        <v>429</v>
      </c>
      <c r="CC103" s="4">
        <v>1667</v>
      </c>
      <c r="DO103" s="4">
        <v>3</v>
      </c>
      <c r="FT103" s="4">
        <v>86.6</v>
      </c>
      <c r="FU103" s="1">
        <v>0.87</v>
      </c>
      <c r="FW103" s="4">
        <v>86.6</v>
      </c>
    </row>
    <row r="104" customHeight="1" spans="1:179">
      <c r="A104" s="3">
        <v>5</v>
      </c>
      <c r="B104" s="4" t="s">
        <v>411</v>
      </c>
      <c r="C104" s="5" t="s">
        <v>412</v>
      </c>
      <c r="D104" s="4" t="s">
        <v>413</v>
      </c>
      <c r="E104" s="4" t="s">
        <v>414</v>
      </c>
      <c r="N104" s="24" t="s">
        <v>415</v>
      </c>
      <c r="O104" s="24" t="s">
        <v>367</v>
      </c>
      <c r="P104" s="4">
        <v>2.65</v>
      </c>
      <c r="T104" s="4">
        <v>39.8</v>
      </c>
      <c r="U104" s="4">
        <v>0.25</v>
      </c>
      <c r="V104" s="4">
        <v>1.94</v>
      </c>
      <c r="AB104" s="4" t="s">
        <v>416</v>
      </c>
      <c r="AD104" s="4" t="s">
        <v>417</v>
      </c>
      <c r="AE104" s="4" t="s">
        <v>418</v>
      </c>
      <c r="AF104" s="4" t="s">
        <v>419</v>
      </c>
      <c r="BI104" s="4" t="s">
        <v>309</v>
      </c>
      <c r="BN104" s="4">
        <v>1.65</v>
      </c>
      <c r="BS104" s="4">
        <v>5</v>
      </c>
      <c r="BU104" s="4">
        <v>200</v>
      </c>
      <c r="BW104" s="4">
        <v>25</v>
      </c>
      <c r="CB104" s="4" t="s">
        <v>429</v>
      </c>
      <c r="CC104" s="4">
        <v>1667</v>
      </c>
      <c r="DO104" s="4">
        <v>3</v>
      </c>
      <c r="FT104" s="4">
        <v>83.62</v>
      </c>
      <c r="FU104" s="1">
        <v>5.22</v>
      </c>
      <c r="FW104" s="4">
        <v>83.62</v>
      </c>
    </row>
    <row r="105" customHeight="1" spans="1:179">
      <c r="A105" s="3">
        <v>5</v>
      </c>
      <c r="B105" s="4" t="s">
        <v>411</v>
      </c>
      <c r="C105" s="5" t="s">
        <v>412</v>
      </c>
      <c r="D105" s="4" t="s">
        <v>413</v>
      </c>
      <c r="E105" s="4" t="s">
        <v>414</v>
      </c>
      <c r="N105" s="24" t="s">
        <v>415</v>
      </c>
      <c r="O105" s="24" t="s">
        <v>367</v>
      </c>
      <c r="P105" s="4">
        <v>2.65</v>
      </c>
      <c r="T105" s="4">
        <v>39.8</v>
      </c>
      <c r="U105" s="4">
        <v>0.25</v>
      </c>
      <c r="V105" s="4">
        <v>1.94</v>
      </c>
      <c r="AB105" s="4" t="s">
        <v>416</v>
      </c>
      <c r="AD105" s="4" t="s">
        <v>417</v>
      </c>
      <c r="AE105" s="4" t="s">
        <v>418</v>
      </c>
      <c r="AF105" s="4" t="s">
        <v>419</v>
      </c>
      <c r="BI105" s="4" t="s">
        <v>309</v>
      </c>
      <c r="BN105" s="4">
        <v>1.65</v>
      </c>
      <c r="BS105" s="4">
        <v>6</v>
      </c>
      <c r="BU105" s="4">
        <v>200</v>
      </c>
      <c r="BW105" s="4">
        <v>25</v>
      </c>
      <c r="CB105" s="4" t="s">
        <v>429</v>
      </c>
      <c r="CC105" s="4">
        <v>1667</v>
      </c>
      <c r="DO105" s="4">
        <v>3</v>
      </c>
      <c r="FT105" s="4">
        <v>80.27</v>
      </c>
      <c r="FU105" s="1">
        <v>0.97</v>
      </c>
      <c r="FW105" s="4">
        <v>80.27</v>
      </c>
    </row>
    <row r="106" customHeight="1" spans="1:179">
      <c r="A106" s="3">
        <v>5</v>
      </c>
      <c r="B106" s="4" t="s">
        <v>411</v>
      </c>
      <c r="C106" s="5" t="s">
        <v>412</v>
      </c>
      <c r="D106" s="4" t="s">
        <v>413</v>
      </c>
      <c r="E106" s="4" t="s">
        <v>414</v>
      </c>
      <c r="N106" s="24" t="s">
        <v>415</v>
      </c>
      <c r="O106" s="24" t="s">
        <v>367</v>
      </c>
      <c r="P106" s="4">
        <v>2.65</v>
      </c>
      <c r="T106" s="4">
        <v>39.8</v>
      </c>
      <c r="U106" s="4">
        <v>0.25</v>
      </c>
      <c r="V106" s="4">
        <v>1.94</v>
      </c>
      <c r="AB106" s="4" t="s">
        <v>416</v>
      </c>
      <c r="AD106" s="4" t="s">
        <v>417</v>
      </c>
      <c r="AE106" s="4" t="s">
        <v>418</v>
      </c>
      <c r="AF106" s="4" t="s">
        <v>419</v>
      </c>
      <c r="BI106" s="4" t="s">
        <v>309</v>
      </c>
      <c r="BN106" s="4">
        <v>1.65</v>
      </c>
      <c r="BS106" s="4">
        <v>7</v>
      </c>
      <c r="BU106" s="4">
        <v>200</v>
      </c>
      <c r="BW106" s="4">
        <v>25</v>
      </c>
      <c r="CB106" s="4" t="s">
        <v>429</v>
      </c>
      <c r="CC106" s="4">
        <v>1667</v>
      </c>
      <c r="DO106" s="4">
        <v>3</v>
      </c>
      <c r="FT106" s="4">
        <v>89.21</v>
      </c>
      <c r="FU106" s="1">
        <v>0.75</v>
      </c>
      <c r="FW106" s="4">
        <v>89.21</v>
      </c>
    </row>
    <row r="107" customHeight="1" spans="1:179">
      <c r="A107" s="3">
        <v>5</v>
      </c>
      <c r="B107" s="4" t="s">
        <v>411</v>
      </c>
      <c r="C107" s="5" t="s">
        <v>412</v>
      </c>
      <c r="D107" s="4" t="s">
        <v>413</v>
      </c>
      <c r="E107" s="4" t="s">
        <v>414</v>
      </c>
      <c r="N107" s="24" t="s">
        <v>415</v>
      </c>
      <c r="O107" s="24" t="s">
        <v>367</v>
      </c>
      <c r="P107" s="4">
        <v>2.65</v>
      </c>
      <c r="T107" s="4">
        <v>39.8</v>
      </c>
      <c r="U107" s="4">
        <v>0.25</v>
      </c>
      <c r="V107" s="4">
        <v>1.94</v>
      </c>
      <c r="AB107" s="4" t="s">
        <v>416</v>
      </c>
      <c r="AD107" s="4" t="s">
        <v>417</v>
      </c>
      <c r="AE107" s="4" t="s">
        <v>418</v>
      </c>
      <c r="AF107" s="4" t="s">
        <v>419</v>
      </c>
      <c r="BI107" s="4" t="s">
        <v>309</v>
      </c>
      <c r="BN107" s="4">
        <v>1.65</v>
      </c>
      <c r="BS107" s="4">
        <v>8</v>
      </c>
      <c r="BU107" s="4">
        <v>200</v>
      </c>
      <c r="BW107" s="4">
        <v>25</v>
      </c>
      <c r="CB107" s="4" t="s">
        <v>429</v>
      </c>
      <c r="CC107" s="4">
        <v>1667</v>
      </c>
      <c r="DO107" s="4">
        <v>3</v>
      </c>
      <c r="FT107" s="4">
        <v>75.56</v>
      </c>
      <c r="FU107" s="1">
        <v>1.12</v>
      </c>
      <c r="FW107" s="4">
        <v>75.56</v>
      </c>
    </row>
    <row r="108" customHeight="1" spans="1:179">
      <c r="A108" s="3">
        <v>5</v>
      </c>
      <c r="B108" s="4" t="s">
        <v>411</v>
      </c>
      <c r="C108" s="5" t="s">
        <v>412</v>
      </c>
      <c r="D108" s="4" t="s">
        <v>413</v>
      </c>
      <c r="E108" s="4" t="s">
        <v>414</v>
      </c>
      <c r="N108" s="24" t="s">
        <v>415</v>
      </c>
      <c r="O108" s="24" t="s">
        <v>367</v>
      </c>
      <c r="P108" s="4">
        <v>2.65</v>
      </c>
      <c r="T108" s="4">
        <v>39.8</v>
      </c>
      <c r="U108" s="4">
        <v>0.25</v>
      </c>
      <c r="V108" s="4">
        <v>1.94</v>
      </c>
      <c r="AB108" s="4" t="s">
        <v>416</v>
      </c>
      <c r="AD108" s="4" t="s">
        <v>417</v>
      </c>
      <c r="AE108" s="4" t="s">
        <v>418</v>
      </c>
      <c r="AF108" s="4" t="s">
        <v>419</v>
      </c>
      <c r="BI108" s="4" t="s">
        <v>309</v>
      </c>
      <c r="BN108" s="4">
        <v>1.65</v>
      </c>
      <c r="BS108" s="4">
        <v>9</v>
      </c>
      <c r="BU108" s="4">
        <v>200</v>
      </c>
      <c r="BW108" s="4">
        <v>25</v>
      </c>
      <c r="CB108" s="4" t="s">
        <v>429</v>
      </c>
      <c r="CC108" s="4">
        <v>1667</v>
      </c>
      <c r="DO108" s="4">
        <v>3</v>
      </c>
      <c r="FT108" s="4">
        <v>76.18</v>
      </c>
      <c r="FU108" s="1">
        <v>1.74</v>
      </c>
      <c r="FW108" s="4">
        <v>76.18</v>
      </c>
    </row>
    <row r="109" customHeight="1" spans="1:179">
      <c r="A109" s="3">
        <v>5</v>
      </c>
      <c r="B109" s="4" t="s">
        <v>411</v>
      </c>
      <c r="C109" s="5" t="s">
        <v>412</v>
      </c>
      <c r="D109" s="4" t="s">
        <v>413</v>
      </c>
      <c r="E109" s="4" t="s">
        <v>414</v>
      </c>
      <c r="N109" s="24" t="s">
        <v>415</v>
      </c>
      <c r="O109" s="24" t="s">
        <v>367</v>
      </c>
      <c r="P109" s="4">
        <v>2.65</v>
      </c>
      <c r="T109" s="4">
        <v>39.8</v>
      </c>
      <c r="U109" s="4">
        <v>0.25</v>
      </c>
      <c r="V109" s="4">
        <v>1.94</v>
      </c>
      <c r="AB109" s="4" t="s">
        <v>416</v>
      </c>
      <c r="AD109" s="4" t="s">
        <v>417</v>
      </c>
      <c r="AE109" s="4" t="s">
        <v>418</v>
      </c>
      <c r="AF109" s="4" t="s">
        <v>419</v>
      </c>
      <c r="BI109" s="4" t="s">
        <v>309</v>
      </c>
      <c r="BN109" s="4">
        <v>1.65</v>
      </c>
      <c r="BS109" s="4">
        <v>10</v>
      </c>
      <c r="BU109" s="4">
        <v>200</v>
      </c>
      <c r="BW109" s="4">
        <v>25</v>
      </c>
      <c r="CB109" s="4" t="s">
        <v>429</v>
      </c>
      <c r="CC109" s="4">
        <v>1667</v>
      </c>
      <c r="DO109" s="4">
        <v>3</v>
      </c>
      <c r="FT109" s="4">
        <v>93.92</v>
      </c>
      <c r="FU109" s="1">
        <v>0.99</v>
      </c>
      <c r="FW109" s="4">
        <v>93.92</v>
      </c>
    </row>
    <row r="110" customHeight="1" spans="1:179">
      <c r="A110" s="3">
        <v>5</v>
      </c>
      <c r="B110" s="4" t="s">
        <v>411</v>
      </c>
      <c r="C110" s="5" t="s">
        <v>412</v>
      </c>
      <c r="D110" s="4" t="s">
        <v>413</v>
      </c>
      <c r="E110" s="4" t="s">
        <v>414</v>
      </c>
      <c r="N110" s="24" t="s">
        <v>415</v>
      </c>
      <c r="O110" s="24" t="s">
        <v>367</v>
      </c>
      <c r="P110" s="4">
        <v>2.65</v>
      </c>
      <c r="T110" s="4">
        <v>39.8</v>
      </c>
      <c r="U110" s="4">
        <v>0.25</v>
      </c>
      <c r="V110" s="4">
        <v>1.94</v>
      </c>
      <c r="AB110" s="4" t="s">
        <v>416</v>
      </c>
      <c r="AD110" s="4" t="s">
        <v>417</v>
      </c>
      <c r="AE110" s="4" t="s">
        <v>418</v>
      </c>
      <c r="AF110" s="4" t="s">
        <v>419</v>
      </c>
      <c r="BI110" s="4" t="s">
        <v>309</v>
      </c>
      <c r="BN110" s="4">
        <v>1.65</v>
      </c>
      <c r="BS110" s="4">
        <v>11</v>
      </c>
      <c r="BU110" s="4">
        <v>200</v>
      </c>
      <c r="BW110" s="4">
        <v>25</v>
      </c>
      <c r="CB110" s="4" t="s">
        <v>429</v>
      </c>
      <c r="CC110" s="4">
        <v>1667</v>
      </c>
      <c r="DO110" s="4">
        <v>3</v>
      </c>
      <c r="FT110" s="4">
        <v>97.15</v>
      </c>
      <c r="FU110" s="1">
        <v>1.12</v>
      </c>
      <c r="FW110" s="4">
        <v>97.15</v>
      </c>
    </row>
    <row r="111" customHeight="1" spans="1:179">
      <c r="A111" s="3">
        <v>5</v>
      </c>
      <c r="B111" s="4" t="s">
        <v>411</v>
      </c>
      <c r="C111" s="5" t="s">
        <v>412</v>
      </c>
      <c r="D111" s="4" t="s">
        <v>413</v>
      </c>
      <c r="E111" s="4" t="s">
        <v>414</v>
      </c>
      <c r="N111" s="24" t="s">
        <v>415</v>
      </c>
      <c r="O111" s="24" t="s">
        <v>367</v>
      </c>
      <c r="P111" s="4">
        <v>2.65</v>
      </c>
      <c r="T111" s="4">
        <v>39.8</v>
      </c>
      <c r="U111" s="4">
        <v>0.25</v>
      </c>
      <c r="V111" s="4">
        <v>1.94</v>
      </c>
      <c r="AB111" s="4" t="s">
        <v>416</v>
      </c>
      <c r="AD111" s="4" t="s">
        <v>417</v>
      </c>
      <c r="AE111" s="4" t="s">
        <v>418</v>
      </c>
      <c r="AF111" s="4" t="s">
        <v>419</v>
      </c>
      <c r="BI111" s="4" t="s">
        <v>309</v>
      </c>
      <c r="BN111" s="4">
        <v>1.65</v>
      </c>
      <c r="BS111" s="4">
        <v>12</v>
      </c>
      <c r="BU111" s="4">
        <v>200</v>
      </c>
      <c r="BW111" s="4">
        <v>25</v>
      </c>
      <c r="CB111" s="4" t="s">
        <v>429</v>
      </c>
      <c r="CC111" s="4">
        <v>1667</v>
      </c>
      <c r="DO111" s="4">
        <v>3</v>
      </c>
      <c r="FT111" s="4">
        <v>88.08</v>
      </c>
      <c r="FU111" s="1">
        <v>0.99</v>
      </c>
      <c r="FW111" s="4">
        <v>88.08</v>
      </c>
    </row>
    <row r="112" customHeight="1" spans="1:179">
      <c r="A112" s="3">
        <v>5</v>
      </c>
      <c r="B112" s="4" t="s">
        <v>411</v>
      </c>
      <c r="C112" s="5" t="s">
        <v>412</v>
      </c>
      <c r="D112" s="4" t="s">
        <v>413</v>
      </c>
      <c r="E112" s="4" t="s">
        <v>414</v>
      </c>
      <c r="N112" s="24" t="s">
        <v>415</v>
      </c>
      <c r="O112" s="24" t="s">
        <v>367</v>
      </c>
      <c r="P112" s="4">
        <v>2.65</v>
      </c>
      <c r="T112" s="4">
        <v>39.8</v>
      </c>
      <c r="U112" s="4">
        <v>0.25</v>
      </c>
      <c r="V112" s="4">
        <v>1.94</v>
      </c>
      <c r="AB112" s="4" t="s">
        <v>416</v>
      </c>
      <c r="AD112" s="4" t="s">
        <v>417</v>
      </c>
      <c r="AE112" s="4" t="s">
        <v>418</v>
      </c>
      <c r="AF112" s="4" t="s">
        <v>419</v>
      </c>
      <c r="BI112" s="4" t="s">
        <v>309</v>
      </c>
      <c r="BN112" s="4">
        <v>1.65</v>
      </c>
      <c r="BS112" s="4">
        <v>8</v>
      </c>
      <c r="BU112" s="4">
        <v>200</v>
      </c>
      <c r="BV112" s="4" t="s">
        <v>426</v>
      </c>
      <c r="BW112" s="4">
        <v>25</v>
      </c>
      <c r="CB112" s="4" t="s">
        <v>429</v>
      </c>
      <c r="CC112" s="4">
        <v>100</v>
      </c>
      <c r="CV112" s="4">
        <v>2880</v>
      </c>
      <c r="CX112" s="4" t="s">
        <v>314</v>
      </c>
      <c r="DO112" s="4">
        <v>3</v>
      </c>
    </row>
    <row r="113" customHeight="1" spans="1:313">
      <c r="A113" s="3">
        <v>5</v>
      </c>
      <c r="B113" s="4" t="s">
        <v>411</v>
      </c>
      <c r="C113" s="5" t="s">
        <v>412</v>
      </c>
      <c r="D113" s="4" t="s">
        <v>413</v>
      </c>
      <c r="E113" s="4" t="s">
        <v>414</v>
      </c>
      <c r="N113" s="24" t="s">
        <v>415</v>
      </c>
      <c r="O113" s="24" t="s">
        <v>367</v>
      </c>
      <c r="P113" s="4">
        <v>2.65</v>
      </c>
      <c r="T113" s="4">
        <v>39.8</v>
      </c>
      <c r="U113" s="4">
        <v>0.25</v>
      </c>
      <c r="V113" s="4">
        <v>1.94</v>
      </c>
      <c r="AB113" s="4" t="s">
        <v>416</v>
      </c>
      <c r="AD113" s="4" t="s">
        <v>417</v>
      </c>
      <c r="AE113" s="4" t="s">
        <v>418</v>
      </c>
      <c r="AF113" s="4" t="s">
        <v>419</v>
      </c>
      <c r="BI113" s="4" t="s">
        <v>309</v>
      </c>
      <c r="BN113" s="4">
        <v>1.65</v>
      </c>
      <c r="BS113" s="4">
        <v>7</v>
      </c>
      <c r="BU113" s="4">
        <v>200</v>
      </c>
      <c r="BW113" s="4">
        <v>25</v>
      </c>
      <c r="CB113" s="4" t="s">
        <v>429</v>
      </c>
      <c r="CC113" s="4">
        <v>200</v>
      </c>
      <c r="DB113" s="4" t="s">
        <v>430</v>
      </c>
      <c r="DC113" s="4" t="s">
        <v>431</v>
      </c>
      <c r="DE113" s="4">
        <v>104</v>
      </c>
      <c r="DO113" s="4">
        <v>3</v>
      </c>
      <c r="FP113" s="29">
        <v>104</v>
      </c>
    </row>
    <row r="114" customHeight="1" spans="1:313">
      <c r="A114" s="3">
        <v>5</v>
      </c>
      <c r="B114" s="4" t="s">
        <v>411</v>
      </c>
      <c r="C114" s="5" t="s">
        <v>412</v>
      </c>
      <c r="D114" s="4" t="s">
        <v>413</v>
      </c>
      <c r="E114" s="4" t="s">
        <v>414</v>
      </c>
      <c r="N114" s="24" t="s">
        <v>415</v>
      </c>
      <c r="O114" s="24" t="s">
        <v>367</v>
      </c>
      <c r="P114" s="4">
        <v>2.65</v>
      </c>
      <c r="T114" s="4">
        <v>39.8</v>
      </c>
      <c r="U114" s="4">
        <v>0.25</v>
      </c>
      <c r="V114" s="4">
        <v>1.94</v>
      </c>
      <c r="AB114" s="4" t="s">
        <v>416</v>
      </c>
      <c r="AD114" s="4" t="s">
        <v>417</v>
      </c>
      <c r="AE114" s="4" t="s">
        <v>418</v>
      </c>
      <c r="AF114" s="4" t="s">
        <v>419</v>
      </c>
      <c r="AG114" s="4" t="s">
        <v>316</v>
      </c>
      <c r="AH114" s="4" t="s">
        <v>432</v>
      </c>
      <c r="AL114" s="4" t="s">
        <v>433</v>
      </c>
      <c r="AM114" s="4">
        <v>7.73</v>
      </c>
      <c r="AN114" s="4">
        <v>18.55</v>
      </c>
      <c r="AQ114" s="4" t="s">
        <v>434</v>
      </c>
      <c r="AR114" s="4">
        <v>0.033</v>
      </c>
      <c r="AS114" s="4" t="s">
        <v>435</v>
      </c>
      <c r="AT114" s="4">
        <v>4.66</v>
      </c>
      <c r="AU114" s="4" t="s">
        <v>436</v>
      </c>
      <c r="AV114" s="4">
        <v>4.51</v>
      </c>
      <c r="AW114" s="4" t="s">
        <v>437</v>
      </c>
      <c r="AX114" s="4">
        <v>4.84</v>
      </c>
      <c r="AY114" s="4" t="s">
        <v>438</v>
      </c>
      <c r="AZ114" s="4">
        <v>14.04</v>
      </c>
      <c r="BA114" s="4" t="s">
        <v>439</v>
      </c>
      <c r="BB114" s="4">
        <v>1.92</v>
      </c>
      <c r="BE114" s="4" t="s">
        <v>440</v>
      </c>
      <c r="BI114" s="4" t="s">
        <v>321</v>
      </c>
      <c r="BL114" s="4">
        <v>10</v>
      </c>
      <c r="BP114" s="4">
        <v>0</v>
      </c>
      <c r="BV114" s="4" t="s">
        <v>322</v>
      </c>
      <c r="CB114" s="4" t="s">
        <v>434</v>
      </c>
      <c r="CC114" s="4">
        <v>0.033</v>
      </c>
      <c r="CE114" s="4" t="s">
        <v>435</v>
      </c>
      <c r="CF114" s="4">
        <v>4.66</v>
      </c>
      <c r="CH114" s="4" t="s">
        <v>436</v>
      </c>
      <c r="CI114" s="4">
        <v>4.51</v>
      </c>
      <c r="CK114" s="4" t="s">
        <v>437</v>
      </c>
      <c r="CL114" s="4">
        <v>4.84</v>
      </c>
      <c r="CN114" s="4" t="s">
        <v>438</v>
      </c>
      <c r="CO114" s="4">
        <v>14.04</v>
      </c>
      <c r="CP114" s="4" t="s">
        <v>439</v>
      </c>
      <c r="CQ114" s="4">
        <v>1.92</v>
      </c>
      <c r="DM114" s="4" t="s">
        <v>322</v>
      </c>
      <c r="DO114" s="4">
        <v>3</v>
      </c>
      <c r="DP114" s="4">
        <v>4.51</v>
      </c>
      <c r="DS114" s="4">
        <v>4.27</v>
      </c>
      <c r="DT114" s="1">
        <v>0.034</v>
      </c>
      <c r="ED114" s="1">
        <v>5.32150776053216</v>
      </c>
      <c r="FJ114" s="1" t="s">
        <v>441</v>
      </c>
      <c r="FL114" s="4">
        <v>1.69</v>
      </c>
      <c r="FM114" s="1">
        <v>0.0093</v>
      </c>
      <c r="FV114" s="1">
        <f>(CQ114-FL114)/CQ114*100</f>
        <v>11.9791666666667</v>
      </c>
      <c r="FW114" s="1">
        <v>11.9791666666667</v>
      </c>
    </row>
    <row r="115" customHeight="1" spans="1:313">
      <c r="A115" s="3">
        <v>5</v>
      </c>
      <c r="B115" s="4" t="s">
        <v>411</v>
      </c>
      <c r="C115" s="5" t="s">
        <v>412</v>
      </c>
      <c r="D115" s="4" t="s">
        <v>413</v>
      </c>
      <c r="E115" s="4" t="s">
        <v>414</v>
      </c>
      <c r="N115" s="24" t="s">
        <v>415</v>
      </c>
      <c r="O115" s="24" t="s">
        <v>367</v>
      </c>
      <c r="P115" s="4">
        <v>2.65</v>
      </c>
      <c r="T115" s="4">
        <v>39.8</v>
      </c>
      <c r="U115" s="4">
        <v>0.25</v>
      </c>
      <c r="V115" s="4">
        <v>1.94</v>
      </c>
      <c r="AB115" s="4" t="s">
        <v>416</v>
      </c>
      <c r="AD115" s="4" t="s">
        <v>417</v>
      </c>
      <c r="AE115" s="4" t="s">
        <v>418</v>
      </c>
      <c r="AF115" s="4" t="s">
        <v>419</v>
      </c>
      <c r="AG115" s="4" t="s">
        <v>316</v>
      </c>
      <c r="AH115" s="4" t="s">
        <v>432</v>
      </c>
      <c r="AL115" s="4" t="s">
        <v>433</v>
      </c>
      <c r="AM115" s="4">
        <v>7.73</v>
      </c>
      <c r="AN115" s="4">
        <v>18.55</v>
      </c>
      <c r="AQ115" s="4" t="s">
        <v>434</v>
      </c>
      <c r="AR115" s="4">
        <v>0.033</v>
      </c>
      <c r="AS115" s="4" t="s">
        <v>435</v>
      </c>
      <c r="AT115" s="4">
        <v>4.66</v>
      </c>
      <c r="AU115" s="4" t="s">
        <v>436</v>
      </c>
      <c r="AV115" s="4">
        <v>4.51</v>
      </c>
      <c r="AW115" s="4" t="s">
        <v>437</v>
      </c>
      <c r="AX115" s="4">
        <v>4.84</v>
      </c>
      <c r="AY115" s="4" t="s">
        <v>438</v>
      </c>
      <c r="AZ115" s="4">
        <v>14.04</v>
      </c>
      <c r="BA115" s="4" t="s">
        <v>439</v>
      </c>
      <c r="BB115" s="4">
        <v>1.92</v>
      </c>
      <c r="BE115" s="4" t="s">
        <v>440</v>
      </c>
      <c r="BI115" s="4" t="s">
        <v>321</v>
      </c>
      <c r="BL115" s="4">
        <v>10</v>
      </c>
      <c r="BP115" s="4">
        <v>1</v>
      </c>
      <c r="BV115" s="4" t="s">
        <v>322</v>
      </c>
      <c r="CB115" s="4" t="s">
        <v>434</v>
      </c>
      <c r="CC115" s="4">
        <v>0.033</v>
      </c>
      <c r="CE115" s="4" t="s">
        <v>435</v>
      </c>
      <c r="CF115" s="4">
        <v>4.66</v>
      </c>
      <c r="CH115" s="4" t="s">
        <v>436</v>
      </c>
      <c r="CI115" s="4">
        <v>4.51</v>
      </c>
      <c r="CK115" s="4" t="s">
        <v>437</v>
      </c>
      <c r="CL115" s="4">
        <v>4.84</v>
      </c>
      <c r="CN115" s="4" t="s">
        <v>438</v>
      </c>
      <c r="CO115" s="4">
        <v>14.04</v>
      </c>
      <c r="CP115" s="4" t="s">
        <v>439</v>
      </c>
      <c r="CQ115" s="4">
        <v>1.92</v>
      </c>
      <c r="DM115" s="4" t="s">
        <v>322</v>
      </c>
      <c r="DO115" s="4">
        <v>3</v>
      </c>
      <c r="DP115" s="4">
        <v>4.51</v>
      </c>
      <c r="DQ115" s="4" t="s">
        <v>442</v>
      </c>
      <c r="DR115" s="1">
        <v>0.034</v>
      </c>
      <c r="DS115" s="4">
        <v>4.44</v>
      </c>
      <c r="DT115" s="1">
        <v>0.23</v>
      </c>
      <c r="ED115" s="1">
        <v>1.5521064301552</v>
      </c>
      <c r="FJ115" s="4" t="s">
        <v>441</v>
      </c>
      <c r="FK115" s="1">
        <v>0.0093</v>
      </c>
      <c r="FL115" s="4">
        <v>0.75</v>
      </c>
      <c r="FM115" s="1">
        <v>0.0046</v>
      </c>
      <c r="FV115" s="1">
        <f t="shared" ref="FV115:FV121" si="2">(CQ115-FL115)/CQ115*100</f>
        <v>60.9375</v>
      </c>
      <c r="FW115" s="1">
        <v>60.9375</v>
      </c>
    </row>
    <row r="116" customHeight="1" spans="1:313">
      <c r="A116" s="3">
        <v>5</v>
      </c>
      <c r="B116" s="4" t="s">
        <v>411</v>
      </c>
      <c r="C116" s="5" t="s">
        <v>412</v>
      </c>
      <c r="D116" s="4" t="s">
        <v>413</v>
      </c>
      <c r="E116" s="4" t="s">
        <v>414</v>
      </c>
      <c r="N116" s="24" t="s">
        <v>415</v>
      </c>
      <c r="O116" s="24" t="s">
        <v>367</v>
      </c>
      <c r="P116" s="4">
        <v>2.65</v>
      </c>
      <c r="T116" s="4">
        <v>39.8</v>
      </c>
      <c r="U116" s="4">
        <v>0.25</v>
      </c>
      <c r="V116" s="4">
        <v>1.94</v>
      </c>
      <c r="AB116" s="4" t="s">
        <v>416</v>
      </c>
      <c r="AD116" s="4" t="s">
        <v>417</v>
      </c>
      <c r="AE116" s="4" t="s">
        <v>418</v>
      </c>
      <c r="AF116" s="4" t="s">
        <v>419</v>
      </c>
      <c r="AG116" s="4" t="s">
        <v>316</v>
      </c>
      <c r="AH116" s="4" t="s">
        <v>432</v>
      </c>
      <c r="AL116" s="4" t="s">
        <v>433</v>
      </c>
      <c r="AM116" s="4">
        <v>7.73</v>
      </c>
      <c r="AN116" s="4">
        <v>18.55</v>
      </c>
      <c r="AQ116" s="4" t="s">
        <v>434</v>
      </c>
      <c r="AR116" s="4">
        <v>0.033</v>
      </c>
      <c r="AS116" s="4" t="s">
        <v>435</v>
      </c>
      <c r="AT116" s="4">
        <v>4.66</v>
      </c>
      <c r="AU116" s="4" t="s">
        <v>436</v>
      </c>
      <c r="AV116" s="4">
        <v>4.51</v>
      </c>
      <c r="AW116" s="4" t="s">
        <v>437</v>
      </c>
      <c r="AX116" s="4">
        <v>4.84</v>
      </c>
      <c r="AY116" s="4" t="s">
        <v>438</v>
      </c>
      <c r="AZ116" s="4">
        <v>14.04</v>
      </c>
      <c r="BA116" s="4" t="s">
        <v>439</v>
      </c>
      <c r="BB116" s="4">
        <v>1.92</v>
      </c>
      <c r="BE116" s="4" t="s">
        <v>440</v>
      </c>
      <c r="BI116" s="4" t="s">
        <v>321</v>
      </c>
      <c r="BL116" s="4">
        <v>10</v>
      </c>
      <c r="BP116" s="4">
        <v>3</v>
      </c>
      <c r="BV116" s="4" t="s">
        <v>322</v>
      </c>
      <c r="CB116" s="4" t="s">
        <v>434</v>
      </c>
      <c r="CC116" s="4">
        <v>0.033</v>
      </c>
      <c r="CE116" s="4" t="s">
        <v>435</v>
      </c>
      <c r="CF116" s="4">
        <v>4.66</v>
      </c>
      <c r="CH116" s="4" t="s">
        <v>436</v>
      </c>
      <c r="CI116" s="4">
        <v>4.51</v>
      </c>
      <c r="CK116" s="4" t="s">
        <v>437</v>
      </c>
      <c r="CL116" s="4">
        <v>4.84</v>
      </c>
      <c r="CN116" s="4" t="s">
        <v>438</v>
      </c>
      <c r="CO116" s="4">
        <v>14.04</v>
      </c>
      <c r="CP116" s="4" t="s">
        <v>439</v>
      </c>
      <c r="CQ116" s="4">
        <v>1.92</v>
      </c>
      <c r="DM116" s="4" t="s">
        <v>322</v>
      </c>
      <c r="DO116" s="4">
        <v>3</v>
      </c>
      <c r="DP116" s="4">
        <v>4.51</v>
      </c>
      <c r="DQ116" s="4" t="s">
        <v>442</v>
      </c>
      <c r="DR116" s="1">
        <v>0.034</v>
      </c>
      <c r="DS116" s="4">
        <v>4.18</v>
      </c>
      <c r="DT116" s="1">
        <v>0.25</v>
      </c>
      <c r="ED116" s="1">
        <v>7.31707317073171</v>
      </c>
      <c r="FJ116" s="4" t="s">
        <v>441</v>
      </c>
      <c r="FK116" s="1">
        <v>0.0093</v>
      </c>
      <c r="FL116" s="4">
        <v>0.4</v>
      </c>
      <c r="FM116" s="1">
        <v>0.0046</v>
      </c>
      <c r="FV116" s="1">
        <f t="shared" si="2"/>
        <v>79.1666666666667</v>
      </c>
      <c r="FW116" s="1">
        <v>79.1666666666667</v>
      </c>
    </row>
    <row r="117" customHeight="1" spans="1:313">
      <c r="A117" s="3">
        <v>5</v>
      </c>
      <c r="B117" s="4" t="s">
        <v>411</v>
      </c>
      <c r="C117" s="5" t="s">
        <v>412</v>
      </c>
      <c r="D117" s="4" t="s">
        <v>413</v>
      </c>
      <c r="E117" s="4" t="s">
        <v>414</v>
      </c>
      <c r="N117" s="24" t="s">
        <v>415</v>
      </c>
      <c r="O117" s="24" t="s">
        <v>367</v>
      </c>
      <c r="P117" s="4">
        <v>2.65</v>
      </c>
      <c r="T117" s="4">
        <v>39.8</v>
      </c>
      <c r="U117" s="4">
        <v>0.25</v>
      </c>
      <c r="V117" s="4">
        <v>1.94</v>
      </c>
      <c r="AB117" s="4" t="s">
        <v>416</v>
      </c>
      <c r="AD117" s="4" t="s">
        <v>417</v>
      </c>
      <c r="AE117" s="4" t="s">
        <v>418</v>
      </c>
      <c r="AF117" s="4" t="s">
        <v>419</v>
      </c>
      <c r="AG117" s="4" t="s">
        <v>316</v>
      </c>
      <c r="AH117" s="4" t="s">
        <v>432</v>
      </c>
      <c r="AL117" s="4" t="s">
        <v>433</v>
      </c>
      <c r="AM117" s="4">
        <v>7.73</v>
      </c>
      <c r="AN117" s="4">
        <v>18.55</v>
      </c>
      <c r="AQ117" s="4" t="s">
        <v>434</v>
      </c>
      <c r="AR117" s="4">
        <v>0.033</v>
      </c>
      <c r="AS117" s="4" t="s">
        <v>435</v>
      </c>
      <c r="AT117" s="4">
        <v>4.66</v>
      </c>
      <c r="AU117" s="4" t="s">
        <v>436</v>
      </c>
      <c r="AV117" s="4">
        <v>4.51</v>
      </c>
      <c r="AW117" s="4" t="s">
        <v>437</v>
      </c>
      <c r="AX117" s="4">
        <v>4.84</v>
      </c>
      <c r="AY117" s="4" t="s">
        <v>438</v>
      </c>
      <c r="AZ117" s="4">
        <v>14.04</v>
      </c>
      <c r="BA117" s="4" t="s">
        <v>439</v>
      </c>
      <c r="BB117" s="4">
        <v>1.92</v>
      </c>
      <c r="BE117" s="4" t="s">
        <v>440</v>
      </c>
      <c r="BI117" s="4" t="s">
        <v>321</v>
      </c>
      <c r="BL117" s="4">
        <v>10</v>
      </c>
      <c r="BP117" s="4">
        <v>5</v>
      </c>
      <c r="BV117" s="4" t="s">
        <v>322</v>
      </c>
      <c r="CB117" s="4" t="s">
        <v>434</v>
      </c>
      <c r="CC117" s="4">
        <v>0.033</v>
      </c>
      <c r="CE117" s="4" t="s">
        <v>435</v>
      </c>
      <c r="CF117" s="4">
        <v>4.66</v>
      </c>
      <c r="CH117" s="4" t="s">
        <v>436</v>
      </c>
      <c r="CI117" s="4">
        <v>4.51</v>
      </c>
      <c r="CK117" s="4" t="s">
        <v>437</v>
      </c>
      <c r="CL117" s="4">
        <v>4.84</v>
      </c>
      <c r="CN117" s="4" t="s">
        <v>438</v>
      </c>
      <c r="CO117" s="4">
        <v>14.04</v>
      </c>
      <c r="CP117" s="4" t="s">
        <v>439</v>
      </c>
      <c r="CQ117" s="4">
        <v>1.92</v>
      </c>
      <c r="DM117" s="4" t="s">
        <v>322</v>
      </c>
      <c r="DO117" s="4">
        <v>3</v>
      </c>
      <c r="DP117" s="4">
        <v>4.51</v>
      </c>
      <c r="DQ117" s="4" t="s">
        <v>442</v>
      </c>
      <c r="DR117" s="1">
        <v>0.034</v>
      </c>
      <c r="DS117" s="4">
        <v>4.06</v>
      </c>
      <c r="DT117" s="1">
        <v>0.092</v>
      </c>
      <c r="ED117" s="1">
        <v>9.97782705099779</v>
      </c>
      <c r="FJ117" s="4" t="s">
        <v>441</v>
      </c>
      <c r="FK117" s="1">
        <v>0.0093</v>
      </c>
      <c r="FL117" s="4">
        <v>0.27</v>
      </c>
      <c r="FM117" s="1">
        <v>0.0046</v>
      </c>
      <c r="FV117" s="1">
        <f t="shared" si="2"/>
        <v>85.9375</v>
      </c>
      <c r="FW117" s="1">
        <v>85.9375</v>
      </c>
    </row>
    <row r="118" customHeight="1" spans="1:313">
      <c r="A118" s="3">
        <v>5</v>
      </c>
      <c r="B118" s="4" t="s">
        <v>411</v>
      </c>
      <c r="C118" s="5" t="s">
        <v>412</v>
      </c>
      <c r="D118" s="4" t="s">
        <v>413</v>
      </c>
      <c r="E118" s="4" t="s">
        <v>414</v>
      </c>
      <c r="N118" s="24" t="s">
        <v>415</v>
      </c>
      <c r="O118" s="24" t="s">
        <v>367</v>
      </c>
      <c r="P118" s="4">
        <v>2.65</v>
      </c>
      <c r="T118" s="4">
        <v>39.8</v>
      </c>
      <c r="U118" s="4">
        <v>0.25</v>
      </c>
      <c r="V118" s="4">
        <v>1.94</v>
      </c>
      <c r="AB118" s="4" t="s">
        <v>416</v>
      </c>
      <c r="AD118" s="4" t="s">
        <v>417</v>
      </c>
      <c r="AE118" s="4" t="s">
        <v>418</v>
      </c>
      <c r="AF118" s="4" t="s">
        <v>419</v>
      </c>
      <c r="AG118" s="4" t="s">
        <v>316</v>
      </c>
      <c r="AH118" s="4" t="s">
        <v>432</v>
      </c>
      <c r="AL118" s="4" t="s">
        <v>443</v>
      </c>
      <c r="AM118" s="4">
        <v>7.49</v>
      </c>
      <c r="AN118" s="4">
        <v>15.28</v>
      </c>
      <c r="AQ118" s="4" t="s">
        <v>434</v>
      </c>
      <c r="AR118" s="4">
        <v>0.032</v>
      </c>
      <c r="AS118" s="4" t="s">
        <v>435</v>
      </c>
      <c r="AT118" s="4">
        <v>2.81</v>
      </c>
      <c r="AU118" s="4" t="s">
        <v>436</v>
      </c>
      <c r="AV118" s="4">
        <v>2.71</v>
      </c>
      <c r="AW118" s="4" t="s">
        <v>437</v>
      </c>
      <c r="AX118" s="4">
        <v>7.32</v>
      </c>
      <c r="AY118" s="4" t="s">
        <v>438</v>
      </c>
      <c r="AZ118" s="4">
        <v>22.43</v>
      </c>
      <c r="BA118" s="4" t="s">
        <v>439</v>
      </c>
      <c r="BB118" s="4">
        <v>3.17</v>
      </c>
      <c r="BE118" s="4" t="s">
        <v>440</v>
      </c>
      <c r="BI118" s="4" t="s">
        <v>321</v>
      </c>
      <c r="BL118" s="4">
        <v>10</v>
      </c>
      <c r="BP118" s="4">
        <v>0</v>
      </c>
      <c r="BV118" s="4" t="s">
        <v>322</v>
      </c>
      <c r="CB118" s="4" t="s">
        <v>434</v>
      </c>
      <c r="CC118" s="4">
        <v>0.032</v>
      </c>
      <c r="CE118" s="4" t="s">
        <v>435</v>
      </c>
      <c r="CF118" s="4">
        <v>2.81</v>
      </c>
      <c r="CH118" s="4" t="s">
        <v>436</v>
      </c>
      <c r="CI118" s="4">
        <v>2.71</v>
      </c>
      <c r="CK118" s="4" t="s">
        <v>437</v>
      </c>
      <c r="CL118" s="4">
        <v>7.32</v>
      </c>
      <c r="CN118" s="4" t="s">
        <v>438</v>
      </c>
      <c r="CO118" s="4">
        <v>22.43</v>
      </c>
      <c r="CP118" s="4" t="s">
        <v>439</v>
      </c>
      <c r="CQ118" s="4">
        <v>3.17</v>
      </c>
      <c r="DM118" s="4" t="s">
        <v>322</v>
      </c>
      <c r="DO118" s="4">
        <v>3</v>
      </c>
      <c r="DP118" s="4">
        <v>2.71</v>
      </c>
      <c r="DS118" s="4">
        <v>2.357</v>
      </c>
      <c r="DT118" s="1">
        <v>0.0138</v>
      </c>
      <c r="ED118" s="1">
        <v>13.0258302583026</v>
      </c>
      <c r="FJ118" s="4">
        <v>2.9</v>
      </c>
      <c r="FL118" s="4">
        <v>2.9</v>
      </c>
      <c r="FM118" s="1">
        <v>0.0217</v>
      </c>
      <c r="FV118" s="1">
        <f t="shared" si="2"/>
        <v>8.51735015772871</v>
      </c>
      <c r="FW118" s="1">
        <v>8.51735015772871</v>
      </c>
    </row>
    <row r="119" customHeight="1" spans="1:313">
      <c r="A119" s="3">
        <v>5</v>
      </c>
      <c r="B119" s="4" t="s">
        <v>411</v>
      </c>
      <c r="C119" s="5" t="s">
        <v>412</v>
      </c>
      <c r="D119" s="4" t="s">
        <v>413</v>
      </c>
      <c r="E119" s="4" t="s">
        <v>414</v>
      </c>
      <c r="N119" s="24" t="s">
        <v>415</v>
      </c>
      <c r="O119" s="24" t="s">
        <v>367</v>
      </c>
      <c r="P119" s="4">
        <v>2.65</v>
      </c>
      <c r="T119" s="4">
        <v>39.8</v>
      </c>
      <c r="U119" s="4">
        <v>0.25</v>
      </c>
      <c r="V119" s="4">
        <v>1.94</v>
      </c>
      <c r="AB119" s="4" t="s">
        <v>416</v>
      </c>
      <c r="AD119" s="4" t="s">
        <v>417</v>
      </c>
      <c r="AE119" s="4" t="s">
        <v>418</v>
      </c>
      <c r="AF119" s="4" t="s">
        <v>419</v>
      </c>
      <c r="AG119" s="4" t="s">
        <v>316</v>
      </c>
      <c r="AH119" s="4" t="s">
        <v>432</v>
      </c>
      <c r="AL119" s="4" t="s">
        <v>443</v>
      </c>
      <c r="AM119" s="4">
        <v>7.49</v>
      </c>
      <c r="AN119" s="4">
        <v>15.28</v>
      </c>
      <c r="AQ119" s="4" t="s">
        <v>434</v>
      </c>
      <c r="AR119" s="4">
        <v>0.032</v>
      </c>
      <c r="AS119" s="4" t="s">
        <v>435</v>
      </c>
      <c r="AT119" s="4">
        <v>2.81</v>
      </c>
      <c r="AU119" s="4" t="s">
        <v>436</v>
      </c>
      <c r="AV119" s="4">
        <v>2.71</v>
      </c>
      <c r="AW119" s="4" t="s">
        <v>437</v>
      </c>
      <c r="AX119" s="4">
        <v>7.32</v>
      </c>
      <c r="AY119" s="4" t="s">
        <v>438</v>
      </c>
      <c r="AZ119" s="4">
        <v>22.43</v>
      </c>
      <c r="BA119" s="4" t="s">
        <v>439</v>
      </c>
      <c r="BB119" s="4">
        <v>3.17</v>
      </c>
      <c r="BE119" s="4" t="s">
        <v>440</v>
      </c>
      <c r="BI119" s="4" t="s">
        <v>321</v>
      </c>
      <c r="BL119" s="4">
        <v>10</v>
      </c>
      <c r="BP119" s="4">
        <v>1</v>
      </c>
      <c r="BV119" s="4" t="s">
        <v>322</v>
      </c>
      <c r="CB119" s="4" t="s">
        <v>434</v>
      </c>
      <c r="CC119" s="4">
        <v>0.032</v>
      </c>
      <c r="CE119" s="4" t="s">
        <v>435</v>
      </c>
      <c r="CF119" s="4">
        <v>2.81</v>
      </c>
      <c r="CH119" s="4" t="s">
        <v>436</v>
      </c>
      <c r="CI119" s="4">
        <v>2.71</v>
      </c>
      <c r="CK119" s="4" t="s">
        <v>437</v>
      </c>
      <c r="CL119" s="4">
        <v>7.32</v>
      </c>
      <c r="CN119" s="4" t="s">
        <v>438</v>
      </c>
      <c r="CO119" s="4">
        <v>22.43</v>
      </c>
      <c r="CP119" s="4" t="s">
        <v>439</v>
      </c>
      <c r="CQ119" s="4">
        <v>3.17</v>
      </c>
      <c r="DM119" s="4" t="s">
        <v>322</v>
      </c>
      <c r="DO119" s="4">
        <v>3</v>
      </c>
      <c r="DP119" s="4">
        <v>2.71</v>
      </c>
      <c r="DQ119" s="4">
        <v>2.357</v>
      </c>
      <c r="DR119" s="1">
        <v>0.0138</v>
      </c>
      <c r="DS119" s="4">
        <v>2.68</v>
      </c>
      <c r="DT119" s="1">
        <v>0.0138</v>
      </c>
      <c r="ED119" s="1">
        <v>1.10701107011069</v>
      </c>
      <c r="FJ119" s="4">
        <v>2.9</v>
      </c>
      <c r="FL119" s="4">
        <v>1.29</v>
      </c>
      <c r="FM119" s="1">
        <v>0.0072</v>
      </c>
      <c r="FV119" s="1">
        <f t="shared" si="2"/>
        <v>59.3059936908517</v>
      </c>
      <c r="FW119" s="1">
        <v>59.3059936908517</v>
      </c>
    </row>
    <row r="120" customHeight="1" spans="1:313">
      <c r="A120" s="3">
        <v>5</v>
      </c>
      <c r="B120" s="4" t="s">
        <v>411</v>
      </c>
      <c r="C120" s="5" t="s">
        <v>412</v>
      </c>
      <c r="D120" s="4" t="s">
        <v>413</v>
      </c>
      <c r="E120" s="4" t="s">
        <v>414</v>
      </c>
      <c r="N120" s="24" t="s">
        <v>415</v>
      </c>
      <c r="O120" s="24" t="s">
        <v>367</v>
      </c>
      <c r="P120" s="4">
        <v>2.65</v>
      </c>
      <c r="T120" s="4">
        <v>39.8</v>
      </c>
      <c r="U120" s="4">
        <v>0.25</v>
      </c>
      <c r="V120" s="4">
        <v>1.94</v>
      </c>
      <c r="AB120" s="4" t="s">
        <v>416</v>
      </c>
      <c r="AD120" s="4" t="s">
        <v>417</v>
      </c>
      <c r="AE120" s="4" t="s">
        <v>418</v>
      </c>
      <c r="AF120" s="4" t="s">
        <v>419</v>
      </c>
      <c r="AG120" s="4" t="s">
        <v>316</v>
      </c>
      <c r="AH120" s="4" t="s">
        <v>432</v>
      </c>
      <c r="AL120" s="4" t="s">
        <v>443</v>
      </c>
      <c r="AM120" s="4">
        <v>7.49</v>
      </c>
      <c r="AN120" s="4">
        <v>15.28</v>
      </c>
      <c r="AQ120" s="4" t="s">
        <v>434</v>
      </c>
      <c r="AR120" s="4">
        <v>0.032</v>
      </c>
      <c r="AS120" s="4" t="s">
        <v>435</v>
      </c>
      <c r="AT120" s="4">
        <v>2.81</v>
      </c>
      <c r="AU120" s="4" t="s">
        <v>436</v>
      </c>
      <c r="AV120" s="4">
        <v>2.71</v>
      </c>
      <c r="AW120" s="4" t="s">
        <v>437</v>
      </c>
      <c r="AX120" s="4">
        <v>7.32</v>
      </c>
      <c r="AY120" s="4" t="s">
        <v>438</v>
      </c>
      <c r="AZ120" s="4">
        <v>22.43</v>
      </c>
      <c r="BA120" s="4" t="s">
        <v>439</v>
      </c>
      <c r="BB120" s="4">
        <v>3.17</v>
      </c>
      <c r="BE120" s="4" t="s">
        <v>440</v>
      </c>
      <c r="BI120" s="4" t="s">
        <v>321</v>
      </c>
      <c r="BL120" s="4">
        <v>10</v>
      </c>
      <c r="BP120" s="4">
        <v>3</v>
      </c>
      <c r="BV120" s="4" t="s">
        <v>322</v>
      </c>
      <c r="CB120" s="4" t="s">
        <v>434</v>
      </c>
      <c r="CC120" s="4">
        <v>0.032</v>
      </c>
      <c r="CE120" s="4" t="s">
        <v>435</v>
      </c>
      <c r="CF120" s="4">
        <v>2.81</v>
      </c>
      <c r="CH120" s="4" t="s">
        <v>436</v>
      </c>
      <c r="CI120" s="4">
        <v>2.71</v>
      </c>
      <c r="CK120" s="4" t="s">
        <v>437</v>
      </c>
      <c r="CL120" s="4">
        <v>7.32</v>
      </c>
      <c r="CN120" s="4" t="s">
        <v>438</v>
      </c>
      <c r="CO120" s="4">
        <v>22.43</v>
      </c>
      <c r="CP120" s="4" t="s">
        <v>439</v>
      </c>
      <c r="CQ120" s="4">
        <v>3.17</v>
      </c>
      <c r="DM120" s="4" t="s">
        <v>322</v>
      </c>
      <c r="DO120" s="4">
        <v>3</v>
      </c>
      <c r="DP120" s="4">
        <v>2.71</v>
      </c>
      <c r="DQ120" s="4">
        <v>2.357</v>
      </c>
      <c r="DR120" s="1">
        <v>0.0138</v>
      </c>
      <c r="DS120" s="4">
        <v>2.49</v>
      </c>
      <c r="DT120" s="1">
        <v>0.0069</v>
      </c>
      <c r="ED120" s="1">
        <v>8.1180811808118</v>
      </c>
      <c r="FJ120" s="4">
        <v>2.9</v>
      </c>
      <c r="FL120" s="4">
        <v>0.87</v>
      </c>
      <c r="FM120" s="1">
        <v>0.0072</v>
      </c>
      <c r="FV120" s="1">
        <f t="shared" si="2"/>
        <v>72.5552050473186</v>
      </c>
      <c r="FW120" s="1">
        <v>72.5552050473186</v>
      </c>
    </row>
    <row r="121" customHeight="1" spans="1:313">
      <c r="A121" s="3">
        <v>5</v>
      </c>
      <c r="B121" s="4" t="s">
        <v>411</v>
      </c>
      <c r="C121" s="5" t="s">
        <v>412</v>
      </c>
      <c r="D121" s="4" t="s">
        <v>413</v>
      </c>
      <c r="E121" s="4" t="s">
        <v>414</v>
      </c>
      <c r="N121" s="24" t="s">
        <v>415</v>
      </c>
      <c r="O121" s="24" t="s">
        <v>367</v>
      </c>
      <c r="P121" s="4">
        <v>2.65</v>
      </c>
      <c r="T121" s="4">
        <v>39.8</v>
      </c>
      <c r="U121" s="4">
        <v>0.25</v>
      </c>
      <c r="V121" s="4">
        <v>1.94</v>
      </c>
      <c r="AB121" s="4" t="s">
        <v>416</v>
      </c>
      <c r="AD121" s="4" t="s">
        <v>417</v>
      </c>
      <c r="AE121" s="4" t="s">
        <v>418</v>
      </c>
      <c r="AF121" s="4" t="s">
        <v>419</v>
      </c>
      <c r="AG121" s="4" t="s">
        <v>316</v>
      </c>
      <c r="AH121" s="4" t="s">
        <v>432</v>
      </c>
      <c r="AL121" s="4" t="s">
        <v>443</v>
      </c>
      <c r="AM121" s="4">
        <v>7.49</v>
      </c>
      <c r="AN121" s="4">
        <v>15.28</v>
      </c>
      <c r="AQ121" s="4" t="s">
        <v>434</v>
      </c>
      <c r="AR121" s="4">
        <v>0.032</v>
      </c>
      <c r="AS121" s="4" t="s">
        <v>435</v>
      </c>
      <c r="AT121" s="4">
        <v>2.81</v>
      </c>
      <c r="AU121" s="4" t="s">
        <v>436</v>
      </c>
      <c r="AV121" s="4">
        <v>2.71</v>
      </c>
      <c r="AW121" s="4" t="s">
        <v>437</v>
      </c>
      <c r="AX121" s="4">
        <v>7.32</v>
      </c>
      <c r="AY121" s="4" t="s">
        <v>438</v>
      </c>
      <c r="AZ121" s="4">
        <v>22.43</v>
      </c>
      <c r="BA121" s="4" t="s">
        <v>439</v>
      </c>
      <c r="BB121" s="4">
        <v>3.17</v>
      </c>
      <c r="BE121" s="4" t="s">
        <v>440</v>
      </c>
      <c r="BI121" s="4" t="s">
        <v>321</v>
      </c>
      <c r="BL121" s="4">
        <v>10</v>
      </c>
      <c r="BP121" s="4">
        <v>5</v>
      </c>
      <c r="BV121" s="4" t="s">
        <v>322</v>
      </c>
      <c r="CB121" s="4" t="s">
        <v>434</v>
      </c>
      <c r="CC121" s="4">
        <v>0.032</v>
      </c>
      <c r="CE121" s="4" t="s">
        <v>435</v>
      </c>
      <c r="CF121" s="4">
        <v>2.81</v>
      </c>
      <c r="CH121" s="4" t="s">
        <v>436</v>
      </c>
      <c r="CI121" s="4">
        <v>2.71</v>
      </c>
      <c r="CK121" s="4" t="s">
        <v>437</v>
      </c>
      <c r="CL121" s="4">
        <v>7.32</v>
      </c>
      <c r="CN121" s="4" t="s">
        <v>438</v>
      </c>
      <c r="CO121" s="4">
        <v>22.43</v>
      </c>
      <c r="CP121" s="4" t="s">
        <v>439</v>
      </c>
      <c r="CQ121" s="4">
        <v>3.17</v>
      </c>
      <c r="DM121" s="4" t="s">
        <v>322</v>
      </c>
      <c r="DO121" s="4">
        <v>3</v>
      </c>
      <c r="DP121" s="4">
        <v>2.71</v>
      </c>
      <c r="DQ121" s="4">
        <v>2.357</v>
      </c>
      <c r="DR121" s="1">
        <v>0.0138</v>
      </c>
      <c r="DS121" s="4">
        <v>2.55</v>
      </c>
      <c r="DT121" s="1">
        <v>0.0138</v>
      </c>
      <c r="ED121" s="1">
        <v>5.90405904059041</v>
      </c>
      <c r="FJ121" s="4">
        <v>2.9</v>
      </c>
      <c r="FL121" s="4">
        <v>0.63</v>
      </c>
      <c r="FM121" s="1">
        <v>0.0072</v>
      </c>
      <c r="FV121" s="1">
        <f t="shared" si="2"/>
        <v>80.1261829652997</v>
      </c>
      <c r="FW121" s="1">
        <v>80.1261829652997</v>
      </c>
    </row>
    <row r="122" customHeight="1" spans="1:313">
      <c r="A122" s="3">
        <v>5</v>
      </c>
      <c r="B122" s="4" t="s">
        <v>411</v>
      </c>
      <c r="C122" s="5" t="s">
        <v>444</v>
      </c>
      <c r="D122" s="4" t="s">
        <v>413</v>
      </c>
      <c r="E122" s="4" t="s">
        <v>445</v>
      </c>
      <c r="N122" s="24" t="s">
        <v>415</v>
      </c>
      <c r="O122" s="24" t="s">
        <v>367</v>
      </c>
      <c r="P122" s="4">
        <v>3.57</v>
      </c>
      <c r="T122" s="4">
        <v>32.5</v>
      </c>
      <c r="U122" s="4">
        <v>0.116</v>
      </c>
      <c r="V122" s="4">
        <v>2.2</v>
      </c>
      <c r="AB122" s="4" t="s">
        <v>416</v>
      </c>
      <c r="AD122" s="4" t="s">
        <v>446</v>
      </c>
      <c r="AE122" s="4" t="s">
        <v>418</v>
      </c>
      <c r="AF122" s="4" t="s">
        <v>447</v>
      </c>
      <c r="BI122" s="4" t="s">
        <v>309</v>
      </c>
      <c r="BN122" s="4">
        <v>0.25</v>
      </c>
      <c r="BS122" s="4">
        <v>2</v>
      </c>
      <c r="BU122" s="4">
        <v>200</v>
      </c>
      <c r="BW122" s="4">
        <v>25</v>
      </c>
      <c r="CB122" s="4" t="s">
        <v>7</v>
      </c>
      <c r="CC122" s="4">
        <v>250</v>
      </c>
      <c r="DO122" s="4">
        <v>3</v>
      </c>
      <c r="DP122" s="4">
        <v>250</v>
      </c>
      <c r="EA122" s="4">
        <v>3.37</v>
      </c>
      <c r="EB122" s="1">
        <v>0</v>
      </c>
      <c r="ED122" s="4">
        <v>3.37</v>
      </c>
    </row>
    <row r="123" customHeight="1" spans="1:313">
      <c r="A123" s="3">
        <v>5</v>
      </c>
      <c r="B123" s="4" t="s">
        <v>411</v>
      </c>
      <c r="C123" s="5" t="s">
        <v>444</v>
      </c>
      <c r="D123" s="4" t="s">
        <v>413</v>
      </c>
      <c r="E123" s="4" t="s">
        <v>445</v>
      </c>
      <c r="N123" s="24" t="s">
        <v>415</v>
      </c>
      <c r="O123" s="24" t="s">
        <v>367</v>
      </c>
      <c r="P123" s="4">
        <v>3.57</v>
      </c>
      <c r="T123" s="4">
        <v>32.5</v>
      </c>
      <c r="U123" s="4">
        <v>0.116</v>
      </c>
      <c r="V123" s="4">
        <v>2.2</v>
      </c>
      <c r="AB123" s="4" t="s">
        <v>416</v>
      </c>
      <c r="AD123" s="4" t="s">
        <v>446</v>
      </c>
      <c r="AE123" s="4" t="s">
        <v>418</v>
      </c>
      <c r="AF123" s="4" t="s">
        <v>447</v>
      </c>
      <c r="BI123" s="4" t="s">
        <v>309</v>
      </c>
      <c r="BN123" s="4">
        <v>0.25</v>
      </c>
      <c r="BS123" s="4">
        <v>3</v>
      </c>
      <c r="BU123" s="4">
        <v>200</v>
      </c>
      <c r="BW123" s="4">
        <v>25</v>
      </c>
      <c r="CB123" s="4" t="s">
        <v>7</v>
      </c>
      <c r="CC123" s="4">
        <v>250</v>
      </c>
      <c r="DO123" s="4">
        <v>3</v>
      </c>
      <c r="DP123" s="4">
        <v>250</v>
      </c>
      <c r="EA123" s="4">
        <v>46.45</v>
      </c>
      <c r="EB123" s="1">
        <v>0.96</v>
      </c>
      <c r="ED123" s="4">
        <v>46.45</v>
      </c>
    </row>
    <row r="124" customHeight="1" spans="1:313">
      <c r="A124" s="3">
        <v>5</v>
      </c>
      <c r="B124" s="4" t="s">
        <v>411</v>
      </c>
      <c r="C124" s="5" t="s">
        <v>444</v>
      </c>
      <c r="D124" s="4" t="s">
        <v>413</v>
      </c>
      <c r="E124" s="4" t="s">
        <v>445</v>
      </c>
      <c r="N124" s="24" t="s">
        <v>415</v>
      </c>
      <c r="O124" s="24" t="s">
        <v>367</v>
      </c>
      <c r="P124" s="4">
        <v>3.57</v>
      </c>
      <c r="T124" s="4">
        <v>32.5</v>
      </c>
      <c r="U124" s="4">
        <v>0.116</v>
      </c>
      <c r="V124" s="4">
        <v>2.2</v>
      </c>
      <c r="AB124" s="4" t="s">
        <v>416</v>
      </c>
      <c r="AD124" s="4" t="s">
        <v>446</v>
      </c>
      <c r="AE124" s="4" t="s">
        <v>418</v>
      </c>
      <c r="AF124" s="4" t="s">
        <v>447</v>
      </c>
      <c r="BI124" s="4" t="s">
        <v>309</v>
      </c>
      <c r="BN124" s="4">
        <v>0.25</v>
      </c>
      <c r="BS124" s="4">
        <v>4</v>
      </c>
      <c r="BU124" s="4">
        <v>200</v>
      </c>
      <c r="BW124" s="4">
        <v>25</v>
      </c>
      <c r="CB124" s="4" t="s">
        <v>7</v>
      </c>
      <c r="CC124" s="4">
        <v>250</v>
      </c>
      <c r="DO124" s="4">
        <v>3</v>
      </c>
      <c r="DP124" s="4">
        <v>250</v>
      </c>
      <c r="EA124" s="4">
        <v>86.16</v>
      </c>
      <c r="EB124" s="1">
        <v>1.2</v>
      </c>
      <c r="ED124" s="4">
        <v>86.16</v>
      </c>
      <c r="KZ124" s="1" t="s">
        <v>422</v>
      </c>
      <c r="LA124" s="1" t="s">
        <v>423</v>
      </c>
    </row>
    <row r="125" customHeight="1" spans="1:313">
      <c r="A125" s="3">
        <v>5</v>
      </c>
      <c r="B125" s="4" t="s">
        <v>411</v>
      </c>
      <c r="C125" s="5" t="s">
        <v>444</v>
      </c>
      <c r="D125" s="4" t="s">
        <v>413</v>
      </c>
      <c r="E125" s="4" t="s">
        <v>445</v>
      </c>
      <c r="N125" s="24" t="s">
        <v>415</v>
      </c>
      <c r="O125" s="24" t="s">
        <v>367</v>
      </c>
      <c r="P125" s="4">
        <v>3.57</v>
      </c>
      <c r="T125" s="4">
        <v>32.5</v>
      </c>
      <c r="U125" s="4">
        <v>0.116</v>
      </c>
      <c r="V125" s="4">
        <v>2.2</v>
      </c>
      <c r="AB125" s="4" t="s">
        <v>416</v>
      </c>
      <c r="AD125" s="4" t="s">
        <v>446</v>
      </c>
      <c r="AE125" s="4" t="s">
        <v>418</v>
      </c>
      <c r="AF125" s="4" t="s">
        <v>447</v>
      </c>
      <c r="BI125" s="4" t="s">
        <v>309</v>
      </c>
      <c r="BN125" s="4">
        <v>0.25</v>
      </c>
      <c r="BS125" s="4">
        <v>5</v>
      </c>
      <c r="BU125" s="4">
        <v>200</v>
      </c>
      <c r="BW125" s="4">
        <v>25</v>
      </c>
      <c r="CB125" s="4" t="s">
        <v>7</v>
      </c>
      <c r="CC125" s="4">
        <v>250</v>
      </c>
      <c r="DO125" s="4">
        <v>3</v>
      </c>
      <c r="DP125" s="4">
        <v>250</v>
      </c>
      <c r="EA125" s="4">
        <v>91.21</v>
      </c>
      <c r="EB125" s="1">
        <v>0</v>
      </c>
      <c r="ED125" s="4">
        <v>91.21</v>
      </c>
    </row>
    <row r="126" customHeight="1" spans="1:313">
      <c r="A126" s="3">
        <v>5</v>
      </c>
      <c r="B126" s="4" t="s">
        <v>411</v>
      </c>
      <c r="C126" s="5" t="s">
        <v>444</v>
      </c>
      <c r="D126" s="4" t="s">
        <v>413</v>
      </c>
      <c r="E126" s="4" t="s">
        <v>445</v>
      </c>
      <c r="N126" s="24" t="s">
        <v>415</v>
      </c>
      <c r="O126" s="24" t="s">
        <v>367</v>
      </c>
      <c r="P126" s="4">
        <v>3.57</v>
      </c>
      <c r="T126" s="4">
        <v>32.5</v>
      </c>
      <c r="U126" s="4">
        <v>0.116</v>
      </c>
      <c r="V126" s="4">
        <v>2.2</v>
      </c>
      <c r="AB126" s="4" t="s">
        <v>416</v>
      </c>
      <c r="AD126" s="4" t="s">
        <v>446</v>
      </c>
      <c r="AE126" s="4" t="s">
        <v>418</v>
      </c>
      <c r="AF126" s="4" t="s">
        <v>447</v>
      </c>
      <c r="BI126" s="4" t="s">
        <v>309</v>
      </c>
      <c r="BN126" s="4">
        <v>0.25</v>
      </c>
      <c r="BS126" s="4">
        <v>6</v>
      </c>
      <c r="BU126" s="4">
        <v>200</v>
      </c>
      <c r="BW126" s="4">
        <v>25</v>
      </c>
      <c r="CB126" s="4" t="s">
        <v>7</v>
      </c>
      <c r="CC126" s="4">
        <v>250</v>
      </c>
      <c r="DO126" s="4">
        <v>3</v>
      </c>
      <c r="DP126" s="4">
        <v>250</v>
      </c>
      <c r="EA126" s="4">
        <v>100</v>
      </c>
      <c r="EB126" s="1">
        <v>0</v>
      </c>
      <c r="ED126" s="4">
        <v>100</v>
      </c>
    </row>
    <row r="127" customHeight="1" spans="1:313">
      <c r="A127" s="3">
        <v>5</v>
      </c>
      <c r="B127" s="4" t="s">
        <v>411</v>
      </c>
      <c r="C127" s="5" t="s">
        <v>444</v>
      </c>
      <c r="D127" s="4" t="s">
        <v>413</v>
      </c>
      <c r="E127" s="4" t="s">
        <v>445</v>
      </c>
      <c r="N127" s="24" t="s">
        <v>415</v>
      </c>
      <c r="O127" s="24" t="s">
        <v>367</v>
      </c>
      <c r="P127" s="4">
        <v>3.57</v>
      </c>
      <c r="T127" s="4">
        <v>32.5</v>
      </c>
      <c r="U127" s="4">
        <v>0.116</v>
      </c>
      <c r="V127" s="4">
        <v>2.2</v>
      </c>
      <c r="AB127" s="4" t="s">
        <v>416</v>
      </c>
      <c r="AD127" s="4" t="s">
        <v>446</v>
      </c>
      <c r="AE127" s="4" t="s">
        <v>418</v>
      </c>
      <c r="AF127" s="4" t="s">
        <v>447</v>
      </c>
      <c r="BI127" s="4" t="s">
        <v>309</v>
      </c>
      <c r="BN127" s="4">
        <v>0.25</v>
      </c>
      <c r="BS127" s="4">
        <v>7</v>
      </c>
      <c r="BU127" s="4">
        <v>200</v>
      </c>
      <c r="BW127" s="4">
        <v>25</v>
      </c>
      <c r="CB127" s="4" t="s">
        <v>7</v>
      </c>
      <c r="CC127" s="4">
        <v>250</v>
      </c>
      <c r="DO127" s="4">
        <v>3</v>
      </c>
      <c r="DP127" s="4">
        <v>250</v>
      </c>
      <c r="EA127" s="4">
        <v>100</v>
      </c>
      <c r="EB127" s="1">
        <v>0</v>
      </c>
      <c r="ED127" s="4">
        <v>100</v>
      </c>
      <c r="KZ127" s="1" t="s">
        <v>424</v>
      </c>
      <c r="LA127" s="1" t="s">
        <v>425</v>
      </c>
    </row>
    <row r="128" customHeight="1" spans="1:313">
      <c r="A128" s="3">
        <v>5</v>
      </c>
      <c r="B128" s="4" t="s">
        <v>411</v>
      </c>
      <c r="C128" s="5" t="s">
        <v>444</v>
      </c>
      <c r="D128" s="4" t="s">
        <v>413</v>
      </c>
      <c r="E128" s="4" t="s">
        <v>445</v>
      </c>
      <c r="N128" s="24" t="s">
        <v>415</v>
      </c>
      <c r="O128" s="24" t="s">
        <v>367</v>
      </c>
      <c r="P128" s="4">
        <v>3.57</v>
      </c>
      <c r="T128" s="4">
        <v>32.5</v>
      </c>
      <c r="U128" s="4">
        <v>0.116</v>
      </c>
      <c r="V128" s="4">
        <v>2.2</v>
      </c>
      <c r="AB128" s="4" t="s">
        <v>416</v>
      </c>
      <c r="AD128" s="4" t="s">
        <v>446</v>
      </c>
      <c r="AE128" s="4" t="s">
        <v>418</v>
      </c>
      <c r="AF128" s="4" t="s">
        <v>447</v>
      </c>
      <c r="BI128" s="4" t="s">
        <v>309</v>
      </c>
      <c r="BN128" s="4">
        <v>0.25</v>
      </c>
      <c r="BS128" s="4">
        <v>8</v>
      </c>
      <c r="BU128" s="4">
        <v>200</v>
      </c>
      <c r="BW128" s="4">
        <v>25</v>
      </c>
      <c r="CB128" s="4" t="s">
        <v>7</v>
      </c>
      <c r="CC128" s="4">
        <v>250</v>
      </c>
      <c r="CL128" s="4" t="s">
        <v>359</v>
      </c>
      <c r="DO128" s="4">
        <v>3</v>
      </c>
      <c r="DP128" s="4">
        <v>250</v>
      </c>
      <c r="EA128" s="4">
        <v>100</v>
      </c>
      <c r="EB128" s="1">
        <v>0</v>
      </c>
      <c r="ED128" s="4">
        <v>100</v>
      </c>
    </row>
    <row r="129" customHeight="1" spans="1:179">
      <c r="A129" s="3">
        <v>5</v>
      </c>
      <c r="B129" s="4" t="s">
        <v>411</v>
      </c>
      <c r="C129" s="5" t="s">
        <v>444</v>
      </c>
      <c r="D129" s="4" t="s">
        <v>413</v>
      </c>
      <c r="E129" s="4" t="s">
        <v>445</v>
      </c>
      <c r="N129" s="24" t="s">
        <v>415</v>
      </c>
      <c r="O129" s="24" t="s">
        <v>367</v>
      </c>
      <c r="P129" s="4">
        <v>3.57</v>
      </c>
      <c r="T129" s="4">
        <v>32.5</v>
      </c>
      <c r="U129" s="4">
        <v>0.116</v>
      </c>
      <c r="V129" s="4">
        <v>2.2</v>
      </c>
      <c r="AB129" s="4" t="s">
        <v>416</v>
      </c>
      <c r="AD129" s="4" t="s">
        <v>446</v>
      </c>
      <c r="AE129" s="4" t="s">
        <v>418</v>
      </c>
      <c r="AF129" s="4" t="s">
        <v>447</v>
      </c>
      <c r="BI129" s="4" t="s">
        <v>309</v>
      </c>
      <c r="BN129" s="4">
        <v>0.25</v>
      </c>
      <c r="BS129" s="4">
        <v>9</v>
      </c>
      <c r="BU129" s="4">
        <v>200</v>
      </c>
      <c r="BW129" s="4">
        <v>25</v>
      </c>
      <c r="CB129" s="4" t="s">
        <v>7</v>
      </c>
      <c r="CC129" s="4">
        <v>250</v>
      </c>
      <c r="DO129" s="4">
        <v>3</v>
      </c>
      <c r="DP129" s="4">
        <v>250</v>
      </c>
      <c r="EA129" s="4">
        <v>100</v>
      </c>
      <c r="EB129" s="1">
        <v>0</v>
      </c>
      <c r="ED129" s="4">
        <v>100</v>
      </c>
    </row>
    <row r="130" customHeight="1" spans="1:179">
      <c r="A130" s="3">
        <v>5</v>
      </c>
      <c r="B130" s="4" t="s">
        <v>411</v>
      </c>
      <c r="C130" s="5" t="s">
        <v>444</v>
      </c>
      <c r="D130" s="4" t="s">
        <v>413</v>
      </c>
      <c r="E130" s="4" t="s">
        <v>445</v>
      </c>
      <c r="N130" s="24" t="s">
        <v>415</v>
      </c>
      <c r="O130" s="24" t="s">
        <v>367</v>
      </c>
      <c r="P130" s="4">
        <v>3.57</v>
      </c>
      <c r="T130" s="4">
        <v>32.5</v>
      </c>
      <c r="U130" s="4">
        <v>0.116</v>
      </c>
      <c r="V130" s="4">
        <v>2.2</v>
      </c>
      <c r="AB130" s="4" t="s">
        <v>416</v>
      </c>
      <c r="AD130" s="4" t="s">
        <v>446</v>
      </c>
      <c r="AE130" s="4" t="s">
        <v>418</v>
      </c>
      <c r="AF130" s="4" t="s">
        <v>447</v>
      </c>
      <c r="BI130" s="4" t="s">
        <v>309</v>
      </c>
      <c r="BN130" s="4">
        <v>0.25</v>
      </c>
      <c r="BS130" s="4">
        <v>5.3</v>
      </c>
      <c r="BU130" s="4">
        <v>200</v>
      </c>
      <c r="BV130" s="4" t="s">
        <v>426</v>
      </c>
      <c r="BW130" s="4">
        <v>25</v>
      </c>
      <c r="CB130" s="4" t="s">
        <v>7</v>
      </c>
      <c r="CC130" s="4">
        <v>100</v>
      </c>
      <c r="CV130" s="4">
        <v>2880</v>
      </c>
      <c r="CX130" s="4" t="s">
        <v>314</v>
      </c>
      <c r="DO130" s="4">
        <v>3</v>
      </c>
      <c r="DP130" s="4">
        <v>100</v>
      </c>
    </row>
    <row r="131" customHeight="1" spans="1:179">
      <c r="A131" s="3">
        <v>5</v>
      </c>
      <c r="B131" s="4" t="s">
        <v>411</v>
      </c>
      <c r="C131" s="5" t="s">
        <v>444</v>
      </c>
      <c r="D131" s="4" t="s">
        <v>413</v>
      </c>
      <c r="E131" s="4" t="s">
        <v>445</v>
      </c>
      <c r="N131" s="24" t="s">
        <v>415</v>
      </c>
      <c r="O131" s="24" t="s">
        <v>367</v>
      </c>
      <c r="P131" s="4">
        <v>3.57</v>
      </c>
      <c r="T131" s="4">
        <v>32.5</v>
      </c>
      <c r="U131" s="4">
        <v>0.116</v>
      </c>
      <c r="V131" s="4">
        <v>2.2</v>
      </c>
      <c r="AB131" s="4" t="s">
        <v>416</v>
      </c>
      <c r="AD131" s="4" t="s">
        <v>446</v>
      </c>
      <c r="AE131" s="4" t="s">
        <v>418</v>
      </c>
      <c r="AF131" s="4" t="s">
        <v>447</v>
      </c>
      <c r="BI131" s="4" t="s">
        <v>309</v>
      </c>
      <c r="BN131" s="4">
        <v>0.25</v>
      </c>
      <c r="BS131" s="4">
        <v>5</v>
      </c>
      <c r="BU131" s="4">
        <v>200</v>
      </c>
      <c r="BW131" s="4">
        <v>25</v>
      </c>
      <c r="CB131" s="4" t="s">
        <v>7</v>
      </c>
      <c r="CC131" s="4">
        <v>200</v>
      </c>
      <c r="DB131" s="4" t="s">
        <v>312</v>
      </c>
      <c r="DC131" s="4" t="s">
        <v>428</v>
      </c>
      <c r="DE131" s="4">
        <v>422</v>
      </c>
      <c r="DO131" s="4">
        <v>3</v>
      </c>
      <c r="DP131" s="4">
        <v>200</v>
      </c>
    </row>
    <row r="132" customHeight="1" spans="1:179">
      <c r="A132" s="3">
        <v>5</v>
      </c>
      <c r="B132" s="4" t="s">
        <v>411</v>
      </c>
      <c r="C132" s="5" t="s">
        <v>444</v>
      </c>
      <c r="D132" s="4" t="s">
        <v>413</v>
      </c>
      <c r="E132" s="4" t="s">
        <v>445</v>
      </c>
      <c r="N132" s="24" t="s">
        <v>415</v>
      </c>
      <c r="O132" s="24" t="s">
        <v>367</v>
      </c>
      <c r="P132" s="4">
        <v>3.57</v>
      </c>
      <c r="T132" s="4">
        <v>32.5</v>
      </c>
      <c r="U132" s="4">
        <v>0.116</v>
      </c>
      <c r="V132" s="4">
        <v>2.2</v>
      </c>
      <c r="AB132" s="4" t="s">
        <v>416</v>
      </c>
      <c r="AD132" s="4" t="s">
        <v>446</v>
      </c>
      <c r="AE132" s="4" t="s">
        <v>418</v>
      </c>
      <c r="AF132" s="4" t="s">
        <v>447</v>
      </c>
      <c r="BI132" s="4" t="s">
        <v>309</v>
      </c>
      <c r="BN132" s="4">
        <v>1.65</v>
      </c>
      <c r="BS132" s="4">
        <v>2</v>
      </c>
      <c r="BU132" s="4">
        <v>200</v>
      </c>
      <c r="BW132" s="4">
        <v>25</v>
      </c>
      <c r="CB132" s="4" t="s">
        <v>429</v>
      </c>
      <c r="CC132" s="4">
        <v>1667</v>
      </c>
      <c r="DO132" s="4">
        <v>3</v>
      </c>
      <c r="FT132" s="4">
        <v>98.64</v>
      </c>
      <c r="FU132" s="1">
        <v>0</v>
      </c>
      <c r="FW132" s="4">
        <v>98.64</v>
      </c>
    </row>
    <row r="133" customHeight="1" spans="1:179">
      <c r="A133" s="3">
        <v>5</v>
      </c>
      <c r="B133" s="4" t="s">
        <v>411</v>
      </c>
      <c r="C133" s="5" t="s">
        <v>444</v>
      </c>
      <c r="D133" s="4" t="s">
        <v>413</v>
      </c>
      <c r="E133" s="4" t="s">
        <v>445</v>
      </c>
      <c r="N133" s="24" t="s">
        <v>415</v>
      </c>
      <c r="O133" s="24" t="s">
        <v>367</v>
      </c>
      <c r="P133" s="4">
        <v>3.57</v>
      </c>
      <c r="T133" s="4">
        <v>32.5</v>
      </c>
      <c r="U133" s="4">
        <v>0.116</v>
      </c>
      <c r="V133" s="4">
        <v>2.2</v>
      </c>
      <c r="AB133" s="4" t="s">
        <v>416</v>
      </c>
      <c r="AD133" s="4" t="s">
        <v>446</v>
      </c>
      <c r="AE133" s="4" t="s">
        <v>418</v>
      </c>
      <c r="AF133" s="4" t="s">
        <v>447</v>
      </c>
      <c r="BI133" s="4" t="s">
        <v>309</v>
      </c>
      <c r="BN133" s="4">
        <v>1.65</v>
      </c>
      <c r="BS133" s="4">
        <v>3</v>
      </c>
      <c r="BU133" s="4">
        <v>200</v>
      </c>
      <c r="BW133" s="4">
        <v>25</v>
      </c>
      <c r="CB133" s="4" t="s">
        <v>429</v>
      </c>
      <c r="CC133" s="4">
        <v>1667</v>
      </c>
      <c r="DO133" s="4">
        <v>3</v>
      </c>
      <c r="FT133" s="4">
        <v>89.58</v>
      </c>
      <c r="FU133" s="1">
        <v>0</v>
      </c>
      <c r="FW133" s="4">
        <v>89.58</v>
      </c>
    </row>
    <row r="134" customHeight="1" spans="1:179">
      <c r="A134" s="3">
        <v>5</v>
      </c>
      <c r="B134" s="4" t="s">
        <v>411</v>
      </c>
      <c r="C134" s="5" t="s">
        <v>444</v>
      </c>
      <c r="D134" s="4" t="s">
        <v>413</v>
      </c>
      <c r="E134" s="4" t="s">
        <v>445</v>
      </c>
      <c r="N134" s="24" t="s">
        <v>415</v>
      </c>
      <c r="O134" s="24" t="s">
        <v>367</v>
      </c>
      <c r="P134" s="4">
        <v>3.57</v>
      </c>
      <c r="T134" s="4">
        <v>32.5</v>
      </c>
      <c r="U134" s="4">
        <v>0.116</v>
      </c>
      <c r="V134" s="4">
        <v>2.2</v>
      </c>
      <c r="AB134" s="4" t="s">
        <v>416</v>
      </c>
      <c r="AD134" s="4" t="s">
        <v>446</v>
      </c>
      <c r="AE134" s="4" t="s">
        <v>418</v>
      </c>
      <c r="AF134" s="4" t="s">
        <v>447</v>
      </c>
      <c r="BI134" s="4" t="s">
        <v>309</v>
      </c>
      <c r="BN134" s="4">
        <v>1.65</v>
      </c>
      <c r="BS134" s="4">
        <v>4</v>
      </c>
      <c r="BU134" s="4">
        <v>200</v>
      </c>
      <c r="BW134" s="4">
        <v>25</v>
      </c>
      <c r="CB134" s="4" t="s">
        <v>429</v>
      </c>
      <c r="CC134" s="4">
        <v>1667</v>
      </c>
      <c r="DO134" s="4">
        <v>3</v>
      </c>
      <c r="FT134" s="4">
        <v>97.89</v>
      </c>
      <c r="FU134" s="1">
        <v>0</v>
      </c>
      <c r="FW134" s="4">
        <v>97.89</v>
      </c>
    </row>
    <row r="135" customHeight="1" spans="1:179">
      <c r="A135" s="3">
        <v>5</v>
      </c>
      <c r="B135" s="4" t="s">
        <v>411</v>
      </c>
      <c r="C135" s="5" t="s">
        <v>444</v>
      </c>
      <c r="D135" s="4" t="s">
        <v>413</v>
      </c>
      <c r="E135" s="4" t="s">
        <v>445</v>
      </c>
      <c r="N135" s="24" t="s">
        <v>415</v>
      </c>
      <c r="O135" s="24" t="s">
        <v>367</v>
      </c>
      <c r="P135" s="4">
        <v>3.57</v>
      </c>
      <c r="T135" s="4">
        <v>32.5</v>
      </c>
      <c r="U135" s="4">
        <v>0.116</v>
      </c>
      <c r="V135" s="4">
        <v>2.2</v>
      </c>
      <c r="AB135" s="4" t="s">
        <v>416</v>
      </c>
      <c r="AD135" s="4" t="s">
        <v>446</v>
      </c>
      <c r="AE135" s="4" t="s">
        <v>418</v>
      </c>
      <c r="AF135" s="4" t="s">
        <v>447</v>
      </c>
      <c r="BI135" s="4" t="s">
        <v>309</v>
      </c>
      <c r="BN135" s="4">
        <v>1.65</v>
      </c>
      <c r="BS135" s="4">
        <v>5</v>
      </c>
      <c r="BU135" s="4">
        <v>200</v>
      </c>
      <c r="BW135" s="4">
        <v>25</v>
      </c>
      <c r="CB135" s="4" t="s">
        <v>429</v>
      </c>
      <c r="CC135" s="4">
        <v>1667</v>
      </c>
      <c r="DO135" s="4">
        <v>3</v>
      </c>
      <c r="FT135" s="4">
        <v>92.68</v>
      </c>
      <c r="FU135" s="1">
        <v>0.99</v>
      </c>
      <c r="FW135" s="4">
        <v>92.68</v>
      </c>
    </row>
    <row r="136" customHeight="1" spans="1:179">
      <c r="A136" s="3">
        <v>5</v>
      </c>
      <c r="B136" s="4" t="s">
        <v>411</v>
      </c>
      <c r="C136" s="5" t="s">
        <v>444</v>
      </c>
      <c r="D136" s="4" t="s">
        <v>413</v>
      </c>
      <c r="E136" s="4" t="s">
        <v>445</v>
      </c>
      <c r="N136" s="24" t="s">
        <v>415</v>
      </c>
      <c r="O136" s="24" t="s">
        <v>367</v>
      </c>
      <c r="P136" s="4">
        <v>3.57</v>
      </c>
      <c r="T136" s="4">
        <v>32.5</v>
      </c>
      <c r="U136" s="4">
        <v>0.116</v>
      </c>
      <c r="V136" s="4">
        <v>2.2</v>
      </c>
      <c r="AB136" s="4" t="s">
        <v>416</v>
      </c>
      <c r="AD136" s="4" t="s">
        <v>446</v>
      </c>
      <c r="AE136" s="4" t="s">
        <v>418</v>
      </c>
      <c r="AF136" s="4" t="s">
        <v>447</v>
      </c>
      <c r="BI136" s="4" t="s">
        <v>309</v>
      </c>
      <c r="BN136" s="4">
        <v>1.65</v>
      </c>
      <c r="BS136" s="4">
        <v>6</v>
      </c>
      <c r="BU136" s="4">
        <v>200</v>
      </c>
      <c r="BW136" s="4">
        <v>25</v>
      </c>
      <c r="CB136" s="4" t="s">
        <v>429</v>
      </c>
      <c r="CC136" s="4">
        <v>1667</v>
      </c>
      <c r="DO136" s="4">
        <v>3</v>
      </c>
      <c r="FT136" s="4">
        <v>89.21</v>
      </c>
      <c r="FU136" s="1">
        <v>0</v>
      </c>
      <c r="FW136" s="4">
        <v>89.21</v>
      </c>
    </row>
    <row r="137" customHeight="1" spans="1:179">
      <c r="A137" s="3">
        <v>5</v>
      </c>
      <c r="B137" s="4" t="s">
        <v>411</v>
      </c>
      <c r="C137" s="5" t="s">
        <v>444</v>
      </c>
      <c r="D137" s="4" t="s">
        <v>413</v>
      </c>
      <c r="E137" s="4" t="s">
        <v>445</v>
      </c>
      <c r="N137" s="24" t="s">
        <v>415</v>
      </c>
      <c r="O137" s="24" t="s">
        <v>367</v>
      </c>
      <c r="P137" s="4">
        <v>3.57</v>
      </c>
      <c r="T137" s="4">
        <v>32.5</v>
      </c>
      <c r="U137" s="4">
        <v>0.116</v>
      </c>
      <c r="V137" s="4">
        <v>2.2</v>
      </c>
      <c r="AB137" s="4" t="s">
        <v>416</v>
      </c>
      <c r="AD137" s="4" t="s">
        <v>446</v>
      </c>
      <c r="AE137" s="4" t="s">
        <v>418</v>
      </c>
      <c r="AF137" s="4" t="s">
        <v>447</v>
      </c>
      <c r="BI137" s="4" t="s">
        <v>309</v>
      </c>
      <c r="BN137" s="4">
        <v>1.65</v>
      </c>
      <c r="BS137" s="4">
        <v>7</v>
      </c>
      <c r="BU137" s="4">
        <v>200</v>
      </c>
      <c r="BW137" s="4">
        <v>25</v>
      </c>
      <c r="CB137" s="4" t="s">
        <v>429</v>
      </c>
      <c r="CC137" s="4">
        <v>1667</v>
      </c>
      <c r="DO137" s="4">
        <v>3</v>
      </c>
      <c r="FT137" s="4">
        <v>90.45</v>
      </c>
      <c r="FU137" s="1">
        <v>0.87</v>
      </c>
      <c r="FW137" s="4">
        <v>90.45</v>
      </c>
    </row>
    <row r="138" customHeight="1" spans="1:179">
      <c r="A138" s="3">
        <v>5</v>
      </c>
      <c r="B138" s="4" t="s">
        <v>411</v>
      </c>
      <c r="C138" s="5" t="s">
        <v>444</v>
      </c>
      <c r="D138" s="4" t="s">
        <v>413</v>
      </c>
      <c r="E138" s="4" t="s">
        <v>445</v>
      </c>
      <c r="N138" s="24" t="s">
        <v>415</v>
      </c>
      <c r="O138" s="24" t="s">
        <v>367</v>
      </c>
      <c r="P138" s="4">
        <v>3.57</v>
      </c>
      <c r="T138" s="4">
        <v>32.5</v>
      </c>
      <c r="U138" s="4">
        <v>0.116</v>
      </c>
      <c r="V138" s="4">
        <v>2.2</v>
      </c>
      <c r="AB138" s="4" t="s">
        <v>416</v>
      </c>
      <c r="AD138" s="4" t="s">
        <v>446</v>
      </c>
      <c r="AE138" s="4" t="s">
        <v>418</v>
      </c>
      <c r="AF138" s="4" t="s">
        <v>447</v>
      </c>
      <c r="BI138" s="4" t="s">
        <v>309</v>
      </c>
      <c r="BN138" s="4">
        <v>1.65</v>
      </c>
      <c r="BS138" s="4">
        <v>8</v>
      </c>
      <c r="BU138" s="4">
        <v>200</v>
      </c>
      <c r="BW138" s="4">
        <v>25</v>
      </c>
      <c r="CB138" s="4" t="s">
        <v>429</v>
      </c>
      <c r="CC138" s="4">
        <v>1667</v>
      </c>
      <c r="DO138" s="4">
        <v>3</v>
      </c>
      <c r="FT138" s="4">
        <v>95.78</v>
      </c>
      <c r="FU138" s="1">
        <v>1.86</v>
      </c>
      <c r="FW138" s="4">
        <v>95.78</v>
      </c>
    </row>
    <row r="139" customHeight="1" spans="1:179">
      <c r="A139" s="3">
        <v>5</v>
      </c>
      <c r="B139" s="4" t="s">
        <v>411</v>
      </c>
      <c r="C139" s="5" t="s">
        <v>444</v>
      </c>
      <c r="D139" s="4" t="s">
        <v>413</v>
      </c>
      <c r="E139" s="4" t="s">
        <v>445</v>
      </c>
      <c r="N139" s="24" t="s">
        <v>415</v>
      </c>
      <c r="O139" s="24" t="s">
        <v>367</v>
      </c>
      <c r="P139" s="4">
        <v>3.57</v>
      </c>
      <c r="T139" s="4">
        <v>32.5</v>
      </c>
      <c r="U139" s="4">
        <v>0.116</v>
      </c>
      <c r="V139" s="4">
        <v>2.2</v>
      </c>
      <c r="AB139" s="4" t="s">
        <v>416</v>
      </c>
      <c r="AD139" s="4" t="s">
        <v>446</v>
      </c>
      <c r="AE139" s="4" t="s">
        <v>418</v>
      </c>
      <c r="AF139" s="4" t="s">
        <v>447</v>
      </c>
      <c r="BI139" s="4" t="s">
        <v>309</v>
      </c>
      <c r="BN139" s="4">
        <v>1.65</v>
      </c>
      <c r="BS139" s="4">
        <v>9</v>
      </c>
      <c r="BU139" s="4">
        <v>200</v>
      </c>
      <c r="BW139" s="4">
        <v>25</v>
      </c>
      <c r="CB139" s="4" t="s">
        <v>429</v>
      </c>
      <c r="CC139" s="4">
        <v>1667</v>
      </c>
      <c r="DO139" s="4">
        <v>3</v>
      </c>
      <c r="FT139" s="4">
        <v>90.69</v>
      </c>
      <c r="FU139" s="1">
        <v>0.99</v>
      </c>
      <c r="FW139" s="4">
        <v>90.69</v>
      </c>
    </row>
    <row r="140" customHeight="1" spans="1:179">
      <c r="A140" s="3">
        <v>5</v>
      </c>
      <c r="B140" s="4" t="s">
        <v>411</v>
      </c>
      <c r="C140" s="5" t="s">
        <v>444</v>
      </c>
      <c r="D140" s="4" t="s">
        <v>413</v>
      </c>
      <c r="E140" s="4" t="s">
        <v>445</v>
      </c>
      <c r="N140" s="24" t="s">
        <v>415</v>
      </c>
      <c r="O140" s="24" t="s">
        <v>367</v>
      </c>
      <c r="P140" s="4">
        <v>3.57</v>
      </c>
      <c r="T140" s="4">
        <v>32.5</v>
      </c>
      <c r="U140" s="4">
        <v>0.116</v>
      </c>
      <c r="V140" s="4">
        <v>2.2</v>
      </c>
      <c r="AB140" s="4" t="s">
        <v>416</v>
      </c>
      <c r="AD140" s="4" t="s">
        <v>446</v>
      </c>
      <c r="AE140" s="4" t="s">
        <v>418</v>
      </c>
      <c r="AF140" s="4" t="s">
        <v>447</v>
      </c>
      <c r="BI140" s="4" t="s">
        <v>309</v>
      </c>
      <c r="BN140" s="4">
        <v>1.65</v>
      </c>
      <c r="BS140" s="4">
        <v>10</v>
      </c>
      <c r="BU140" s="4">
        <v>200</v>
      </c>
      <c r="BW140" s="4">
        <v>25</v>
      </c>
      <c r="CB140" s="4" t="s">
        <v>429</v>
      </c>
      <c r="CC140" s="4">
        <v>1667</v>
      </c>
      <c r="DO140" s="4">
        <v>3</v>
      </c>
      <c r="FT140" s="4">
        <v>90.2</v>
      </c>
      <c r="FU140" s="1">
        <v>0.87</v>
      </c>
      <c r="FW140" s="4">
        <v>90.2</v>
      </c>
    </row>
    <row r="141" customHeight="1" spans="1:179">
      <c r="A141" s="3">
        <v>5</v>
      </c>
      <c r="B141" s="4" t="s">
        <v>411</v>
      </c>
      <c r="C141" s="5" t="s">
        <v>444</v>
      </c>
      <c r="D141" s="4" t="s">
        <v>413</v>
      </c>
      <c r="E141" s="4" t="s">
        <v>445</v>
      </c>
      <c r="N141" s="24" t="s">
        <v>415</v>
      </c>
      <c r="O141" s="24" t="s">
        <v>367</v>
      </c>
      <c r="P141" s="4">
        <v>3.57</v>
      </c>
      <c r="T141" s="4">
        <v>32.5</v>
      </c>
      <c r="U141" s="4">
        <v>0.116</v>
      </c>
      <c r="V141" s="4">
        <v>2.2</v>
      </c>
      <c r="AB141" s="4" t="s">
        <v>416</v>
      </c>
      <c r="AD141" s="4" t="s">
        <v>446</v>
      </c>
      <c r="AE141" s="4" t="s">
        <v>418</v>
      </c>
      <c r="AF141" s="4" t="s">
        <v>447</v>
      </c>
      <c r="BI141" s="4" t="s">
        <v>309</v>
      </c>
      <c r="BN141" s="4">
        <v>1.65</v>
      </c>
      <c r="BS141" s="4">
        <v>11</v>
      </c>
      <c r="BU141" s="4">
        <v>200</v>
      </c>
      <c r="BW141" s="4">
        <v>25</v>
      </c>
      <c r="CB141" s="4" t="s">
        <v>429</v>
      </c>
      <c r="CC141" s="4">
        <v>1667</v>
      </c>
      <c r="DO141" s="4">
        <v>3</v>
      </c>
      <c r="FT141" s="4">
        <v>97.15</v>
      </c>
      <c r="FU141" s="1">
        <v>0.87</v>
      </c>
      <c r="FW141" s="4">
        <v>97.15</v>
      </c>
    </row>
    <row r="142" customHeight="1" spans="1:179">
      <c r="A142" s="3">
        <v>5</v>
      </c>
      <c r="B142" s="4" t="s">
        <v>411</v>
      </c>
      <c r="C142" s="5" t="s">
        <v>444</v>
      </c>
      <c r="D142" s="4" t="s">
        <v>413</v>
      </c>
      <c r="E142" s="4" t="s">
        <v>445</v>
      </c>
      <c r="N142" s="24" t="s">
        <v>415</v>
      </c>
      <c r="O142" s="24" t="s">
        <v>367</v>
      </c>
      <c r="P142" s="4">
        <v>3.57</v>
      </c>
      <c r="T142" s="4">
        <v>32.5</v>
      </c>
      <c r="U142" s="4">
        <v>0.116</v>
      </c>
      <c r="V142" s="4">
        <v>2.2</v>
      </c>
      <c r="AB142" s="4" t="s">
        <v>416</v>
      </c>
      <c r="AD142" s="4" t="s">
        <v>446</v>
      </c>
      <c r="AE142" s="4" t="s">
        <v>418</v>
      </c>
      <c r="AF142" s="4" t="s">
        <v>447</v>
      </c>
      <c r="BI142" s="4" t="s">
        <v>309</v>
      </c>
      <c r="BN142" s="4">
        <v>1.65</v>
      </c>
      <c r="BS142" s="4">
        <v>12</v>
      </c>
      <c r="BU142" s="4">
        <v>200</v>
      </c>
      <c r="BW142" s="4">
        <v>25</v>
      </c>
      <c r="CB142" s="4" t="s">
        <v>429</v>
      </c>
      <c r="CC142" s="4">
        <v>1667</v>
      </c>
      <c r="DO142" s="4">
        <v>3</v>
      </c>
      <c r="FT142" s="4">
        <v>97.52</v>
      </c>
      <c r="FU142" s="1">
        <v>0.87</v>
      </c>
      <c r="FW142" s="4">
        <v>97.52</v>
      </c>
    </row>
    <row r="143" customHeight="1" spans="1:179">
      <c r="A143" s="3">
        <v>5</v>
      </c>
      <c r="B143" s="4" t="s">
        <v>411</v>
      </c>
      <c r="C143" s="5" t="s">
        <v>444</v>
      </c>
      <c r="D143" s="4" t="s">
        <v>413</v>
      </c>
      <c r="E143" s="4" t="s">
        <v>445</v>
      </c>
      <c r="N143" s="24" t="s">
        <v>415</v>
      </c>
      <c r="O143" s="24" t="s">
        <v>367</v>
      </c>
      <c r="P143" s="4">
        <v>3.57</v>
      </c>
      <c r="T143" s="4">
        <v>32.5</v>
      </c>
      <c r="U143" s="4">
        <v>0.116</v>
      </c>
      <c r="V143" s="4">
        <v>2.2</v>
      </c>
      <c r="AB143" s="4" t="s">
        <v>416</v>
      </c>
      <c r="AD143" s="4" t="s">
        <v>446</v>
      </c>
      <c r="AE143" s="4" t="s">
        <v>418</v>
      </c>
      <c r="AF143" s="4" t="s">
        <v>447</v>
      </c>
      <c r="BI143" s="4" t="s">
        <v>309</v>
      </c>
      <c r="BN143" s="4">
        <v>1.65</v>
      </c>
      <c r="BS143" s="4">
        <v>8</v>
      </c>
      <c r="BU143" s="4">
        <v>200</v>
      </c>
      <c r="BV143" s="4" t="s">
        <v>426</v>
      </c>
      <c r="BW143" s="4">
        <v>25</v>
      </c>
      <c r="CB143" s="4" t="s">
        <v>429</v>
      </c>
      <c r="CC143" s="4">
        <v>100</v>
      </c>
      <c r="CV143" s="4">
        <v>2880</v>
      </c>
      <c r="CX143" s="4" t="s">
        <v>314</v>
      </c>
      <c r="DO143" s="4">
        <v>3</v>
      </c>
    </row>
    <row r="144" customHeight="1" spans="1:179">
      <c r="A144" s="3">
        <v>5</v>
      </c>
      <c r="B144" s="4" t="s">
        <v>411</v>
      </c>
      <c r="C144" s="5" t="s">
        <v>444</v>
      </c>
      <c r="D144" s="4" t="s">
        <v>413</v>
      </c>
      <c r="E144" s="4" t="s">
        <v>445</v>
      </c>
      <c r="N144" s="24" t="s">
        <v>415</v>
      </c>
      <c r="O144" s="24" t="s">
        <v>367</v>
      </c>
      <c r="P144" s="4">
        <v>3.57</v>
      </c>
      <c r="T144" s="4">
        <v>32.5</v>
      </c>
      <c r="U144" s="4">
        <v>0.116</v>
      </c>
      <c r="V144" s="4">
        <v>2.2</v>
      </c>
      <c r="AB144" s="4" t="s">
        <v>416</v>
      </c>
      <c r="AD144" s="4" t="s">
        <v>446</v>
      </c>
      <c r="AE144" s="4" t="s">
        <v>418</v>
      </c>
      <c r="AF144" s="4" t="s">
        <v>447</v>
      </c>
      <c r="BI144" s="4" t="s">
        <v>309</v>
      </c>
      <c r="BN144" s="4">
        <v>1.65</v>
      </c>
      <c r="BS144" s="4">
        <v>7</v>
      </c>
      <c r="BU144" s="4">
        <v>200</v>
      </c>
      <c r="BW144" s="4">
        <v>25</v>
      </c>
      <c r="CB144" s="4" t="s">
        <v>429</v>
      </c>
      <c r="CC144" s="4">
        <v>200</v>
      </c>
      <c r="DB144" s="4" t="s">
        <v>430</v>
      </c>
      <c r="DC144" s="4" t="s">
        <v>431</v>
      </c>
      <c r="DE144" s="4">
        <v>126</v>
      </c>
      <c r="DO144" s="4">
        <v>3</v>
      </c>
    </row>
    <row r="145" customHeight="1" spans="1:314">
      <c r="A145" s="3">
        <v>5</v>
      </c>
      <c r="B145" s="4" t="s">
        <v>411</v>
      </c>
      <c r="C145" s="5" t="s">
        <v>444</v>
      </c>
      <c r="D145" s="4" t="s">
        <v>413</v>
      </c>
      <c r="E145" s="4" t="s">
        <v>445</v>
      </c>
      <c r="N145" s="24" t="s">
        <v>415</v>
      </c>
      <c r="O145" s="24" t="s">
        <v>367</v>
      </c>
      <c r="P145" s="4">
        <v>3.57</v>
      </c>
      <c r="T145" s="4">
        <v>32.5</v>
      </c>
      <c r="U145" s="4">
        <v>0.116</v>
      </c>
      <c r="V145" s="4">
        <v>2.2</v>
      </c>
      <c r="AB145" s="4" t="s">
        <v>416</v>
      </c>
      <c r="AD145" s="4" t="s">
        <v>446</v>
      </c>
      <c r="AE145" s="4" t="s">
        <v>418</v>
      </c>
      <c r="AF145" s="4" t="s">
        <v>447</v>
      </c>
      <c r="AG145" s="4" t="s">
        <v>316</v>
      </c>
      <c r="AH145" s="4" t="s">
        <v>432</v>
      </c>
      <c r="AL145" s="4" t="s">
        <v>433</v>
      </c>
      <c r="AM145" s="4">
        <v>7.73</v>
      </c>
      <c r="AN145" s="4">
        <v>18.55</v>
      </c>
      <c r="AQ145" s="4" t="s">
        <v>434</v>
      </c>
      <c r="AR145" s="4">
        <v>0.033</v>
      </c>
      <c r="AS145" s="4" t="s">
        <v>435</v>
      </c>
      <c r="AT145" s="4">
        <v>4.66</v>
      </c>
      <c r="AU145" s="4" t="s">
        <v>436</v>
      </c>
      <c r="AV145" s="4">
        <v>4.51</v>
      </c>
      <c r="AW145" s="4" t="s">
        <v>437</v>
      </c>
      <c r="AX145" s="4">
        <v>4.84</v>
      </c>
      <c r="AY145" s="4" t="s">
        <v>438</v>
      </c>
      <c r="AZ145" s="4">
        <v>14.04</v>
      </c>
      <c r="BA145" s="4" t="s">
        <v>439</v>
      </c>
      <c r="BB145" s="4">
        <v>1.92</v>
      </c>
      <c r="BE145" s="4" t="s">
        <v>440</v>
      </c>
      <c r="BI145" s="4" t="s">
        <v>321</v>
      </c>
      <c r="BL145" s="4">
        <v>10</v>
      </c>
      <c r="BP145" s="4">
        <v>0</v>
      </c>
      <c r="BV145" s="4" t="s">
        <v>322</v>
      </c>
      <c r="CB145" s="4" t="s">
        <v>434</v>
      </c>
      <c r="CC145" s="4">
        <v>0.033</v>
      </c>
      <c r="CE145" s="4" t="s">
        <v>435</v>
      </c>
      <c r="CF145" s="4">
        <v>4.66</v>
      </c>
      <c r="CH145" s="4" t="s">
        <v>436</v>
      </c>
      <c r="CI145" s="4">
        <v>4.51</v>
      </c>
      <c r="CK145" s="4" t="s">
        <v>437</v>
      </c>
      <c r="CL145" s="4">
        <v>4.84</v>
      </c>
      <c r="CN145" s="4" t="s">
        <v>438</v>
      </c>
      <c r="CO145" s="4">
        <v>14.04</v>
      </c>
      <c r="CP145" s="4" t="s">
        <v>439</v>
      </c>
      <c r="CQ145" s="4">
        <v>1.92</v>
      </c>
      <c r="DM145" s="4" t="s">
        <v>322</v>
      </c>
      <c r="DO145" s="4">
        <v>3</v>
      </c>
      <c r="DP145" s="4">
        <v>4.51</v>
      </c>
      <c r="DS145" s="4">
        <v>4.27</v>
      </c>
      <c r="DT145" s="1">
        <v>0.034</v>
      </c>
      <c r="ED145" s="1">
        <v>5.32150776053216</v>
      </c>
      <c r="FJ145" s="4">
        <v>1.69</v>
      </c>
      <c r="FL145" s="4">
        <v>1.69</v>
      </c>
      <c r="FM145" s="1">
        <v>0.0093</v>
      </c>
      <c r="FV145" s="1">
        <f t="shared" ref="FV145:FV152" si="3">(CQ145-FL145)/CQ145*100</f>
        <v>11.9791666666667</v>
      </c>
      <c r="FW145" s="1">
        <v>11.9791666666667</v>
      </c>
    </row>
    <row r="146" customHeight="1" spans="1:314">
      <c r="A146" s="3">
        <v>5</v>
      </c>
      <c r="B146" s="4" t="s">
        <v>411</v>
      </c>
      <c r="C146" s="5" t="s">
        <v>444</v>
      </c>
      <c r="D146" s="4" t="s">
        <v>413</v>
      </c>
      <c r="E146" s="4" t="s">
        <v>445</v>
      </c>
      <c r="N146" s="24" t="s">
        <v>415</v>
      </c>
      <c r="O146" s="24" t="s">
        <v>367</v>
      </c>
      <c r="P146" s="4">
        <v>3.57</v>
      </c>
      <c r="T146" s="4">
        <v>32.5</v>
      </c>
      <c r="U146" s="4">
        <v>0.116</v>
      </c>
      <c r="V146" s="4">
        <v>2.2</v>
      </c>
      <c r="AB146" s="4" t="s">
        <v>416</v>
      </c>
      <c r="AD146" s="4" t="s">
        <v>446</v>
      </c>
      <c r="AE146" s="4" t="s">
        <v>418</v>
      </c>
      <c r="AF146" s="4" t="s">
        <v>447</v>
      </c>
      <c r="AG146" s="4" t="s">
        <v>316</v>
      </c>
      <c r="AH146" s="4" t="s">
        <v>432</v>
      </c>
      <c r="AL146" s="4" t="s">
        <v>433</v>
      </c>
      <c r="AM146" s="4">
        <v>7.73</v>
      </c>
      <c r="AN146" s="4">
        <v>18.55</v>
      </c>
      <c r="AQ146" s="4" t="s">
        <v>434</v>
      </c>
      <c r="AR146" s="4">
        <v>0.033</v>
      </c>
      <c r="AS146" s="4" t="s">
        <v>435</v>
      </c>
      <c r="AT146" s="4">
        <v>4.66</v>
      </c>
      <c r="AU146" s="4" t="s">
        <v>436</v>
      </c>
      <c r="AV146" s="4">
        <v>4.51</v>
      </c>
      <c r="AW146" s="4" t="s">
        <v>437</v>
      </c>
      <c r="AX146" s="4">
        <v>4.84</v>
      </c>
      <c r="AY146" s="4" t="s">
        <v>438</v>
      </c>
      <c r="AZ146" s="4">
        <v>14.04</v>
      </c>
      <c r="BA146" s="4" t="s">
        <v>439</v>
      </c>
      <c r="BB146" s="4">
        <v>1.92</v>
      </c>
      <c r="BE146" s="4" t="s">
        <v>440</v>
      </c>
      <c r="BI146" s="4" t="s">
        <v>321</v>
      </c>
      <c r="BL146" s="4">
        <v>10</v>
      </c>
      <c r="BP146" s="4">
        <v>1</v>
      </c>
      <c r="BV146" s="4" t="s">
        <v>322</v>
      </c>
      <c r="CB146" s="4" t="s">
        <v>434</v>
      </c>
      <c r="CC146" s="4">
        <v>0.033</v>
      </c>
      <c r="CE146" s="4" t="s">
        <v>435</v>
      </c>
      <c r="CF146" s="4">
        <v>4.66</v>
      </c>
      <c r="CH146" s="4" t="s">
        <v>436</v>
      </c>
      <c r="CI146" s="4">
        <v>4.51</v>
      </c>
      <c r="CK146" s="4" t="s">
        <v>437</v>
      </c>
      <c r="CL146" s="4">
        <v>4.84</v>
      </c>
      <c r="CN146" s="4" t="s">
        <v>438</v>
      </c>
      <c r="CO146" s="4">
        <v>14.04</v>
      </c>
      <c r="CP146" s="4" t="s">
        <v>439</v>
      </c>
      <c r="CQ146" s="4">
        <v>1.92</v>
      </c>
      <c r="DM146" s="4" t="s">
        <v>322</v>
      </c>
      <c r="DO146" s="4">
        <v>3</v>
      </c>
      <c r="DP146" s="4">
        <v>4.51</v>
      </c>
      <c r="DQ146" s="4" t="s">
        <v>442</v>
      </c>
      <c r="DR146" s="1">
        <v>0.034</v>
      </c>
      <c r="DS146" s="4">
        <v>3.92</v>
      </c>
      <c r="DT146" s="1">
        <v>0.023</v>
      </c>
      <c r="ED146" s="1">
        <v>13.0820399113082</v>
      </c>
      <c r="FJ146" s="4" t="s">
        <v>441</v>
      </c>
      <c r="FK146" s="1">
        <v>0.0093</v>
      </c>
      <c r="FL146" s="4">
        <v>1.29</v>
      </c>
      <c r="FM146" s="1">
        <v>0.0093</v>
      </c>
      <c r="FV146" s="1">
        <f t="shared" si="3"/>
        <v>32.8125</v>
      </c>
      <c r="FW146" s="1">
        <v>32.8125</v>
      </c>
    </row>
    <row r="147" customHeight="1" spans="1:314">
      <c r="A147" s="3">
        <v>5</v>
      </c>
      <c r="B147" s="4" t="s">
        <v>411</v>
      </c>
      <c r="C147" s="5" t="s">
        <v>444</v>
      </c>
      <c r="D147" s="4" t="s">
        <v>413</v>
      </c>
      <c r="E147" s="4" t="s">
        <v>445</v>
      </c>
      <c r="N147" s="24" t="s">
        <v>415</v>
      </c>
      <c r="O147" s="24" t="s">
        <v>367</v>
      </c>
      <c r="P147" s="4">
        <v>3.57</v>
      </c>
      <c r="T147" s="4">
        <v>32.5</v>
      </c>
      <c r="U147" s="4">
        <v>0.116</v>
      </c>
      <c r="V147" s="4">
        <v>2.2</v>
      </c>
      <c r="AB147" s="4" t="s">
        <v>416</v>
      </c>
      <c r="AD147" s="4" t="s">
        <v>446</v>
      </c>
      <c r="AE147" s="4" t="s">
        <v>418</v>
      </c>
      <c r="AF147" s="4" t="s">
        <v>447</v>
      </c>
      <c r="AG147" s="4" t="s">
        <v>316</v>
      </c>
      <c r="AH147" s="4" t="s">
        <v>432</v>
      </c>
      <c r="AL147" s="4" t="s">
        <v>433</v>
      </c>
      <c r="AM147" s="4">
        <v>7.73</v>
      </c>
      <c r="AN147" s="4">
        <v>18.55</v>
      </c>
      <c r="AQ147" s="4" t="s">
        <v>434</v>
      </c>
      <c r="AR147" s="4">
        <v>0.033</v>
      </c>
      <c r="AS147" s="4" t="s">
        <v>435</v>
      </c>
      <c r="AT147" s="4">
        <v>4.66</v>
      </c>
      <c r="AU147" s="4" t="s">
        <v>436</v>
      </c>
      <c r="AV147" s="4">
        <v>4.51</v>
      </c>
      <c r="AW147" s="4" t="s">
        <v>437</v>
      </c>
      <c r="AX147" s="4">
        <v>4.84</v>
      </c>
      <c r="AY147" s="4" t="s">
        <v>438</v>
      </c>
      <c r="AZ147" s="4">
        <v>14.04</v>
      </c>
      <c r="BA147" s="4" t="s">
        <v>439</v>
      </c>
      <c r="BB147" s="4">
        <v>1.92</v>
      </c>
      <c r="BE147" s="4" t="s">
        <v>440</v>
      </c>
      <c r="BI147" s="4" t="s">
        <v>321</v>
      </c>
      <c r="BL147" s="4">
        <v>10</v>
      </c>
      <c r="BP147" s="4">
        <v>3</v>
      </c>
      <c r="BV147" s="4" t="s">
        <v>322</v>
      </c>
      <c r="CB147" s="4" t="s">
        <v>434</v>
      </c>
      <c r="CC147" s="4">
        <v>0.033</v>
      </c>
      <c r="CE147" s="4" t="s">
        <v>435</v>
      </c>
      <c r="CF147" s="4">
        <v>4.66</v>
      </c>
      <c r="CH147" s="4" t="s">
        <v>436</v>
      </c>
      <c r="CI147" s="4">
        <v>4.51</v>
      </c>
      <c r="CK147" s="4" t="s">
        <v>437</v>
      </c>
      <c r="CL147" s="4">
        <v>4.84</v>
      </c>
      <c r="CN147" s="4" t="s">
        <v>438</v>
      </c>
      <c r="CO147" s="4">
        <v>14.04</v>
      </c>
      <c r="CP147" s="4" t="s">
        <v>439</v>
      </c>
      <c r="CQ147" s="4">
        <v>1.92</v>
      </c>
      <c r="DM147" s="4" t="s">
        <v>322</v>
      </c>
      <c r="DO147" s="4">
        <v>3</v>
      </c>
      <c r="DP147" s="4">
        <v>4.51</v>
      </c>
      <c r="DQ147" s="4" t="s">
        <v>442</v>
      </c>
      <c r="DR147" s="1">
        <v>0.034</v>
      </c>
      <c r="DS147" s="4">
        <v>3.71</v>
      </c>
      <c r="DT147" s="1">
        <v>0.011</v>
      </c>
      <c r="ED147" s="1">
        <v>17.7383592017738</v>
      </c>
      <c r="FJ147" s="4" t="s">
        <v>441</v>
      </c>
      <c r="FK147" s="1">
        <v>0.0093</v>
      </c>
      <c r="FL147" s="4">
        <v>1.02</v>
      </c>
      <c r="FM147" s="1">
        <v>0.0093</v>
      </c>
      <c r="FV147" s="1">
        <f t="shared" si="3"/>
        <v>46.875</v>
      </c>
      <c r="FW147" s="1">
        <v>46.875</v>
      </c>
    </row>
    <row r="148" customHeight="1" spans="1:314">
      <c r="A148" s="3">
        <v>5</v>
      </c>
      <c r="B148" s="4" t="s">
        <v>411</v>
      </c>
      <c r="C148" s="5" t="s">
        <v>444</v>
      </c>
      <c r="D148" s="4" t="s">
        <v>413</v>
      </c>
      <c r="E148" s="4" t="s">
        <v>445</v>
      </c>
      <c r="N148" s="24" t="s">
        <v>415</v>
      </c>
      <c r="O148" s="24" t="s">
        <v>367</v>
      </c>
      <c r="P148" s="4">
        <v>3.57</v>
      </c>
      <c r="T148" s="4">
        <v>32.5</v>
      </c>
      <c r="U148" s="4">
        <v>0.116</v>
      </c>
      <c r="V148" s="4">
        <v>2.2</v>
      </c>
      <c r="AB148" s="4" t="s">
        <v>416</v>
      </c>
      <c r="AD148" s="4" t="s">
        <v>446</v>
      </c>
      <c r="AE148" s="4" t="s">
        <v>418</v>
      </c>
      <c r="AF148" s="4" t="s">
        <v>447</v>
      </c>
      <c r="AG148" s="4" t="s">
        <v>316</v>
      </c>
      <c r="AH148" s="4" t="s">
        <v>432</v>
      </c>
      <c r="AL148" s="4" t="s">
        <v>433</v>
      </c>
      <c r="AM148" s="4">
        <v>7.73</v>
      </c>
      <c r="AN148" s="4">
        <v>18.55</v>
      </c>
      <c r="AQ148" s="4" t="s">
        <v>434</v>
      </c>
      <c r="AR148" s="4">
        <v>0.033</v>
      </c>
      <c r="AS148" s="4" t="s">
        <v>435</v>
      </c>
      <c r="AT148" s="4">
        <v>4.66</v>
      </c>
      <c r="AU148" s="4" t="s">
        <v>436</v>
      </c>
      <c r="AV148" s="4">
        <v>4.51</v>
      </c>
      <c r="AW148" s="4" t="s">
        <v>437</v>
      </c>
      <c r="AX148" s="4">
        <v>4.84</v>
      </c>
      <c r="AY148" s="4" t="s">
        <v>438</v>
      </c>
      <c r="AZ148" s="4">
        <v>14.04</v>
      </c>
      <c r="BA148" s="4" t="s">
        <v>439</v>
      </c>
      <c r="BB148" s="4">
        <v>1.92</v>
      </c>
      <c r="BE148" s="4" t="s">
        <v>440</v>
      </c>
      <c r="BI148" s="4" t="s">
        <v>321</v>
      </c>
      <c r="BL148" s="4">
        <v>10</v>
      </c>
      <c r="BP148" s="4">
        <v>5</v>
      </c>
      <c r="BV148" s="4" t="s">
        <v>322</v>
      </c>
      <c r="CB148" s="4" t="s">
        <v>434</v>
      </c>
      <c r="CC148" s="4">
        <v>0.033</v>
      </c>
      <c r="CE148" s="4" t="s">
        <v>435</v>
      </c>
      <c r="CF148" s="4">
        <v>4.66</v>
      </c>
      <c r="CH148" s="4" t="s">
        <v>436</v>
      </c>
      <c r="CI148" s="4">
        <v>4.51</v>
      </c>
      <c r="CK148" s="4" t="s">
        <v>437</v>
      </c>
      <c r="CL148" s="4">
        <v>4.84</v>
      </c>
      <c r="CN148" s="4" t="s">
        <v>438</v>
      </c>
      <c r="CO148" s="4">
        <v>14.04</v>
      </c>
      <c r="CP148" s="4" t="s">
        <v>439</v>
      </c>
      <c r="CQ148" s="4">
        <v>1.92</v>
      </c>
      <c r="DM148" s="4" t="s">
        <v>322</v>
      </c>
      <c r="DO148" s="4">
        <v>3</v>
      </c>
      <c r="DP148" s="4">
        <v>4.51</v>
      </c>
      <c r="DQ148" s="4" t="s">
        <v>442</v>
      </c>
      <c r="DR148" s="1">
        <v>0.034</v>
      </c>
      <c r="DS148" s="4">
        <v>3.39</v>
      </c>
      <c r="DT148" s="1">
        <v>0.023</v>
      </c>
      <c r="ED148" s="1">
        <v>24.8337028824834</v>
      </c>
      <c r="FJ148" s="4" t="s">
        <v>441</v>
      </c>
      <c r="FK148" s="1">
        <v>0.0093</v>
      </c>
      <c r="FL148" s="4">
        <v>0.76</v>
      </c>
      <c r="FM148" s="1">
        <v>0.0046</v>
      </c>
      <c r="FV148" s="1">
        <f t="shared" si="3"/>
        <v>60.4166666666667</v>
      </c>
      <c r="FW148" s="1">
        <v>60.4166666666667</v>
      </c>
    </row>
    <row r="149" customHeight="1" spans="1:314">
      <c r="A149" s="3">
        <v>5</v>
      </c>
      <c r="B149" s="4" t="s">
        <v>411</v>
      </c>
      <c r="C149" s="5" t="s">
        <v>444</v>
      </c>
      <c r="D149" s="4" t="s">
        <v>413</v>
      </c>
      <c r="E149" s="4" t="s">
        <v>445</v>
      </c>
      <c r="N149" s="24" t="s">
        <v>415</v>
      </c>
      <c r="O149" s="24" t="s">
        <v>367</v>
      </c>
      <c r="P149" s="4">
        <v>3.57</v>
      </c>
      <c r="T149" s="4">
        <v>32.5</v>
      </c>
      <c r="U149" s="4">
        <v>0.116</v>
      </c>
      <c r="V149" s="4">
        <v>2.2</v>
      </c>
      <c r="AB149" s="4" t="s">
        <v>416</v>
      </c>
      <c r="AD149" s="4" t="s">
        <v>446</v>
      </c>
      <c r="AE149" s="4" t="s">
        <v>418</v>
      </c>
      <c r="AF149" s="4" t="s">
        <v>447</v>
      </c>
      <c r="AG149" s="4" t="s">
        <v>316</v>
      </c>
      <c r="AH149" s="4" t="s">
        <v>432</v>
      </c>
      <c r="AL149" s="4" t="s">
        <v>443</v>
      </c>
      <c r="AM149" s="4">
        <v>7.49</v>
      </c>
      <c r="AN149" s="4">
        <v>15.28</v>
      </c>
      <c r="AQ149" s="4" t="s">
        <v>434</v>
      </c>
      <c r="AR149" s="4">
        <v>0.032</v>
      </c>
      <c r="AS149" s="4" t="s">
        <v>435</v>
      </c>
      <c r="AT149" s="4">
        <v>2.81</v>
      </c>
      <c r="AU149" s="4" t="s">
        <v>436</v>
      </c>
      <c r="AV149" s="4">
        <v>2.71</v>
      </c>
      <c r="AW149" s="4" t="s">
        <v>437</v>
      </c>
      <c r="AX149" s="4">
        <v>7.32</v>
      </c>
      <c r="AY149" s="4" t="s">
        <v>438</v>
      </c>
      <c r="AZ149" s="4">
        <v>22.43</v>
      </c>
      <c r="BA149" s="4" t="s">
        <v>439</v>
      </c>
      <c r="BB149" s="4">
        <v>3.17</v>
      </c>
      <c r="BE149" s="4" t="s">
        <v>440</v>
      </c>
      <c r="BI149" s="4" t="s">
        <v>321</v>
      </c>
      <c r="BL149" s="4">
        <v>10</v>
      </c>
      <c r="BP149" s="4">
        <v>0</v>
      </c>
      <c r="BV149" s="4" t="s">
        <v>322</v>
      </c>
      <c r="CB149" s="4" t="s">
        <v>434</v>
      </c>
      <c r="CC149" s="4">
        <v>0.032</v>
      </c>
      <c r="CE149" s="4" t="s">
        <v>435</v>
      </c>
      <c r="CF149" s="4">
        <v>2.81</v>
      </c>
      <c r="CH149" s="4" t="s">
        <v>436</v>
      </c>
      <c r="CI149" s="4">
        <v>2.71</v>
      </c>
      <c r="CK149" s="4" t="s">
        <v>437</v>
      </c>
      <c r="CL149" s="4">
        <v>7.32</v>
      </c>
      <c r="CN149" s="4" t="s">
        <v>438</v>
      </c>
      <c r="CO149" s="4">
        <v>22.43</v>
      </c>
      <c r="CP149" s="4" t="s">
        <v>439</v>
      </c>
      <c r="CQ149" s="4">
        <v>3.17</v>
      </c>
      <c r="DM149" s="4" t="s">
        <v>322</v>
      </c>
      <c r="DO149" s="4">
        <v>3</v>
      </c>
      <c r="DP149" s="4">
        <v>2.71</v>
      </c>
      <c r="DS149" s="4">
        <v>2.357</v>
      </c>
      <c r="DT149" s="1">
        <v>0.0138</v>
      </c>
      <c r="ED149" s="1">
        <v>13.0258302583026</v>
      </c>
      <c r="FJ149" s="4">
        <v>2.9</v>
      </c>
      <c r="FL149" s="4">
        <v>2.9</v>
      </c>
      <c r="FM149" s="1">
        <v>0.0217</v>
      </c>
      <c r="FV149" s="1">
        <f t="shared" si="3"/>
        <v>8.51735015772871</v>
      </c>
      <c r="FW149" s="1">
        <v>8.51735015772871</v>
      </c>
    </row>
    <row r="150" customHeight="1" spans="1:314">
      <c r="A150" s="3">
        <v>5</v>
      </c>
      <c r="B150" s="4" t="s">
        <v>411</v>
      </c>
      <c r="C150" s="5" t="s">
        <v>444</v>
      </c>
      <c r="D150" s="4" t="s">
        <v>413</v>
      </c>
      <c r="E150" s="4" t="s">
        <v>445</v>
      </c>
      <c r="N150" s="24" t="s">
        <v>415</v>
      </c>
      <c r="O150" s="24" t="s">
        <v>367</v>
      </c>
      <c r="P150" s="4">
        <v>3.57</v>
      </c>
      <c r="T150" s="4">
        <v>32.5</v>
      </c>
      <c r="U150" s="4">
        <v>0.116</v>
      </c>
      <c r="V150" s="4">
        <v>2.2</v>
      </c>
      <c r="AB150" s="4" t="s">
        <v>416</v>
      </c>
      <c r="AD150" s="4" t="s">
        <v>446</v>
      </c>
      <c r="AE150" s="4" t="s">
        <v>418</v>
      </c>
      <c r="AF150" s="4" t="s">
        <v>447</v>
      </c>
      <c r="AG150" s="4" t="s">
        <v>316</v>
      </c>
      <c r="AH150" s="4" t="s">
        <v>432</v>
      </c>
      <c r="AL150" s="4" t="s">
        <v>443</v>
      </c>
      <c r="AM150" s="4">
        <v>7.49</v>
      </c>
      <c r="AN150" s="4">
        <v>15.28</v>
      </c>
      <c r="AQ150" s="4" t="s">
        <v>434</v>
      </c>
      <c r="AR150" s="4">
        <v>0.032</v>
      </c>
      <c r="AS150" s="4" t="s">
        <v>435</v>
      </c>
      <c r="AT150" s="4">
        <v>2.81</v>
      </c>
      <c r="AU150" s="4" t="s">
        <v>436</v>
      </c>
      <c r="AV150" s="4">
        <v>2.71</v>
      </c>
      <c r="AW150" s="4" t="s">
        <v>437</v>
      </c>
      <c r="AX150" s="4">
        <v>7.32</v>
      </c>
      <c r="AY150" s="4" t="s">
        <v>438</v>
      </c>
      <c r="AZ150" s="4">
        <v>22.43</v>
      </c>
      <c r="BA150" s="4" t="s">
        <v>439</v>
      </c>
      <c r="BB150" s="4">
        <v>3.17</v>
      </c>
      <c r="BE150" s="4" t="s">
        <v>440</v>
      </c>
      <c r="BI150" s="4" t="s">
        <v>321</v>
      </c>
      <c r="BL150" s="4">
        <v>10</v>
      </c>
      <c r="BP150" s="4">
        <v>1</v>
      </c>
      <c r="BV150" s="4" t="s">
        <v>322</v>
      </c>
      <c r="CB150" s="4" t="s">
        <v>434</v>
      </c>
      <c r="CC150" s="4">
        <v>0.032</v>
      </c>
      <c r="CE150" s="4" t="s">
        <v>435</v>
      </c>
      <c r="CF150" s="4">
        <v>2.81</v>
      </c>
      <c r="CH150" s="4" t="s">
        <v>436</v>
      </c>
      <c r="CI150" s="4">
        <v>2.71</v>
      </c>
      <c r="CK150" s="4" t="s">
        <v>437</v>
      </c>
      <c r="CL150" s="4">
        <v>7.32</v>
      </c>
      <c r="CN150" s="4" t="s">
        <v>438</v>
      </c>
      <c r="CO150" s="4">
        <v>22.43</v>
      </c>
      <c r="CP150" s="4" t="s">
        <v>439</v>
      </c>
      <c r="CQ150" s="4">
        <v>3.17</v>
      </c>
      <c r="DM150" s="4" t="s">
        <v>322</v>
      </c>
      <c r="DO150" s="4">
        <v>3</v>
      </c>
      <c r="DP150" s="4">
        <v>2.71</v>
      </c>
      <c r="DS150" s="4">
        <v>2.36</v>
      </c>
      <c r="DT150" s="1">
        <v>0.0138</v>
      </c>
      <c r="ED150" s="1">
        <v>12.9151291512915</v>
      </c>
      <c r="FJ150" s="4">
        <v>2.9</v>
      </c>
      <c r="FL150" s="4">
        <v>2.07</v>
      </c>
      <c r="FM150" s="1">
        <v>0.0145</v>
      </c>
      <c r="FV150" s="1">
        <f t="shared" si="3"/>
        <v>34.7003154574133</v>
      </c>
      <c r="FW150" s="1">
        <v>34.7003154574133</v>
      </c>
    </row>
    <row r="151" customHeight="1" spans="1:314">
      <c r="A151" s="3">
        <v>5</v>
      </c>
      <c r="B151" s="4" t="s">
        <v>411</v>
      </c>
      <c r="C151" s="5" t="s">
        <v>444</v>
      </c>
      <c r="D151" s="4" t="s">
        <v>413</v>
      </c>
      <c r="E151" s="4" t="s">
        <v>445</v>
      </c>
      <c r="N151" s="24" t="s">
        <v>415</v>
      </c>
      <c r="O151" s="24" t="s">
        <v>367</v>
      </c>
      <c r="P151" s="4">
        <v>3.57</v>
      </c>
      <c r="T151" s="4">
        <v>32.5</v>
      </c>
      <c r="U151" s="4">
        <v>0.116</v>
      </c>
      <c r="V151" s="4">
        <v>2.2</v>
      </c>
      <c r="AB151" s="4" t="s">
        <v>416</v>
      </c>
      <c r="AD151" s="4" t="s">
        <v>446</v>
      </c>
      <c r="AE151" s="4" t="s">
        <v>418</v>
      </c>
      <c r="AF151" s="4" t="s">
        <v>447</v>
      </c>
      <c r="AG151" s="4" t="s">
        <v>316</v>
      </c>
      <c r="AH151" s="4" t="s">
        <v>432</v>
      </c>
      <c r="AL151" s="4" t="s">
        <v>443</v>
      </c>
      <c r="AM151" s="4">
        <v>7.49</v>
      </c>
      <c r="AN151" s="4">
        <v>15.28</v>
      </c>
      <c r="AQ151" s="4" t="s">
        <v>434</v>
      </c>
      <c r="AR151" s="4">
        <v>0.032</v>
      </c>
      <c r="AS151" s="4" t="s">
        <v>435</v>
      </c>
      <c r="AT151" s="4">
        <v>2.81</v>
      </c>
      <c r="AU151" s="4" t="s">
        <v>436</v>
      </c>
      <c r="AV151" s="4">
        <v>2.71</v>
      </c>
      <c r="AW151" s="4" t="s">
        <v>437</v>
      </c>
      <c r="AX151" s="4">
        <v>7.32</v>
      </c>
      <c r="AY151" s="4" t="s">
        <v>438</v>
      </c>
      <c r="AZ151" s="4">
        <v>22.43</v>
      </c>
      <c r="BA151" s="4" t="s">
        <v>439</v>
      </c>
      <c r="BB151" s="4">
        <v>3.17</v>
      </c>
      <c r="BE151" s="4" t="s">
        <v>440</v>
      </c>
      <c r="BI151" s="4" t="s">
        <v>321</v>
      </c>
      <c r="BL151" s="4">
        <v>10</v>
      </c>
      <c r="BP151" s="4">
        <v>3</v>
      </c>
      <c r="BV151" s="4" t="s">
        <v>322</v>
      </c>
      <c r="CB151" s="4" t="s">
        <v>434</v>
      </c>
      <c r="CC151" s="4">
        <v>0.032</v>
      </c>
      <c r="CE151" s="4" t="s">
        <v>435</v>
      </c>
      <c r="CF151" s="4">
        <v>2.81</v>
      </c>
      <c r="CH151" s="4" t="s">
        <v>436</v>
      </c>
      <c r="CI151" s="4">
        <v>2.71</v>
      </c>
      <c r="CK151" s="4" t="s">
        <v>437</v>
      </c>
      <c r="CL151" s="4">
        <v>7.32</v>
      </c>
      <c r="CN151" s="4" t="s">
        <v>438</v>
      </c>
      <c r="CO151" s="4">
        <v>22.43</v>
      </c>
      <c r="CP151" s="4" t="s">
        <v>439</v>
      </c>
      <c r="CQ151" s="4">
        <v>3.17</v>
      </c>
      <c r="DM151" s="4" t="s">
        <v>322</v>
      </c>
      <c r="DO151" s="4">
        <v>3</v>
      </c>
      <c r="DP151" s="4">
        <v>2.71</v>
      </c>
      <c r="DS151" s="4">
        <v>2.18</v>
      </c>
      <c r="DT151" s="1">
        <v>0.0207</v>
      </c>
      <c r="ED151" s="1">
        <v>19.5571955719557</v>
      </c>
      <c r="FJ151" s="4">
        <v>2.9</v>
      </c>
      <c r="FL151" s="4">
        <v>1.66</v>
      </c>
      <c r="FM151" s="1">
        <v>0.0072</v>
      </c>
      <c r="FV151" s="1">
        <f t="shared" si="3"/>
        <v>47.6340694006309</v>
      </c>
      <c r="FW151" s="1">
        <v>47.6340694006309</v>
      </c>
    </row>
    <row r="152" customHeight="1" spans="1:314">
      <c r="A152" s="3">
        <v>5</v>
      </c>
      <c r="B152" s="4" t="s">
        <v>411</v>
      </c>
      <c r="C152" s="5" t="s">
        <v>444</v>
      </c>
      <c r="D152" s="4" t="s">
        <v>413</v>
      </c>
      <c r="E152" s="4" t="s">
        <v>445</v>
      </c>
      <c r="N152" s="24" t="s">
        <v>415</v>
      </c>
      <c r="O152" s="24" t="s">
        <v>367</v>
      </c>
      <c r="P152" s="4">
        <v>3.57</v>
      </c>
      <c r="T152" s="4">
        <v>32.5</v>
      </c>
      <c r="U152" s="4">
        <v>0.116</v>
      </c>
      <c r="V152" s="4">
        <v>2.2</v>
      </c>
      <c r="AB152" s="4" t="s">
        <v>416</v>
      </c>
      <c r="AD152" s="4" t="s">
        <v>446</v>
      </c>
      <c r="AE152" s="4" t="s">
        <v>418</v>
      </c>
      <c r="AF152" s="4" t="s">
        <v>447</v>
      </c>
      <c r="AG152" s="4" t="s">
        <v>316</v>
      </c>
      <c r="AH152" s="4" t="s">
        <v>432</v>
      </c>
      <c r="AL152" s="4" t="s">
        <v>443</v>
      </c>
      <c r="AM152" s="4">
        <v>7.49</v>
      </c>
      <c r="AN152" s="4">
        <v>15.28</v>
      </c>
      <c r="AQ152" s="4" t="s">
        <v>434</v>
      </c>
      <c r="AR152" s="4">
        <v>0.032</v>
      </c>
      <c r="AS152" s="4" t="s">
        <v>435</v>
      </c>
      <c r="AT152" s="4">
        <v>2.81</v>
      </c>
      <c r="AU152" s="4" t="s">
        <v>436</v>
      </c>
      <c r="AV152" s="4">
        <v>2.71</v>
      </c>
      <c r="AW152" s="4" t="s">
        <v>437</v>
      </c>
      <c r="AX152" s="4">
        <v>7.32</v>
      </c>
      <c r="AY152" s="4" t="s">
        <v>438</v>
      </c>
      <c r="AZ152" s="4">
        <v>22.43</v>
      </c>
      <c r="BA152" s="4" t="s">
        <v>439</v>
      </c>
      <c r="BB152" s="4">
        <v>3.17</v>
      </c>
      <c r="BE152" s="4" t="s">
        <v>440</v>
      </c>
      <c r="BI152" s="4" t="s">
        <v>321</v>
      </c>
      <c r="BL152" s="4">
        <v>10</v>
      </c>
      <c r="BP152" s="4">
        <v>5</v>
      </c>
      <c r="BV152" s="4" t="s">
        <v>322</v>
      </c>
      <c r="CB152" s="4" t="s">
        <v>434</v>
      </c>
      <c r="CC152" s="4">
        <v>0.032</v>
      </c>
      <c r="CE152" s="4" t="s">
        <v>435</v>
      </c>
      <c r="CF152" s="4">
        <v>2.81</v>
      </c>
      <c r="CH152" s="4" t="s">
        <v>436</v>
      </c>
      <c r="CI152" s="4">
        <v>2.71</v>
      </c>
      <c r="CK152" s="4" t="s">
        <v>437</v>
      </c>
      <c r="CL152" s="4">
        <v>7.32</v>
      </c>
      <c r="CN152" s="4" t="s">
        <v>438</v>
      </c>
      <c r="CO152" s="4">
        <v>22.43</v>
      </c>
      <c r="CP152" s="4" t="s">
        <v>439</v>
      </c>
      <c r="CQ152" s="4">
        <v>3.17</v>
      </c>
      <c r="DM152" s="4" t="s">
        <v>322</v>
      </c>
      <c r="DO152" s="4">
        <v>3</v>
      </c>
      <c r="DP152" s="4">
        <v>2.71</v>
      </c>
      <c r="DS152" s="4">
        <v>1.96</v>
      </c>
      <c r="DT152" s="1">
        <v>0.0069</v>
      </c>
      <c r="ED152" s="1">
        <v>27.6752767527675</v>
      </c>
      <c r="FJ152" s="4">
        <v>2.9</v>
      </c>
      <c r="FL152" s="4">
        <v>1.43</v>
      </c>
      <c r="FM152" s="1">
        <v>0.0072</v>
      </c>
      <c r="FV152" s="1">
        <f t="shared" si="3"/>
        <v>54.8895899053628</v>
      </c>
      <c r="FW152" s="1">
        <v>54.8895899053628</v>
      </c>
    </row>
    <row r="153" customHeight="1" spans="1:314">
      <c r="A153" s="16">
        <v>6</v>
      </c>
      <c r="B153" s="4" t="s">
        <v>448</v>
      </c>
      <c r="C153" s="5" t="s">
        <v>449</v>
      </c>
      <c r="D153" s="4" t="s">
        <v>300</v>
      </c>
      <c r="E153" s="4" t="s">
        <v>450</v>
      </c>
      <c r="H153" s="4" t="s">
        <v>328</v>
      </c>
      <c r="I153" s="4" t="s">
        <v>451</v>
      </c>
      <c r="N153" s="24" t="s">
        <v>302</v>
      </c>
      <c r="O153" s="24" t="s">
        <v>303</v>
      </c>
      <c r="T153" s="4">
        <v>123.26</v>
      </c>
      <c r="U153" s="4">
        <v>0.01176</v>
      </c>
      <c r="V153" s="4">
        <v>3.87</v>
      </c>
      <c r="AB153" s="4" t="s">
        <v>452</v>
      </c>
      <c r="AC153" s="4" t="s">
        <v>453</v>
      </c>
      <c r="AD153" s="4" t="s">
        <v>454</v>
      </c>
      <c r="AE153" s="4" t="s">
        <v>455</v>
      </c>
      <c r="AF153" s="63" t="s">
        <v>456</v>
      </c>
      <c r="BI153" s="4" t="s">
        <v>309</v>
      </c>
      <c r="BN153" s="4">
        <v>4</v>
      </c>
      <c r="BS153" s="4">
        <v>6</v>
      </c>
      <c r="BU153" s="4">
        <v>150</v>
      </c>
      <c r="BV153" s="4" t="s">
        <v>427</v>
      </c>
      <c r="CB153" s="4" t="s">
        <v>457</v>
      </c>
      <c r="CC153" s="4">
        <v>50</v>
      </c>
      <c r="CV153" s="4">
        <v>60</v>
      </c>
      <c r="CX153" s="4" t="s">
        <v>314</v>
      </c>
      <c r="DM153" s="4">
        <v>60</v>
      </c>
      <c r="DO153" s="4">
        <v>3</v>
      </c>
      <c r="DS153" s="1">
        <v>12.43</v>
      </c>
      <c r="ED153" s="1">
        <v>75.14</v>
      </c>
      <c r="KZ153" s="1" t="s">
        <v>458</v>
      </c>
      <c r="LA153" s="1" t="s">
        <v>459</v>
      </c>
      <c r="LB153" s="1" t="s">
        <v>460</v>
      </c>
    </row>
    <row r="154" customHeight="1" spans="1:314">
      <c r="A154" s="16">
        <v>6</v>
      </c>
      <c r="B154" s="4" t="s">
        <v>448</v>
      </c>
      <c r="C154" s="5" t="s">
        <v>449</v>
      </c>
      <c r="D154" s="4" t="s">
        <v>300</v>
      </c>
      <c r="E154" s="4" t="s">
        <v>450</v>
      </c>
      <c r="H154" s="4" t="s">
        <v>328</v>
      </c>
      <c r="I154" s="4" t="s">
        <v>451</v>
      </c>
      <c r="N154" s="24" t="s">
        <v>302</v>
      </c>
      <c r="O154" s="24" t="s">
        <v>303</v>
      </c>
      <c r="T154" s="4">
        <v>123.26</v>
      </c>
      <c r="U154" s="4">
        <v>0.01176</v>
      </c>
      <c r="V154" s="4">
        <v>3.87</v>
      </c>
      <c r="AB154" s="4" t="s">
        <v>452</v>
      </c>
      <c r="AC154" s="4" t="s">
        <v>453</v>
      </c>
      <c r="AD154" s="4" t="s">
        <v>454</v>
      </c>
      <c r="AE154" s="4" t="s">
        <v>455</v>
      </c>
      <c r="AF154" s="63" t="s">
        <v>456</v>
      </c>
      <c r="BI154" s="4" t="s">
        <v>309</v>
      </c>
      <c r="BN154" s="4">
        <v>4</v>
      </c>
      <c r="BS154" s="4">
        <v>6</v>
      </c>
      <c r="BU154" s="4">
        <v>150</v>
      </c>
      <c r="BV154" s="4">
        <v>300</v>
      </c>
      <c r="BW154" s="4">
        <v>25</v>
      </c>
      <c r="CB154" s="4" t="s">
        <v>457</v>
      </c>
      <c r="CC154" s="4" t="s">
        <v>461</v>
      </c>
      <c r="DB154" s="4" t="s">
        <v>312</v>
      </c>
      <c r="DC154" s="4" t="s">
        <v>462</v>
      </c>
      <c r="DE154" s="4">
        <v>18.86</v>
      </c>
      <c r="DO154" s="4">
        <v>3</v>
      </c>
      <c r="DW154" s="29">
        <v>18.86</v>
      </c>
      <c r="KZ154" s="1" t="s">
        <v>463</v>
      </c>
      <c r="LA154" s="1" t="s">
        <v>459</v>
      </c>
    </row>
    <row r="155" customHeight="1" spans="1:314">
      <c r="A155" s="16">
        <v>6</v>
      </c>
      <c r="B155" s="4" t="s">
        <v>448</v>
      </c>
      <c r="C155" s="5" t="s">
        <v>449</v>
      </c>
      <c r="D155" s="4" t="s">
        <v>300</v>
      </c>
      <c r="E155" s="4" t="s">
        <v>450</v>
      </c>
      <c r="H155" s="4" t="s">
        <v>328</v>
      </c>
      <c r="I155" s="4" t="s">
        <v>451</v>
      </c>
      <c r="N155" s="24" t="s">
        <v>302</v>
      </c>
      <c r="O155" s="24" t="s">
        <v>303</v>
      </c>
      <c r="T155" s="4">
        <v>123.26</v>
      </c>
      <c r="U155" s="4">
        <v>0.01176</v>
      </c>
      <c r="V155" s="4">
        <v>3.87</v>
      </c>
      <c r="AB155" s="4" t="s">
        <v>452</v>
      </c>
      <c r="AC155" s="4" t="s">
        <v>453</v>
      </c>
      <c r="AD155" s="4" t="s">
        <v>454</v>
      </c>
      <c r="AE155" s="4" t="s">
        <v>455</v>
      </c>
      <c r="AF155" s="63" t="s">
        <v>456</v>
      </c>
      <c r="BI155" s="4" t="s">
        <v>309</v>
      </c>
      <c r="BN155" s="4">
        <v>4</v>
      </c>
      <c r="BS155" s="4">
        <v>6</v>
      </c>
      <c r="BU155" s="4">
        <v>150</v>
      </c>
      <c r="BV155" s="4">
        <v>300</v>
      </c>
      <c r="BW155" s="4">
        <v>35</v>
      </c>
      <c r="CB155" s="4" t="s">
        <v>457</v>
      </c>
      <c r="CC155" s="4" t="s">
        <v>461</v>
      </c>
      <c r="DB155" s="4" t="s">
        <v>312</v>
      </c>
      <c r="DC155" s="4" t="s">
        <v>462</v>
      </c>
      <c r="DE155" s="4">
        <v>23.49</v>
      </c>
      <c r="DO155" s="4">
        <v>3</v>
      </c>
      <c r="DW155" s="29">
        <v>23.49</v>
      </c>
      <c r="KZ155" s="1" t="s">
        <v>464</v>
      </c>
      <c r="LA155" s="1" t="s">
        <v>459</v>
      </c>
    </row>
    <row r="156" customHeight="1" spans="1:314">
      <c r="A156" s="16">
        <v>6</v>
      </c>
      <c r="B156" s="4" t="s">
        <v>448</v>
      </c>
      <c r="C156" s="5" t="s">
        <v>449</v>
      </c>
      <c r="D156" s="4" t="s">
        <v>300</v>
      </c>
      <c r="E156" s="4" t="s">
        <v>450</v>
      </c>
      <c r="H156" s="4" t="s">
        <v>328</v>
      </c>
      <c r="I156" s="4" t="s">
        <v>451</v>
      </c>
      <c r="N156" s="24" t="s">
        <v>302</v>
      </c>
      <c r="O156" s="24" t="s">
        <v>303</v>
      </c>
      <c r="T156" s="4">
        <v>123.26</v>
      </c>
      <c r="U156" s="4">
        <v>0.01176</v>
      </c>
      <c r="V156" s="4">
        <v>3.87</v>
      </c>
      <c r="AB156" s="4" t="s">
        <v>452</v>
      </c>
      <c r="AC156" s="4" t="s">
        <v>453</v>
      </c>
      <c r="AD156" s="4" t="s">
        <v>454</v>
      </c>
      <c r="AE156" s="4" t="s">
        <v>455</v>
      </c>
      <c r="AF156" s="63" t="s">
        <v>456</v>
      </c>
      <c r="BI156" s="4" t="s">
        <v>309</v>
      </c>
      <c r="BN156" s="4">
        <v>4</v>
      </c>
      <c r="BS156" s="4">
        <v>6</v>
      </c>
      <c r="BU156" s="4">
        <v>150</v>
      </c>
      <c r="BV156" s="4">
        <v>300</v>
      </c>
      <c r="BW156" s="4">
        <v>45</v>
      </c>
      <c r="CB156" s="4" t="s">
        <v>457</v>
      </c>
      <c r="CC156" s="4" t="s">
        <v>461</v>
      </c>
      <c r="DB156" s="4" t="s">
        <v>312</v>
      </c>
      <c r="DC156" s="4" t="s">
        <v>462</v>
      </c>
      <c r="DE156" s="4">
        <v>24.58</v>
      </c>
      <c r="DO156" s="4">
        <v>3</v>
      </c>
      <c r="DW156" s="29">
        <v>24.58</v>
      </c>
      <c r="KZ156" s="1" t="s">
        <v>465</v>
      </c>
      <c r="LA156" s="1" t="s">
        <v>459</v>
      </c>
    </row>
    <row r="157" customHeight="1" spans="1:314">
      <c r="A157" s="16">
        <v>6</v>
      </c>
      <c r="B157" s="4" t="s">
        <v>448</v>
      </c>
      <c r="C157" s="5" t="s">
        <v>449</v>
      </c>
      <c r="D157" s="4" t="s">
        <v>300</v>
      </c>
      <c r="E157" s="4" t="s">
        <v>450</v>
      </c>
      <c r="H157" s="4" t="s">
        <v>328</v>
      </c>
      <c r="I157" s="4" t="s">
        <v>451</v>
      </c>
      <c r="N157" s="24" t="s">
        <v>302</v>
      </c>
      <c r="O157" s="24" t="s">
        <v>303</v>
      </c>
      <c r="T157" s="4">
        <v>123.26</v>
      </c>
      <c r="U157" s="4">
        <v>0.01176</v>
      </c>
      <c r="V157" s="4">
        <v>3.87</v>
      </c>
      <c r="AB157" s="4" t="s">
        <v>452</v>
      </c>
      <c r="AC157" s="4" t="s">
        <v>453</v>
      </c>
      <c r="AD157" s="4" t="s">
        <v>454</v>
      </c>
      <c r="AE157" s="4" t="s">
        <v>455</v>
      </c>
      <c r="AF157" s="63" t="s">
        <v>456</v>
      </c>
      <c r="BI157" s="4" t="s">
        <v>309</v>
      </c>
      <c r="BS157" s="4">
        <v>6</v>
      </c>
      <c r="BU157" s="4">
        <v>150</v>
      </c>
      <c r="BV157" s="4" t="s">
        <v>427</v>
      </c>
      <c r="CB157" s="4" t="s">
        <v>463</v>
      </c>
      <c r="CC157" s="4">
        <v>50</v>
      </c>
      <c r="CV157" s="4">
        <v>60</v>
      </c>
      <c r="CX157" s="4" t="s">
        <v>314</v>
      </c>
      <c r="DM157" s="4">
        <v>60</v>
      </c>
      <c r="DO157" s="4">
        <v>3</v>
      </c>
      <c r="HT157" s="1">
        <v>11.66</v>
      </c>
      <c r="ID157" s="1">
        <f>(50-11.66)/50*100</f>
        <v>76.68</v>
      </c>
      <c r="IE157" s="1">
        <f>(50-11.66)/50*100</f>
        <v>76.68</v>
      </c>
    </row>
    <row r="158" customHeight="1" spans="1:314">
      <c r="A158" s="16">
        <v>6</v>
      </c>
      <c r="B158" s="4" t="s">
        <v>448</v>
      </c>
      <c r="C158" s="5" t="s">
        <v>449</v>
      </c>
      <c r="D158" s="4" t="s">
        <v>300</v>
      </c>
      <c r="E158" s="4" t="s">
        <v>450</v>
      </c>
      <c r="H158" s="4" t="s">
        <v>328</v>
      </c>
      <c r="I158" s="4" t="s">
        <v>451</v>
      </c>
      <c r="N158" s="24" t="s">
        <v>302</v>
      </c>
      <c r="O158" s="24" t="s">
        <v>303</v>
      </c>
      <c r="T158" s="4">
        <v>123.26</v>
      </c>
      <c r="U158" s="4">
        <v>0.01176</v>
      </c>
      <c r="V158" s="4">
        <v>3.87</v>
      </c>
      <c r="AB158" s="4" t="s">
        <v>452</v>
      </c>
      <c r="AC158" s="4" t="s">
        <v>453</v>
      </c>
      <c r="AD158" s="4" t="s">
        <v>454</v>
      </c>
      <c r="AE158" s="4" t="s">
        <v>455</v>
      </c>
      <c r="AF158" s="63" t="s">
        <v>456</v>
      </c>
      <c r="BI158" s="4" t="s">
        <v>309</v>
      </c>
      <c r="BN158" s="4">
        <v>4</v>
      </c>
      <c r="BS158" s="4">
        <v>6</v>
      </c>
      <c r="BU158" s="4">
        <v>150</v>
      </c>
      <c r="BV158" s="4">
        <v>300</v>
      </c>
      <c r="BW158" s="4">
        <v>25</v>
      </c>
      <c r="CB158" s="4" t="s">
        <v>463</v>
      </c>
      <c r="CC158" s="4" t="s">
        <v>461</v>
      </c>
      <c r="DB158" s="4" t="s">
        <v>312</v>
      </c>
      <c r="DC158" s="4" t="s">
        <v>462</v>
      </c>
      <c r="DE158" s="4">
        <v>44.58</v>
      </c>
      <c r="DO158" s="4">
        <v>3</v>
      </c>
      <c r="HX158" s="1">
        <v>44.58</v>
      </c>
    </row>
    <row r="159" customHeight="1" spans="1:314">
      <c r="A159" s="16">
        <v>6</v>
      </c>
      <c r="B159" s="4" t="s">
        <v>448</v>
      </c>
      <c r="C159" s="5" t="s">
        <v>449</v>
      </c>
      <c r="D159" s="4" t="s">
        <v>300</v>
      </c>
      <c r="E159" s="4" t="s">
        <v>450</v>
      </c>
      <c r="H159" s="4" t="s">
        <v>328</v>
      </c>
      <c r="I159" s="4" t="s">
        <v>451</v>
      </c>
      <c r="N159" s="24" t="s">
        <v>302</v>
      </c>
      <c r="O159" s="24" t="s">
        <v>303</v>
      </c>
      <c r="T159" s="4">
        <v>123.26</v>
      </c>
      <c r="U159" s="4">
        <v>0.01176</v>
      </c>
      <c r="V159" s="4">
        <v>3.87</v>
      </c>
      <c r="AB159" s="4" t="s">
        <v>452</v>
      </c>
      <c r="AC159" s="4" t="s">
        <v>453</v>
      </c>
      <c r="AD159" s="4" t="s">
        <v>454</v>
      </c>
      <c r="AE159" s="4" t="s">
        <v>455</v>
      </c>
      <c r="AF159" s="63" t="s">
        <v>456</v>
      </c>
      <c r="BI159" s="4" t="s">
        <v>309</v>
      </c>
      <c r="BN159" s="4">
        <v>4</v>
      </c>
      <c r="BS159" s="4">
        <v>6</v>
      </c>
      <c r="BU159" s="4">
        <v>150</v>
      </c>
      <c r="BV159" s="4">
        <v>300</v>
      </c>
      <c r="BW159" s="4">
        <v>35</v>
      </c>
      <c r="CB159" s="4" t="s">
        <v>463</v>
      </c>
      <c r="CC159" s="4" t="s">
        <v>461</v>
      </c>
      <c r="DB159" s="4" t="s">
        <v>312</v>
      </c>
      <c r="DC159" s="4" t="s">
        <v>462</v>
      </c>
      <c r="DE159" s="4">
        <v>48</v>
      </c>
      <c r="DO159" s="4">
        <v>3</v>
      </c>
      <c r="HX159" s="1">
        <v>48</v>
      </c>
    </row>
    <row r="160" customHeight="1" spans="1:314">
      <c r="A160" s="16">
        <v>6</v>
      </c>
      <c r="B160" s="4" t="s">
        <v>448</v>
      </c>
      <c r="C160" s="5" t="s">
        <v>449</v>
      </c>
      <c r="D160" s="4" t="s">
        <v>300</v>
      </c>
      <c r="E160" s="4" t="s">
        <v>450</v>
      </c>
      <c r="H160" s="4" t="s">
        <v>328</v>
      </c>
      <c r="I160" s="4" t="s">
        <v>451</v>
      </c>
      <c r="N160" s="24" t="s">
        <v>302</v>
      </c>
      <c r="O160" s="24" t="s">
        <v>303</v>
      </c>
      <c r="T160" s="4">
        <v>123.26</v>
      </c>
      <c r="U160" s="4">
        <v>0.01176</v>
      </c>
      <c r="V160" s="4">
        <v>3.87</v>
      </c>
      <c r="AB160" s="4" t="s">
        <v>452</v>
      </c>
      <c r="AC160" s="4" t="s">
        <v>453</v>
      </c>
      <c r="AD160" s="4" t="s">
        <v>454</v>
      </c>
      <c r="AE160" s="4" t="s">
        <v>455</v>
      </c>
      <c r="AF160" s="63" t="s">
        <v>456</v>
      </c>
      <c r="BI160" s="4" t="s">
        <v>309</v>
      </c>
      <c r="BN160" s="4">
        <v>4</v>
      </c>
      <c r="BS160" s="4">
        <v>6</v>
      </c>
      <c r="BU160" s="4">
        <v>150</v>
      </c>
      <c r="BV160" s="4">
        <v>300</v>
      </c>
      <c r="BW160" s="4">
        <v>45</v>
      </c>
      <c r="CB160" s="4" t="s">
        <v>463</v>
      </c>
      <c r="CC160" s="4" t="s">
        <v>461</v>
      </c>
      <c r="DB160" s="4" t="s">
        <v>312</v>
      </c>
      <c r="DC160" s="4" t="s">
        <v>462</v>
      </c>
      <c r="DE160" s="4">
        <v>57.57</v>
      </c>
      <c r="DO160" s="4">
        <v>3</v>
      </c>
      <c r="HX160" s="1">
        <v>57.57</v>
      </c>
    </row>
    <row r="161" customHeight="1" spans="1:295">
      <c r="A161" s="16">
        <v>6</v>
      </c>
      <c r="B161" s="4" t="s">
        <v>448</v>
      </c>
      <c r="C161" s="5" t="s">
        <v>449</v>
      </c>
      <c r="D161" s="4" t="s">
        <v>300</v>
      </c>
      <c r="E161" s="4" t="s">
        <v>450</v>
      </c>
      <c r="H161" s="4" t="s">
        <v>328</v>
      </c>
      <c r="I161" s="4" t="s">
        <v>451</v>
      </c>
      <c r="N161" s="24" t="s">
        <v>302</v>
      </c>
      <c r="O161" s="24" t="s">
        <v>303</v>
      </c>
      <c r="T161" s="4">
        <v>123.26</v>
      </c>
      <c r="U161" s="4">
        <v>0.01176</v>
      </c>
      <c r="V161" s="4">
        <v>3.87</v>
      </c>
      <c r="AB161" s="4" t="s">
        <v>452</v>
      </c>
      <c r="AC161" s="4" t="s">
        <v>453</v>
      </c>
      <c r="AD161" s="4" t="s">
        <v>454</v>
      </c>
      <c r="AE161" s="4" t="s">
        <v>455</v>
      </c>
      <c r="AF161" s="63" t="s">
        <v>456</v>
      </c>
      <c r="BI161" s="4" t="s">
        <v>309</v>
      </c>
      <c r="BS161" s="4">
        <v>6</v>
      </c>
      <c r="BU161" s="4">
        <v>150</v>
      </c>
      <c r="BV161" s="4" t="s">
        <v>427</v>
      </c>
      <c r="CB161" s="4" t="s">
        <v>464</v>
      </c>
      <c r="CC161" s="4">
        <v>50</v>
      </c>
      <c r="CV161" s="4">
        <v>60</v>
      </c>
      <c r="CX161" s="4" t="s">
        <v>314</v>
      </c>
      <c r="DM161" s="4">
        <v>60</v>
      </c>
      <c r="DO161" s="4">
        <v>3</v>
      </c>
    </row>
    <row r="162" customHeight="1" spans="1:295">
      <c r="A162" s="16">
        <v>6</v>
      </c>
      <c r="B162" s="4" t="s">
        <v>448</v>
      </c>
      <c r="C162" s="5" t="s">
        <v>449</v>
      </c>
      <c r="D162" s="4" t="s">
        <v>300</v>
      </c>
      <c r="E162" s="4" t="s">
        <v>450</v>
      </c>
      <c r="H162" s="4" t="s">
        <v>328</v>
      </c>
      <c r="I162" s="4" t="s">
        <v>451</v>
      </c>
      <c r="N162" s="24" t="s">
        <v>302</v>
      </c>
      <c r="O162" s="24" t="s">
        <v>303</v>
      </c>
      <c r="T162" s="4">
        <v>123.26</v>
      </c>
      <c r="U162" s="4">
        <v>0.01176</v>
      </c>
      <c r="V162" s="4">
        <v>3.87</v>
      </c>
      <c r="AB162" s="4" t="s">
        <v>452</v>
      </c>
      <c r="AC162" s="4" t="s">
        <v>453</v>
      </c>
      <c r="AD162" s="4" t="s">
        <v>454</v>
      </c>
      <c r="AE162" s="4" t="s">
        <v>455</v>
      </c>
      <c r="AF162" s="63" t="s">
        <v>456</v>
      </c>
      <c r="BI162" s="4" t="s">
        <v>309</v>
      </c>
      <c r="BN162" s="4">
        <v>4</v>
      </c>
      <c r="BS162" s="4">
        <v>6</v>
      </c>
      <c r="BU162" s="4">
        <v>150</v>
      </c>
      <c r="BV162" s="4">
        <v>300</v>
      </c>
      <c r="BW162" s="4">
        <v>25</v>
      </c>
      <c r="CB162" s="4" t="s">
        <v>464</v>
      </c>
      <c r="CC162" s="4" t="s">
        <v>461</v>
      </c>
      <c r="DB162" s="4" t="s">
        <v>312</v>
      </c>
      <c r="DC162" s="4" t="s">
        <v>462</v>
      </c>
      <c r="DE162" s="4">
        <v>27.92</v>
      </c>
      <c r="DO162" s="4">
        <v>3</v>
      </c>
    </row>
    <row r="163" customHeight="1" spans="1:295">
      <c r="A163" s="16">
        <v>6</v>
      </c>
      <c r="B163" s="4" t="s">
        <v>448</v>
      </c>
      <c r="C163" s="5" t="s">
        <v>449</v>
      </c>
      <c r="D163" s="4" t="s">
        <v>300</v>
      </c>
      <c r="E163" s="4" t="s">
        <v>450</v>
      </c>
      <c r="H163" s="4" t="s">
        <v>328</v>
      </c>
      <c r="I163" s="4" t="s">
        <v>451</v>
      </c>
      <c r="N163" s="24" t="s">
        <v>302</v>
      </c>
      <c r="O163" s="24" t="s">
        <v>303</v>
      </c>
      <c r="T163" s="4">
        <v>123.26</v>
      </c>
      <c r="U163" s="4">
        <v>0.01176</v>
      </c>
      <c r="V163" s="4">
        <v>3.87</v>
      </c>
      <c r="AB163" s="4" t="s">
        <v>452</v>
      </c>
      <c r="AC163" s="4" t="s">
        <v>453</v>
      </c>
      <c r="AD163" s="4" t="s">
        <v>454</v>
      </c>
      <c r="AE163" s="4" t="s">
        <v>455</v>
      </c>
      <c r="AF163" s="63" t="s">
        <v>456</v>
      </c>
      <c r="BI163" s="4" t="s">
        <v>309</v>
      </c>
      <c r="BN163" s="4">
        <v>4</v>
      </c>
      <c r="BS163" s="4">
        <v>6</v>
      </c>
      <c r="BU163" s="4">
        <v>150</v>
      </c>
      <c r="BV163" s="4">
        <v>300</v>
      </c>
      <c r="BW163" s="4">
        <v>35</v>
      </c>
      <c r="CB163" s="4" t="s">
        <v>464</v>
      </c>
      <c r="CC163" s="4" t="s">
        <v>461</v>
      </c>
      <c r="DB163" s="4" t="s">
        <v>312</v>
      </c>
      <c r="DC163" s="4" t="s">
        <v>462</v>
      </c>
      <c r="DE163" s="4">
        <v>31.74</v>
      </c>
      <c r="DO163" s="4">
        <v>3</v>
      </c>
    </row>
    <row r="164" customHeight="1" spans="1:295">
      <c r="A164" s="16">
        <v>6</v>
      </c>
      <c r="B164" s="4" t="s">
        <v>448</v>
      </c>
      <c r="C164" s="5" t="s">
        <v>449</v>
      </c>
      <c r="D164" s="4" t="s">
        <v>300</v>
      </c>
      <c r="E164" s="4" t="s">
        <v>450</v>
      </c>
      <c r="H164" s="4" t="s">
        <v>328</v>
      </c>
      <c r="I164" s="4" t="s">
        <v>451</v>
      </c>
      <c r="N164" s="24" t="s">
        <v>302</v>
      </c>
      <c r="O164" s="24" t="s">
        <v>303</v>
      </c>
      <c r="T164" s="4">
        <v>123.26</v>
      </c>
      <c r="U164" s="4">
        <v>0.01176</v>
      </c>
      <c r="V164" s="4">
        <v>3.87</v>
      </c>
      <c r="AB164" s="4" t="s">
        <v>452</v>
      </c>
      <c r="AC164" s="4" t="s">
        <v>453</v>
      </c>
      <c r="AD164" s="4" t="s">
        <v>454</v>
      </c>
      <c r="AE164" s="4" t="s">
        <v>455</v>
      </c>
      <c r="AF164" s="63" t="s">
        <v>456</v>
      </c>
      <c r="BI164" s="4" t="s">
        <v>309</v>
      </c>
      <c r="BN164" s="4">
        <v>4</v>
      </c>
      <c r="BS164" s="4">
        <v>6</v>
      </c>
      <c r="BU164" s="4">
        <v>150</v>
      </c>
      <c r="BV164" s="4">
        <v>300</v>
      </c>
      <c r="BW164" s="4">
        <v>45</v>
      </c>
      <c r="CB164" s="4" t="s">
        <v>464</v>
      </c>
      <c r="CC164" s="4" t="s">
        <v>461</v>
      </c>
      <c r="DB164" s="4" t="s">
        <v>312</v>
      </c>
      <c r="DC164" s="4" t="s">
        <v>462</v>
      </c>
      <c r="DE164" s="4">
        <v>39.35</v>
      </c>
      <c r="DO164" s="4">
        <v>3</v>
      </c>
    </row>
    <row r="165" customHeight="1" spans="1:295">
      <c r="A165" s="16">
        <v>6</v>
      </c>
      <c r="B165" s="4" t="s">
        <v>448</v>
      </c>
      <c r="C165" s="5" t="s">
        <v>449</v>
      </c>
      <c r="D165" s="4" t="s">
        <v>300</v>
      </c>
      <c r="E165" s="4" t="s">
        <v>450</v>
      </c>
      <c r="H165" s="4" t="s">
        <v>328</v>
      </c>
      <c r="I165" s="4" t="s">
        <v>451</v>
      </c>
      <c r="N165" s="24" t="s">
        <v>302</v>
      </c>
      <c r="O165" s="24" t="s">
        <v>303</v>
      </c>
      <c r="T165" s="4">
        <v>123.26</v>
      </c>
      <c r="U165" s="4">
        <v>0.01176</v>
      </c>
      <c r="V165" s="4">
        <v>3.87</v>
      </c>
      <c r="AB165" s="4" t="s">
        <v>452</v>
      </c>
      <c r="AC165" s="4" t="s">
        <v>453</v>
      </c>
      <c r="AD165" s="4" t="s">
        <v>454</v>
      </c>
      <c r="AE165" s="4" t="s">
        <v>455</v>
      </c>
      <c r="AF165" s="63" t="s">
        <v>456</v>
      </c>
      <c r="BI165" s="4" t="s">
        <v>309</v>
      </c>
      <c r="BS165" s="4">
        <v>5</v>
      </c>
      <c r="BU165" s="4">
        <v>150</v>
      </c>
      <c r="BV165" s="4" t="s">
        <v>427</v>
      </c>
      <c r="CB165" s="4" t="s">
        <v>465</v>
      </c>
      <c r="CC165" s="4">
        <v>800</v>
      </c>
      <c r="CV165" s="4">
        <v>60</v>
      </c>
      <c r="CX165" s="4" t="s">
        <v>314</v>
      </c>
      <c r="DM165" s="4">
        <v>60</v>
      </c>
      <c r="DO165" s="4">
        <v>3</v>
      </c>
    </row>
    <row r="166" customHeight="1" spans="1:295">
      <c r="A166" s="16">
        <v>6</v>
      </c>
      <c r="B166" s="4" t="s">
        <v>448</v>
      </c>
      <c r="C166" s="5" t="s">
        <v>449</v>
      </c>
      <c r="D166" s="4" t="s">
        <v>300</v>
      </c>
      <c r="E166" s="4" t="s">
        <v>450</v>
      </c>
      <c r="H166" s="4" t="s">
        <v>328</v>
      </c>
      <c r="I166" s="4" t="s">
        <v>451</v>
      </c>
      <c r="N166" s="24" t="s">
        <v>302</v>
      </c>
      <c r="O166" s="24" t="s">
        <v>303</v>
      </c>
      <c r="T166" s="4">
        <v>123.26</v>
      </c>
      <c r="U166" s="4">
        <v>0.01176</v>
      </c>
      <c r="V166" s="4">
        <v>3.87</v>
      </c>
      <c r="AB166" s="4" t="s">
        <v>452</v>
      </c>
      <c r="AC166" s="4" t="s">
        <v>453</v>
      </c>
      <c r="AD166" s="4" t="s">
        <v>454</v>
      </c>
      <c r="AE166" s="4" t="s">
        <v>455</v>
      </c>
      <c r="AF166" s="63" t="s">
        <v>456</v>
      </c>
      <c r="BI166" s="4" t="s">
        <v>309</v>
      </c>
      <c r="BN166" s="4">
        <v>4</v>
      </c>
      <c r="BS166" s="4">
        <v>5</v>
      </c>
      <c r="BU166" s="4">
        <v>150</v>
      </c>
      <c r="BV166" s="4">
        <v>300</v>
      </c>
      <c r="BW166" s="4">
        <v>25</v>
      </c>
      <c r="CB166" s="4" t="s">
        <v>465</v>
      </c>
      <c r="CC166" s="4" t="s">
        <v>466</v>
      </c>
      <c r="DB166" s="4" t="s">
        <v>312</v>
      </c>
      <c r="DC166" s="4" t="s">
        <v>462</v>
      </c>
      <c r="DE166" s="4">
        <v>202.84</v>
      </c>
      <c r="DO166" s="4">
        <v>3</v>
      </c>
      <c r="GE166" s="1">
        <v>202.84</v>
      </c>
    </row>
    <row r="167" customHeight="1" spans="1:295">
      <c r="A167" s="16">
        <v>6</v>
      </c>
      <c r="B167" s="4" t="s">
        <v>448</v>
      </c>
      <c r="C167" s="5" t="s">
        <v>449</v>
      </c>
      <c r="D167" s="4" t="s">
        <v>300</v>
      </c>
      <c r="E167" s="4" t="s">
        <v>450</v>
      </c>
      <c r="H167" s="4" t="s">
        <v>328</v>
      </c>
      <c r="I167" s="4" t="s">
        <v>451</v>
      </c>
      <c r="N167" s="24" t="s">
        <v>302</v>
      </c>
      <c r="O167" s="24" t="s">
        <v>303</v>
      </c>
      <c r="T167" s="4">
        <v>123.26</v>
      </c>
      <c r="U167" s="4">
        <v>0.01176</v>
      </c>
      <c r="V167" s="4">
        <v>3.87</v>
      </c>
      <c r="AB167" s="4" t="s">
        <v>452</v>
      </c>
      <c r="AC167" s="4" t="s">
        <v>453</v>
      </c>
      <c r="AD167" s="4" t="s">
        <v>454</v>
      </c>
      <c r="AE167" s="4" t="s">
        <v>455</v>
      </c>
      <c r="AF167" s="63" t="s">
        <v>456</v>
      </c>
      <c r="BI167" s="4" t="s">
        <v>309</v>
      </c>
      <c r="BN167" s="4">
        <v>4</v>
      </c>
      <c r="BS167" s="4">
        <v>5</v>
      </c>
      <c r="BU167" s="4">
        <v>150</v>
      </c>
      <c r="BV167" s="4">
        <v>300</v>
      </c>
      <c r="BW167" s="4">
        <v>35</v>
      </c>
      <c r="CB167" s="4" t="s">
        <v>465</v>
      </c>
      <c r="CC167" s="4" t="s">
        <v>466</v>
      </c>
      <c r="CQ167" s="1"/>
      <c r="CR167" s="1"/>
      <c r="CS167" s="1"/>
      <c r="CT167" s="1"/>
      <c r="CU167" s="1"/>
      <c r="CV167" s="1"/>
      <c r="CW167" s="1"/>
      <c r="CX167" s="1"/>
      <c r="CY167" s="1"/>
      <c r="CZ167" s="1"/>
      <c r="DA167" s="1"/>
      <c r="DB167" s="1" t="s">
        <v>312</v>
      </c>
      <c r="DC167" s="1" t="s">
        <v>462</v>
      </c>
      <c r="DD167" s="1"/>
      <c r="DE167" s="1">
        <v>228.31</v>
      </c>
      <c r="DF167" s="1"/>
      <c r="DG167" s="1"/>
      <c r="DH167" s="1"/>
      <c r="DI167" s="1"/>
      <c r="DJ167" s="1"/>
      <c r="DK167" s="1"/>
      <c r="DL167" s="1"/>
      <c r="DM167" s="1"/>
      <c r="DN167" s="1"/>
      <c r="DO167" s="1">
        <v>3</v>
      </c>
      <c r="GE167" s="1">
        <v>228.31</v>
      </c>
    </row>
    <row r="168" customHeight="1" spans="1:295">
      <c r="A168" s="16">
        <v>6</v>
      </c>
      <c r="B168" s="4" t="s">
        <v>448</v>
      </c>
      <c r="C168" s="5" t="s">
        <v>449</v>
      </c>
      <c r="D168" s="4" t="s">
        <v>300</v>
      </c>
      <c r="E168" s="4" t="s">
        <v>450</v>
      </c>
      <c r="H168" s="4" t="s">
        <v>328</v>
      </c>
      <c r="I168" s="4" t="s">
        <v>451</v>
      </c>
      <c r="N168" s="24" t="s">
        <v>302</v>
      </c>
      <c r="O168" s="24" t="s">
        <v>303</v>
      </c>
      <c r="T168" s="4">
        <v>123.26</v>
      </c>
      <c r="U168" s="4">
        <v>0.01176</v>
      </c>
      <c r="V168" s="4">
        <v>3.87</v>
      </c>
      <c r="AB168" s="4" t="s">
        <v>452</v>
      </c>
      <c r="AC168" s="4" t="s">
        <v>453</v>
      </c>
      <c r="AD168" s="4" t="s">
        <v>454</v>
      </c>
      <c r="AE168" s="4" t="s">
        <v>455</v>
      </c>
      <c r="AF168" s="63" t="s">
        <v>456</v>
      </c>
      <c r="BI168" s="4" t="s">
        <v>309</v>
      </c>
      <c r="BN168" s="4">
        <v>4</v>
      </c>
      <c r="BS168" s="4">
        <v>5</v>
      </c>
      <c r="BU168" s="4">
        <v>150</v>
      </c>
      <c r="BV168" s="4">
        <v>300</v>
      </c>
      <c r="BW168" s="4">
        <v>45</v>
      </c>
      <c r="CB168" s="4" t="s">
        <v>465</v>
      </c>
      <c r="CC168" s="4" t="s">
        <v>466</v>
      </c>
      <c r="CQ168" s="1"/>
      <c r="CR168" s="1"/>
      <c r="CS168" s="1"/>
      <c r="CT168" s="1"/>
      <c r="CU168" s="1"/>
      <c r="CV168" s="1"/>
      <c r="CW168" s="1"/>
      <c r="CX168" s="1"/>
      <c r="CY168" s="1"/>
      <c r="CZ168" s="1"/>
      <c r="DA168" s="1"/>
      <c r="DB168" s="1" t="s">
        <v>312</v>
      </c>
      <c r="DC168" s="1" t="s">
        <v>462</v>
      </c>
      <c r="DD168" s="1"/>
      <c r="DE168" s="1">
        <v>240.96</v>
      </c>
      <c r="DF168" s="1"/>
      <c r="DG168" s="1"/>
      <c r="DH168" s="1"/>
      <c r="DI168" s="1"/>
      <c r="DJ168" s="1"/>
      <c r="DK168" s="1"/>
      <c r="DL168" s="1"/>
      <c r="DM168" s="1"/>
      <c r="DN168" s="1"/>
      <c r="DO168" s="1">
        <v>3</v>
      </c>
      <c r="GE168" s="1">
        <v>240.96</v>
      </c>
    </row>
    <row r="169" customHeight="1" spans="1:295">
      <c r="A169" s="16">
        <v>6</v>
      </c>
      <c r="B169" s="4" t="s">
        <v>448</v>
      </c>
      <c r="C169" s="5" t="s">
        <v>449</v>
      </c>
      <c r="D169" s="4" t="s">
        <v>300</v>
      </c>
      <c r="E169" s="4" t="s">
        <v>450</v>
      </c>
      <c r="H169" s="4" t="s">
        <v>328</v>
      </c>
      <c r="I169" s="4" t="s">
        <v>451</v>
      </c>
      <c r="N169" s="24" t="s">
        <v>302</v>
      </c>
      <c r="O169" s="24" t="s">
        <v>303</v>
      </c>
      <c r="T169" s="4">
        <v>123.26</v>
      </c>
      <c r="U169" s="4">
        <v>0.01176</v>
      </c>
      <c r="V169" s="4">
        <v>3.87</v>
      </c>
      <c r="AB169" s="4" t="s">
        <v>452</v>
      </c>
      <c r="AC169" s="4" t="s">
        <v>453</v>
      </c>
      <c r="AD169" s="4" t="s">
        <v>454</v>
      </c>
      <c r="AE169" s="4" t="s">
        <v>455</v>
      </c>
      <c r="AF169" s="63" t="s">
        <v>456</v>
      </c>
      <c r="AH169" s="4" t="s">
        <v>467</v>
      </c>
      <c r="AI169" s="4" t="s">
        <v>468</v>
      </c>
      <c r="AJ169" s="4" t="s">
        <v>469</v>
      </c>
      <c r="AK169" s="4" t="s">
        <v>470</v>
      </c>
      <c r="AL169" s="4" t="s">
        <v>471</v>
      </c>
      <c r="AQ169" s="4" t="s">
        <v>7</v>
      </c>
      <c r="AS169" s="4" t="s">
        <v>11</v>
      </c>
      <c r="AU169" s="4" t="s">
        <v>14</v>
      </c>
      <c r="AW169" s="4" t="s">
        <v>12</v>
      </c>
      <c r="BI169" s="4" t="s">
        <v>321</v>
      </c>
      <c r="BL169" s="4">
        <v>1200</v>
      </c>
      <c r="BO169" s="4">
        <v>0</v>
      </c>
      <c r="BP169" s="4">
        <v>0</v>
      </c>
      <c r="BV169" s="4" t="s">
        <v>472</v>
      </c>
      <c r="BX169" s="30">
        <v>0.3</v>
      </c>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v>3</v>
      </c>
      <c r="DS169" s="1">
        <v>11.88</v>
      </c>
      <c r="DT169" s="1">
        <v>0.26</v>
      </c>
      <c r="ED169" s="1">
        <v>0</v>
      </c>
      <c r="FY169" s="1">
        <v>539.16</v>
      </c>
      <c r="GA169" s="1">
        <v>539.16</v>
      </c>
      <c r="GB169" s="1">
        <v>36.55</v>
      </c>
      <c r="GK169" s="1">
        <f>(FY169-GA169)/FY169*100</f>
        <v>0</v>
      </c>
      <c r="GL169" s="1">
        <v>0</v>
      </c>
      <c r="GN169" s="1">
        <v>6.48</v>
      </c>
      <c r="GP169" s="1">
        <v>6.48</v>
      </c>
      <c r="GQ169" s="1">
        <v>0.42</v>
      </c>
      <c r="GZ169" s="1">
        <f>(GN169-GP169)/GN169*100</f>
        <v>0</v>
      </c>
      <c r="HA169" s="1">
        <v>0</v>
      </c>
      <c r="HR169" s="1">
        <v>704.96</v>
      </c>
      <c r="HT169" s="1">
        <v>704.96</v>
      </c>
      <c r="HU169" s="1">
        <v>15.67</v>
      </c>
      <c r="ID169" s="1">
        <f>(HR169-HT169)/HR169*100</f>
        <v>0</v>
      </c>
      <c r="IE169" s="1">
        <v>0</v>
      </c>
      <c r="JJ169" s="1" t="s">
        <v>355</v>
      </c>
      <c r="JL169" s="1">
        <v>33</v>
      </c>
      <c r="JN169" s="1">
        <v>23</v>
      </c>
      <c r="JP169" s="1">
        <v>29</v>
      </c>
      <c r="JR169" s="1">
        <v>15</v>
      </c>
      <c r="JT169" s="1">
        <v>24</v>
      </c>
      <c r="JV169" s="1">
        <v>62</v>
      </c>
      <c r="JX169" s="1">
        <v>9</v>
      </c>
      <c r="JZ169" s="1">
        <v>5</v>
      </c>
      <c r="KB169" s="1">
        <v>28</v>
      </c>
      <c r="KC169" s="1">
        <v>29</v>
      </c>
      <c r="KD169" s="1">
        <v>16</v>
      </c>
      <c r="KE169" s="1">
        <v>26</v>
      </c>
      <c r="KF169" s="1">
        <v>24</v>
      </c>
      <c r="KG169" s="1">
        <v>19</v>
      </c>
      <c r="KH169" s="1">
        <v>12</v>
      </c>
      <c r="KI169" s="1">
        <v>46</v>
      </c>
    </row>
    <row r="170" customHeight="1" spans="1:295">
      <c r="A170" s="16">
        <v>6</v>
      </c>
      <c r="B170" s="4" t="s">
        <v>448</v>
      </c>
      <c r="C170" s="5" t="s">
        <v>449</v>
      </c>
      <c r="D170" s="4" t="s">
        <v>300</v>
      </c>
      <c r="E170" s="4" t="s">
        <v>450</v>
      </c>
      <c r="H170" s="4" t="s">
        <v>328</v>
      </c>
      <c r="I170" s="4" t="s">
        <v>451</v>
      </c>
      <c r="N170" s="24" t="s">
        <v>302</v>
      </c>
      <c r="O170" s="24" t="s">
        <v>303</v>
      </c>
      <c r="T170" s="4">
        <v>123.26</v>
      </c>
      <c r="U170" s="4">
        <v>0.01176</v>
      </c>
      <c r="V170" s="4">
        <v>3.87</v>
      </c>
      <c r="AB170" s="4" t="s">
        <v>452</v>
      </c>
      <c r="AC170" s="4" t="s">
        <v>453</v>
      </c>
      <c r="AD170" s="4" t="s">
        <v>454</v>
      </c>
      <c r="AE170" s="4" t="s">
        <v>455</v>
      </c>
      <c r="AF170" s="63" t="s">
        <v>456</v>
      </c>
      <c r="AH170" s="4" t="s">
        <v>467</v>
      </c>
      <c r="AI170" s="4" t="s">
        <v>468</v>
      </c>
      <c r="AJ170" s="4" t="s">
        <v>469</v>
      </c>
      <c r="AK170" s="4" t="s">
        <v>470</v>
      </c>
      <c r="AL170" s="4" t="s">
        <v>471</v>
      </c>
      <c r="AQ170" s="4" t="s">
        <v>7</v>
      </c>
      <c r="AS170" s="4" t="s">
        <v>11</v>
      </c>
      <c r="AU170" s="4" t="s">
        <v>14</v>
      </c>
      <c r="AW170" s="4" t="s">
        <v>12</v>
      </c>
      <c r="BI170" s="4" t="s">
        <v>321</v>
      </c>
      <c r="BL170" s="4">
        <v>1200</v>
      </c>
      <c r="BO170" s="4">
        <v>0.005</v>
      </c>
      <c r="BP170" s="4">
        <v>0.5</v>
      </c>
      <c r="BV170" s="4" t="s">
        <v>472</v>
      </c>
      <c r="BX170" s="30">
        <v>0.3</v>
      </c>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v>3</v>
      </c>
      <c r="DQ170" s="1">
        <v>11.88</v>
      </c>
      <c r="DR170" s="1">
        <v>0.26</v>
      </c>
      <c r="DS170" s="1">
        <v>10.31</v>
      </c>
      <c r="DT170" s="1">
        <v>0.65</v>
      </c>
      <c r="ED170" s="1">
        <v>13.2154882154882</v>
      </c>
      <c r="FY170" s="1">
        <v>539.16</v>
      </c>
      <c r="GA170" s="1">
        <v>447.78</v>
      </c>
      <c r="GB170" s="1">
        <v>18.28</v>
      </c>
      <c r="GK170" s="1">
        <f t="shared" ref="GK170:GK176" si="4">(FY170-GA170)/FY170*100</f>
        <v>16.9485866904073</v>
      </c>
      <c r="GL170" s="1">
        <v>16.9485866904073</v>
      </c>
      <c r="GN170" s="1">
        <v>6.48</v>
      </c>
      <c r="GP170" s="1">
        <v>6.06</v>
      </c>
      <c r="GQ170" s="1">
        <v>0.42</v>
      </c>
      <c r="GZ170" s="1">
        <f t="shared" ref="GZ170:GZ176" si="5">(GN170-GP170)/GN170*100</f>
        <v>6.48148148148149</v>
      </c>
      <c r="HA170" s="1">
        <v>6.48148148148149</v>
      </c>
      <c r="HR170" s="1">
        <v>704.96</v>
      </c>
      <c r="HT170" s="1">
        <v>579.63</v>
      </c>
      <c r="HU170" s="1">
        <v>15.67</v>
      </c>
      <c r="ID170" s="1">
        <f t="shared" ref="ID170:ID176" si="6">(HR170-HT170)/HR170*100</f>
        <v>17.7783136631866</v>
      </c>
      <c r="IE170" s="1">
        <v>17.7783136631866</v>
      </c>
      <c r="JJ170" s="1" t="s">
        <v>355</v>
      </c>
      <c r="JL170" s="1">
        <v>25</v>
      </c>
      <c r="JN170" s="1">
        <v>17</v>
      </c>
      <c r="JP170" s="1">
        <v>20</v>
      </c>
      <c r="JR170" s="1">
        <v>38</v>
      </c>
      <c r="JT170" s="1">
        <v>17</v>
      </c>
      <c r="JV170" s="1">
        <v>63</v>
      </c>
      <c r="JX170" s="1">
        <v>13</v>
      </c>
      <c r="JZ170" s="1">
        <v>7</v>
      </c>
      <c r="KB170" s="1">
        <v>19</v>
      </c>
      <c r="KC170" s="1">
        <v>25</v>
      </c>
      <c r="KD170" s="1">
        <v>7</v>
      </c>
      <c r="KE170" s="1">
        <v>49</v>
      </c>
      <c r="KF170" s="1">
        <v>20</v>
      </c>
      <c r="KG170" s="1">
        <v>20</v>
      </c>
      <c r="KH170" s="1">
        <v>14</v>
      </c>
      <c r="KI170" s="1">
        <v>46</v>
      </c>
    </row>
    <row r="171" customHeight="1" spans="1:295">
      <c r="A171" s="16">
        <v>6</v>
      </c>
      <c r="B171" s="4" t="s">
        <v>448</v>
      </c>
      <c r="C171" s="5" t="s">
        <v>449</v>
      </c>
      <c r="D171" s="4" t="s">
        <v>300</v>
      </c>
      <c r="E171" s="4" t="s">
        <v>450</v>
      </c>
      <c r="H171" s="4" t="s">
        <v>328</v>
      </c>
      <c r="I171" s="4" t="s">
        <v>451</v>
      </c>
      <c r="N171" s="24" t="s">
        <v>302</v>
      </c>
      <c r="O171" s="24" t="s">
        <v>303</v>
      </c>
      <c r="T171" s="4">
        <v>123.26</v>
      </c>
      <c r="U171" s="4">
        <v>0.01176</v>
      </c>
      <c r="V171" s="4">
        <v>3.87</v>
      </c>
      <c r="AB171" s="4" t="s">
        <v>452</v>
      </c>
      <c r="AC171" s="4" t="s">
        <v>453</v>
      </c>
      <c r="AD171" s="4" t="s">
        <v>454</v>
      </c>
      <c r="AE171" s="4" t="s">
        <v>455</v>
      </c>
      <c r="AF171" s="63" t="s">
        <v>456</v>
      </c>
      <c r="AH171" s="4" t="s">
        <v>467</v>
      </c>
      <c r="AI171" s="4" t="s">
        <v>468</v>
      </c>
      <c r="AJ171" s="4" t="s">
        <v>469</v>
      </c>
      <c r="AK171" s="4" t="s">
        <v>470</v>
      </c>
      <c r="AL171" s="4" t="s">
        <v>471</v>
      </c>
      <c r="AQ171" s="4" t="s">
        <v>7</v>
      </c>
      <c r="AS171" s="4" t="s">
        <v>11</v>
      </c>
      <c r="AU171" s="4" t="s">
        <v>14</v>
      </c>
      <c r="AW171" s="4" t="s">
        <v>12</v>
      </c>
      <c r="BI171" s="4" t="s">
        <v>321</v>
      </c>
      <c r="BL171" s="4">
        <v>1200</v>
      </c>
      <c r="BO171" s="4">
        <v>0.01</v>
      </c>
      <c r="BP171" s="4">
        <v>1</v>
      </c>
      <c r="BV171" s="4" t="s">
        <v>472</v>
      </c>
      <c r="BX171" s="30">
        <v>0.3</v>
      </c>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v>3</v>
      </c>
      <c r="DQ171" s="1">
        <v>11.88</v>
      </c>
      <c r="DR171" s="1">
        <v>0.26</v>
      </c>
      <c r="DS171" s="1">
        <v>8.49</v>
      </c>
      <c r="DT171" s="1">
        <v>0</v>
      </c>
      <c r="ED171" s="1">
        <v>28.5353535353535</v>
      </c>
      <c r="FY171" s="1">
        <v>539.16</v>
      </c>
      <c r="GA171" s="1">
        <v>338.12</v>
      </c>
      <c r="GB171" s="1">
        <v>9.14</v>
      </c>
      <c r="GK171" s="1">
        <f t="shared" si="4"/>
        <v>37.2876326136954</v>
      </c>
      <c r="GL171" s="1">
        <v>37.2876326136954</v>
      </c>
      <c r="GN171" s="1">
        <v>6.48</v>
      </c>
      <c r="GP171" s="1">
        <v>5.43</v>
      </c>
      <c r="GQ171" s="1">
        <v>0.21</v>
      </c>
      <c r="GZ171" s="1">
        <f t="shared" si="5"/>
        <v>16.2037037037037</v>
      </c>
      <c r="HA171" s="1">
        <v>16.2037037037037</v>
      </c>
      <c r="HR171" s="1">
        <v>704.96</v>
      </c>
      <c r="HT171" s="1">
        <v>563.97</v>
      </c>
      <c r="HU171" s="1">
        <v>31.33</v>
      </c>
      <c r="ID171" s="1">
        <f t="shared" si="6"/>
        <v>19.9997162959601</v>
      </c>
      <c r="IE171" s="1">
        <v>19.9997162959601</v>
      </c>
      <c r="JJ171" s="1" t="s">
        <v>355</v>
      </c>
      <c r="JL171" s="1">
        <v>27</v>
      </c>
      <c r="JN171" s="1">
        <v>22</v>
      </c>
      <c r="JP171" s="1">
        <v>28</v>
      </c>
      <c r="JR171" s="1">
        <v>22</v>
      </c>
      <c r="JT171" s="1">
        <v>18</v>
      </c>
      <c r="JV171" s="1">
        <v>65</v>
      </c>
      <c r="JX171" s="1">
        <v>11</v>
      </c>
      <c r="JZ171" s="1">
        <v>6</v>
      </c>
      <c r="KB171" s="1">
        <v>21</v>
      </c>
      <c r="KC171" s="1">
        <v>24</v>
      </c>
      <c r="KD171" s="1">
        <v>14</v>
      </c>
      <c r="KE171" s="1">
        <v>41</v>
      </c>
      <c r="KF171" s="1">
        <v>17</v>
      </c>
      <c r="KG171" s="1">
        <v>22</v>
      </c>
      <c r="KH171" s="1">
        <v>9</v>
      </c>
      <c r="KI171" s="1">
        <v>51</v>
      </c>
    </row>
    <row r="172" customHeight="1" spans="1:295">
      <c r="A172" s="16">
        <v>6</v>
      </c>
      <c r="B172" s="4" t="s">
        <v>448</v>
      </c>
      <c r="C172" s="5" t="s">
        <v>449</v>
      </c>
      <c r="D172" s="4" t="s">
        <v>300</v>
      </c>
      <c r="E172" s="4" t="s">
        <v>450</v>
      </c>
      <c r="H172" s="4" t="s">
        <v>328</v>
      </c>
      <c r="I172" s="4" t="s">
        <v>451</v>
      </c>
      <c r="N172" s="24" t="s">
        <v>302</v>
      </c>
      <c r="O172" s="24" t="s">
        <v>303</v>
      </c>
      <c r="T172" s="4">
        <v>123.26</v>
      </c>
      <c r="U172" s="4">
        <v>0.01176</v>
      </c>
      <c r="V172" s="4">
        <v>3.87</v>
      </c>
      <c r="AB172" s="4" t="s">
        <v>452</v>
      </c>
      <c r="AC172" s="4" t="s">
        <v>453</v>
      </c>
      <c r="AD172" s="4" t="s">
        <v>454</v>
      </c>
      <c r="AE172" s="4" t="s">
        <v>455</v>
      </c>
      <c r="AF172" s="63" t="s">
        <v>456</v>
      </c>
      <c r="AH172" s="4" t="s">
        <v>467</v>
      </c>
      <c r="AI172" s="4" t="s">
        <v>468</v>
      </c>
      <c r="AJ172" s="4" t="s">
        <v>469</v>
      </c>
      <c r="AK172" s="4" t="s">
        <v>470</v>
      </c>
      <c r="AL172" s="4" t="s">
        <v>471</v>
      </c>
      <c r="AQ172" s="4" t="s">
        <v>7</v>
      </c>
      <c r="AS172" s="4" t="s">
        <v>11</v>
      </c>
      <c r="AU172" s="4" t="s">
        <v>14</v>
      </c>
      <c r="AW172" s="4" t="s">
        <v>12</v>
      </c>
      <c r="BI172" s="4" t="s">
        <v>321</v>
      </c>
      <c r="BL172" s="4">
        <v>1200</v>
      </c>
      <c r="BO172" s="4">
        <v>0.02</v>
      </c>
      <c r="BP172" s="4">
        <v>2</v>
      </c>
      <c r="BV172" s="4" t="s">
        <v>472</v>
      </c>
      <c r="BX172" s="30">
        <v>0.3</v>
      </c>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v>3</v>
      </c>
      <c r="DQ172" s="1">
        <v>11.88</v>
      </c>
      <c r="DR172" s="1">
        <v>0.26</v>
      </c>
      <c r="DS172" s="1">
        <v>7.96</v>
      </c>
      <c r="DT172" s="1">
        <v>0.13</v>
      </c>
      <c r="ED172" s="1">
        <v>32.996632996633</v>
      </c>
      <c r="FY172" s="1">
        <v>539.16</v>
      </c>
      <c r="GA172" s="1">
        <v>319.84</v>
      </c>
      <c r="GB172" s="1">
        <v>9.14</v>
      </c>
      <c r="GK172" s="1">
        <f t="shared" si="4"/>
        <v>40.6780918465762</v>
      </c>
      <c r="GL172" s="1">
        <v>40.6780918465762</v>
      </c>
      <c r="GN172" s="1">
        <v>6.48</v>
      </c>
      <c r="GP172" s="1">
        <v>5.22</v>
      </c>
      <c r="GQ172" s="1">
        <v>0.63</v>
      </c>
      <c r="GZ172" s="1">
        <f t="shared" si="5"/>
        <v>19.4444444444445</v>
      </c>
      <c r="HA172" s="1">
        <v>19.4444444444445</v>
      </c>
      <c r="HR172" s="1">
        <v>704.96</v>
      </c>
      <c r="HT172" s="1">
        <v>563.97</v>
      </c>
      <c r="HU172" s="1">
        <v>31.33</v>
      </c>
      <c r="ID172" s="1">
        <f t="shared" si="6"/>
        <v>19.9997162959601</v>
      </c>
      <c r="IE172" s="1">
        <v>19.9997162959601</v>
      </c>
      <c r="JJ172" s="1" t="s">
        <v>355</v>
      </c>
      <c r="JL172" s="1">
        <v>28</v>
      </c>
      <c r="JN172" s="1">
        <v>23</v>
      </c>
      <c r="JP172" s="1">
        <v>19</v>
      </c>
      <c r="JR172" s="1">
        <v>30</v>
      </c>
      <c r="JT172" s="1">
        <v>19</v>
      </c>
      <c r="JV172" s="1">
        <v>59</v>
      </c>
      <c r="JX172" s="1">
        <v>12</v>
      </c>
      <c r="JZ172" s="1">
        <v>9</v>
      </c>
      <c r="KB172" s="1">
        <v>25</v>
      </c>
      <c r="KC172" s="1">
        <v>29</v>
      </c>
      <c r="KD172" s="1">
        <v>6</v>
      </c>
      <c r="KE172" s="1">
        <v>40</v>
      </c>
      <c r="KF172" s="1">
        <v>17</v>
      </c>
      <c r="KG172" s="1">
        <v>30</v>
      </c>
      <c r="KH172" s="1">
        <v>5</v>
      </c>
      <c r="KI172" s="1">
        <v>48</v>
      </c>
    </row>
    <row r="173" customHeight="1" spans="1:295">
      <c r="A173" s="16">
        <v>6</v>
      </c>
      <c r="B173" s="4" t="s">
        <v>448</v>
      </c>
      <c r="C173" s="5" t="s">
        <v>449</v>
      </c>
      <c r="D173" s="4" t="s">
        <v>300</v>
      </c>
      <c r="E173" s="4" t="s">
        <v>450</v>
      </c>
      <c r="H173" s="4" t="s">
        <v>328</v>
      </c>
      <c r="I173" s="4" t="s">
        <v>451</v>
      </c>
      <c r="N173" s="24" t="s">
        <v>302</v>
      </c>
      <c r="O173" s="24" t="s">
        <v>303</v>
      </c>
      <c r="T173" s="4">
        <v>123.26</v>
      </c>
      <c r="U173" s="4">
        <v>0.01176</v>
      </c>
      <c r="V173" s="4">
        <v>3.87</v>
      </c>
      <c r="AB173" s="4" t="s">
        <v>452</v>
      </c>
      <c r="AC173" s="4" t="s">
        <v>453</v>
      </c>
      <c r="AD173" s="4" t="s">
        <v>454</v>
      </c>
      <c r="AE173" s="4" t="s">
        <v>455</v>
      </c>
      <c r="AF173" s="63" t="s">
        <v>456</v>
      </c>
      <c r="AH173" s="4" t="s">
        <v>467</v>
      </c>
      <c r="AI173" s="4" t="s">
        <v>468</v>
      </c>
      <c r="AJ173" s="4" t="s">
        <v>473</v>
      </c>
      <c r="AK173" s="4" t="s">
        <v>474</v>
      </c>
      <c r="AL173" s="4" t="s">
        <v>475</v>
      </c>
      <c r="AQ173" s="4" t="s">
        <v>7</v>
      </c>
      <c r="AS173" s="4" t="s">
        <v>11</v>
      </c>
      <c r="AU173" s="4" t="s">
        <v>14</v>
      </c>
      <c r="AW173" s="4" t="s">
        <v>12</v>
      </c>
      <c r="BI173" s="4" t="s">
        <v>321</v>
      </c>
      <c r="BL173" s="4">
        <v>1200</v>
      </c>
      <c r="BO173" s="4">
        <v>0</v>
      </c>
      <c r="BP173" s="4">
        <v>0</v>
      </c>
      <c r="BV173" s="4" t="s">
        <v>472</v>
      </c>
      <c r="BX173" s="30">
        <v>0.3</v>
      </c>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v>3</v>
      </c>
      <c r="DS173" s="1">
        <v>38.51</v>
      </c>
      <c r="DT173" s="1">
        <v>0.39</v>
      </c>
      <c r="ED173" s="1">
        <v>0</v>
      </c>
      <c r="FY173" s="1">
        <v>959.53</v>
      </c>
      <c r="GA173" s="1">
        <v>959.53</v>
      </c>
      <c r="GB173" s="1">
        <v>9.14</v>
      </c>
      <c r="GK173" s="1">
        <f t="shared" si="4"/>
        <v>0</v>
      </c>
      <c r="GL173" s="1">
        <v>0</v>
      </c>
      <c r="GN173" s="1">
        <v>31.54</v>
      </c>
      <c r="GP173" s="1">
        <v>31.54</v>
      </c>
      <c r="GQ173" s="1">
        <v>2.3</v>
      </c>
      <c r="GZ173" s="1">
        <f t="shared" si="5"/>
        <v>0</v>
      </c>
      <c r="HA173" s="1">
        <v>0</v>
      </c>
      <c r="HR173" s="1">
        <v>3885.12</v>
      </c>
      <c r="HT173" s="1">
        <v>3885.12</v>
      </c>
      <c r="HU173" s="1">
        <v>93.99</v>
      </c>
      <c r="ID173" s="1">
        <f t="shared" si="6"/>
        <v>0</v>
      </c>
      <c r="IE173" s="1">
        <v>0</v>
      </c>
      <c r="JJ173" s="1" t="s">
        <v>355</v>
      </c>
      <c r="JL173" s="1">
        <v>33</v>
      </c>
      <c r="JN173" s="1">
        <v>16</v>
      </c>
      <c r="JP173" s="1">
        <v>21</v>
      </c>
      <c r="JR173" s="1">
        <v>30</v>
      </c>
      <c r="JT173" s="1">
        <v>27</v>
      </c>
      <c r="JV173" s="1">
        <v>52</v>
      </c>
      <c r="JX173" s="1">
        <v>3</v>
      </c>
      <c r="JZ173" s="1">
        <v>18</v>
      </c>
      <c r="KB173" s="1">
        <v>35</v>
      </c>
      <c r="KC173" s="1">
        <v>28</v>
      </c>
      <c r="KD173" s="1">
        <v>4</v>
      </c>
      <c r="KE173" s="1">
        <v>32</v>
      </c>
      <c r="KF173" s="1">
        <v>33</v>
      </c>
      <c r="KG173" s="1">
        <v>35</v>
      </c>
      <c r="KH173" s="1">
        <v>4</v>
      </c>
      <c r="KI173" s="1">
        <v>27</v>
      </c>
    </row>
    <row r="174" customHeight="1" spans="1:295">
      <c r="A174" s="16">
        <v>6</v>
      </c>
      <c r="B174" s="4" t="s">
        <v>448</v>
      </c>
      <c r="C174" s="5" t="s">
        <v>449</v>
      </c>
      <c r="D174" s="4" t="s">
        <v>300</v>
      </c>
      <c r="E174" s="4" t="s">
        <v>450</v>
      </c>
      <c r="H174" s="4" t="s">
        <v>328</v>
      </c>
      <c r="I174" s="4" t="s">
        <v>451</v>
      </c>
      <c r="N174" s="24" t="s">
        <v>302</v>
      </c>
      <c r="O174" s="24" t="s">
        <v>303</v>
      </c>
      <c r="T174" s="4">
        <v>123.26</v>
      </c>
      <c r="U174" s="4">
        <v>0.01176</v>
      </c>
      <c r="V174" s="4">
        <v>3.87</v>
      </c>
      <c r="AB174" s="4" t="s">
        <v>452</v>
      </c>
      <c r="AC174" s="4" t="s">
        <v>453</v>
      </c>
      <c r="AD174" s="4" t="s">
        <v>454</v>
      </c>
      <c r="AE174" s="4" t="s">
        <v>455</v>
      </c>
      <c r="AF174" s="63" t="s">
        <v>456</v>
      </c>
      <c r="AH174" s="4" t="s">
        <v>467</v>
      </c>
      <c r="AI174" s="4" t="s">
        <v>468</v>
      </c>
      <c r="AJ174" s="4" t="s">
        <v>473</v>
      </c>
      <c r="AK174" s="4" t="s">
        <v>474</v>
      </c>
      <c r="AL174" s="4" t="s">
        <v>475</v>
      </c>
      <c r="AQ174" s="4" t="s">
        <v>7</v>
      </c>
      <c r="AS174" s="4" t="s">
        <v>11</v>
      </c>
      <c r="AU174" s="4" t="s">
        <v>14</v>
      </c>
      <c r="AW174" s="4" t="s">
        <v>12</v>
      </c>
      <c r="BI174" s="4" t="s">
        <v>321</v>
      </c>
      <c r="BL174" s="4">
        <v>1200</v>
      </c>
      <c r="BO174" s="4">
        <v>0.005</v>
      </c>
      <c r="BP174" s="4">
        <v>0.5</v>
      </c>
      <c r="BV174" s="4" t="s">
        <v>472</v>
      </c>
      <c r="BX174" s="30">
        <v>0.3</v>
      </c>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v>3</v>
      </c>
      <c r="DQ174" s="1">
        <v>38.51</v>
      </c>
      <c r="DR174" s="1">
        <v>0.39</v>
      </c>
      <c r="DS174" s="1">
        <v>28.85</v>
      </c>
      <c r="DT174" s="1">
        <v>0.52</v>
      </c>
      <c r="ED174" s="1">
        <v>25.0843936639834</v>
      </c>
      <c r="FY174" s="1">
        <v>959.53</v>
      </c>
      <c r="GA174" s="1">
        <v>758.49</v>
      </c>
      <c r="GB174" s="1">
        <v>18.28</v>
      </c>
      <c r="GK174" s="1">
        <f t="shared" si="4"/>
        <v>20.9519243796442</v>
      </c>
      <c r="GL174" s="1">
        <v>20.9519243796442</v>
      </c>
      <c r="GN174" s="1">
        <v>31.54</v>
      </c>
      <c r="GP174" s="1">
        <v>25.69</v>
      </c>
      <c r="GQ174" s="1">
        <v>0.63</v>
      </c>
      <c r="GZ174" s="1">
        <f t="shared" si="5"/>
        <v>18.5478757133798</v>
      </c>
      <c r="HA174" s="1">
        <v>18.5478757133798</v>
      </c>
      <c r="HR174" s="1">
        <v>3885.12</v>
      </c>
      <c r="HT174" s="1">
        <v>3211.49</v>
      </c>
      <c r="HU174" s="1">
        <v>93.99</v>
      </c>
      <c r="ID174" s="1">
        <f t="shared" si="6"/>
        <v>17.338717980397</v>
      </c>
      <c r="IE174" s="1">
        <v>17.338717980397</v>
      </c>
      <c r="JJ174" s="1" t="s">
        <v>355</v>
      </c>
      <c r="JL174" s="1">
        <v>26</v>
      </c>
      <c r="JN174" s="1">
        <v>23</v>
      </c>
      <c r="JP174" s="1">
        <v>26</v>
      </c>
      <c r="JR174" s="1">
        <v>25</v>
      </c>
      <c r="JT174" s="1">
        <v>23</v>
      </c>
      <c r="JV174" s="1">
        <v>45</v>
      </c>
      <c r="JX174" s="1">
        <v>2</v>
      </c>
      <c r="JZ174" s="1">
        <v>30</v>
      </c>
      <c r="KB174" s="1">
        <v>29</v>
      </c>
      <c r="KC174" s="1">
        <v>26</v>
      </c>
      <c r="KD174" s="1">
        <v>5</v>
      </c>
      <c r="KE174" s="1">
        <v>40</v>
      </c>
      <c r="KF174" s="1">
        <v>22</v>
      </c>
      <c r="KG174" s="1">
        <v>41</v>
      </c>
      <c r="KH174" s="1">
        <v>3</v>
      </c>
      <c r="KI174" s="1">
        <v>34</v>
      </c>
    </row>
    <row r="175" customHeight="1" spans="1:295">
      <c r="A175" s="16">
        <v>6</v>
      </c>
      <c r="B175" s="4" t="s">
        <v>448</v>
      </c>
      <c r="C175" s="5" t="s">
        <v>449</v>
      </c>
      <c r="D175" s="4" t="s">
        <v>300</v>
      </c>
      <c r="E175" s="4" t="s">
        <v>450</v>
      </c>
      <c r="H175" s="4" t="s">
        <v>328</v>
      </c>
      <c r="I175" s="4" t="s">
        <v>451</v>
      </c>
      <c r="N175" s="24" t="s">
        <v>302</v>
      </c>
      <c r="O175" s="24" t="s">
        <v>303</v>
      </c>
      <c r="T175" s="4">
        <v>123.26</v>
      </c>
      <c r="U175" s="4">
        <v>0.01176</v>
      </c>
      <c r="V175" s="4">
        <v>3.87</v>
      </c>
      <c r="AB175" s="4" t="s">
        <v>452</v>
      </c>
      <c r="AC175" s="4" t="s">
        <v>453</v>
      </c>
      <c r="AD175" s="4" t="s">
        <v>454</v>
      </c>
      <c r="AE175" s="4" t="s">
        <v>455</v>
      </c>
      <c r="AF175" s="63" t="s">
        <v>456</v>
      </c>
      <c r="AH175" s="4" t="s">
        <v>467</v>
      </c>
      <c r="AI175" s="4" t="s">
        <v>468</v>
      </c>
      <c r="AJ175" s="4" t="s">
        <v>473</v>
      </c>
      <c r="AK175" s="4" t="s">
        <v>474</v>
      </c>
      <c r="AL175" s="4" t="s">
        <v>475</v>
      </c>
      <c r="AQ175" s="4" t="s">
        <v>7</v>
      </c>
      <c r="AS175" s="4" t="s">
        <v>11</v>
      </c>
      <c r="AU175" s="4" t="s">
        <v>14</v>
      </c>
      <c r="AW175" s="4" t="s">
        <v>12</v>
      </c>
      <c r="BI175" s="4" t="s">
        <v>321</v>
      </c>
      <c r="BL175" s="4">
        <v>1200</v>
      </c>
      <c r="BO175" s="4">
        <v>0.01</v>
      </c>
      <c r="BP175" s="4">
        <v>1</v>
      </c>
      <c r="BV175" s="4" t="s">
        <v>472</v>
      </c>
      <c r="BX175" s="30">
        <v>0.3</v>
      </c>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v>3</v>
      </c>
      <c r="DQ175" s="1">
        <v>38.51</v>
      </c>
      <c r="DR175" s="1">
        <v>0.39</v>
      </c>
      <c r="DS175" s="1">
        <v>33.42</v>
      </c>
      <c r="DT175" s="1">
        <v>1.04</v>
      </c>
      <c r="ED175" s="1">
        <v>13.2173461438587</v>
      </c>
      <c r="FY175" s="1">
        <v>959.53</v>
      </c>
      <c r="GA175" s="1">
        <v>621.41</v>
      </c>
      <c r="GB175" s="1">
        <v>18.28</v>
      </c>
      <c r="GK175" s="1">
        <f t="shared" si="4"/>
        <v>35.238085312601</v>
      </c>
      <c r="GL175" s="1">
        <v>35.238085312601</v>
      </c>
      <c r="GN175" s="1">
        <v>31.54</v>
      </c>
      <c r="GP175" s="1">
        <v>20.89</v>
      </c>
      <c r="GQ175" s="1">
        <v>1.25</v>
      </c>
      <c r="GZ175" s="1">
        <f t="shared" si="5"/>
        <v>33.7666455294864</v>
      </c>
      <c r="HA175" s="1">
        <v>33.7666455294864</v>
      </c>
      <c r="HR175" s="1">
        <v>3885.12</v>
      </c>
      <c r="HT175" s="1">
        <v>2302.87</v>
      </c>
      <c r="HU175" s="1">
        <v>47</v>
      </c>
      <c r="ID175" s="1">
        <f t="shared" si="6"/>
        <v>40.725897784367</v>
      </c>
      <c r="IE175" s="1">
        <v>40.725897784367</v>
      </c>
      <c r="JJ175" s="1" t="s">
        <v>355</v>
      </c>
      <c r="JL175" s="1">
        <v>26</v>
      </c>
      <c r="JN175" s="1">
        <v>22</v>
      </c>
      <c r="JP175" s="1">
        <v>26</v>
      </c>
      <c r="JR175" s="1">
        <v>26</v>
      </c>
      <c r="JT175" s="1">
        <v>25</v>
      </c>
      <c r="JV175" s="1">
        <v>40</v>
      </c>
      <c r="JX175" s="1">
        <v>2</v>
      </c>
      <c r="JZ175" s="1">
        <v>33</v>
      </c>
      <c r="KB175" s="1">
        <v>32</v>
      </c>
      <c r="KC175" s="1">
        <v>25</v>
      </c>
      <c r="KD175" s="1">
        <v>4</v>
      </c>
      <c r="KE175" s="1">
        <v>39</v>
      </c>
      <c r="KF175" s="1">
        <v>26</v>
      </c>
      <c r="KG175" s="1">
        <v>30</v>
      </c>
      <c r="KH175" s="1">
        <v>1</v>
      </c>
      <c r="KI175" s="1">
        <v>43</v>
      </c>
    </row>
    <row r="176" customHeight="1" spans="1:295">
      <c r="A176" s="16">
        <v>6</v>
      </c>
      <c r="B176" s="4" t="s">
        <v>448</v>
      </c>
      <c r="C176" s="5" t="s">
        <v>449</v>
      </c>
      <c r="D176" s="4" t="s">
        <v>300</v>
      </c>
      <c r="E176" s="4" t="s">
        <v>450</v>
      </c>
      <c r="H176" s="4" t="s">
        <v>328</v>
      </c>
      <c r="I176" s="4" t="s">
        <v>451</v>
      </c>
      <c r="N176" s="24" t="s">
        <v>302</v>
      </c>
      <c r="O176" s="24" t="s">
        <v>303</v>
      </c>
      <c r="T176" s="4">
        <v>123.26</v>
      </c>
      <c r="U176" s="4">
        <v>0.01176</v>
      </c>
      <c r="V176" s="4">
        <v>3.87</v>
      </c>
      <c r="AB176" s="4" t="s">
        <v>452</v>
      </c>
      <c r="AC176" s="4" t="s">
        <v>453</v>
      </c>
      <c r="AD176" s="4" t="s">
        <v>454</v>
      </c>
      <c r="AE176" s="4" t="s">
        <v>455</v>
      </c>
      <c r="AF176" s="63" t="s">
        <v>456</v>
      </c>
      <c r="AH176" s="4" t="s">
        <v>467</v>
      </c>
      <c r="AI176" s="4" t="s">
        <v>468</v>
      </c>
      <c r="AJ176" s="4" t="s">
        <v>473</v>
      </c>
      <c r="AK176" s="4" t="s">
        <v>474</v>
      </c>
      <c r="AL176" s="4" t="s">
        <v>475</v>
      </c>
      <c r="AQ176" s="4" t="s">
        <v>7</v>
      </c>
      <c r="AS176" s="4" t="s">
        <v>11</v>
      </c>
      <c r="AU176" s="4" t="s">
        <v>14</v>
      </c>
      <c r="AW176" s="4" t="s">
        <v>12</v>
      </c>
      <c r="BI176" s="4" t="s">
        <v>321</v>
      </c>
      <c r="BL176" s="4">
        <v>1200</v>
      </c>
      <c r="BO176" s="4">
        <v>0.02</v>
      </c>
      <c r="BP176" s="4">
        <v>2</v>
      </c>
      <c r="BV176" s="4" t="s">
        <v>472</v>
      </c>
      <c r="BX176" s="30">
        <v>0.3</v>
      </c>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v>3</v>
      </c>
      <c r="DQ176" s="1">
        <v>38.51</v>
      </c>
      <c r="DR176" s="1">
        <v>0.39</v>
      </c>
      <c r="DS176" s="1">
        <v>25.59</v>
      </c>
      <c r="DT176" s="1">
        <v>0.13</v>
      </c>
      <c r="ED176" s="1">
        <v>33.5497273435471</v>
      </c>
      <c r="FY176" s="1">
        <v>959.53</v>
      </c>
      <c r="GA176" s="1">
        <v>667.1</v>
      </c>
      <c r="GB176" s="1">
        <v>18.28</v>
      </c>
      <c r="GK176" s="1">
        <f t="shared" si="4"/>
        <v>30.4763790605817</v>
      </c>
      <c r="GL176" s="1">
        <v>30.4763790605817</v>
      </c>
      <c r="GN176" s="1">
        <v>31.54</v>
      </c>
      <c r="GP176" s="1">
        <v>17.75</v>
      </c>
      <c r="GQ176" s="1">
        <v>1.04</v>
      </c>
      <c r="GZ176" s="1">
        <f t="shared" si="5"/>
        <v>43.7222574508561</v>
      </c>
      <c r="HA176" s="1">
        <v>43.7222574508561</v>
      </c>
      <c r="HR176" s="1">
        <v>3885.12</v>
      </c>
      <c r="HT176" s="1">
        <v>2835.51</v>
      </c>
      <c r="HU176" s="1">
        <v>47</v>
      </c>
      <c r="ID176" s="1">
        <f t="shared" si="6"/>
        <v>27.016153941191</v>
      </c>
      <c r="IE176" s="1">
        <v>27.016153941191</v>
      </c>
      <c r="JJ176" s="1" t="s">
        <v>355</v>
      </c>
      <c r="JL176" s="1">
        <v>26</v>
      </c>
      <c r="JN176" s="1">
        <v>22</v>
      </c>
      <c r="JP176" s="1">
        <v>27</v>
      </c>
      <c r="JR176" s="1">
        <v>26</v>
      </c>
      <c r="JT176" s="1">
        <v>21</v>
      </c>
      <c r="JV176" s="1">
        <v>50</v>
      </c>
      <c r="JX176" s="1">
        <v>1</v>
      </c>
      <c r="JZ176" s="1">
        <v>28</v>
      </c>
      <c r="KB176" s="1">
        <v>27</v>
      </c>
      <c r="KC176" s="1">
        <v>30</v>
      </c>
      <c r="KD176" s="1">
        <v>5</v>
      </c>
      <c r="KE176" s="1">
        <v>39</v>
      </c>
      <c r="KF176" s="1">
        <v>25</v>
      </c>
      <c r="KG176" s="1">
        <v>39</v>
      </c>
      <c r="KH176" s="1">
        <v>3</v>
      </c>
      <c r="KI176" s="1">
        <v>33</v>
      </c>
    </row>
    <row r="177" customHeight="1" spans="1:311">
      <c r="A177" s="16">
        <v>6</v>
      </c>
      <c r="B177" s="4" t="s">
        <v>448</v>
      </c>
      <c r="C177" s="5" t="s">
        <v>449</v>
      </c>
      <c r="D177" s="4" t="s">
        <v>300</v>
      </c>
      <c r="E177" s="4" t="s">
        <v>450</v>
      </c>
      <c r="H177" s="4" t="s">
        <v>328</v>
      </c>
      <c r="I177" s="4" t="s">
        <v>451</v>
      </c>
      <c r="N177" s="24" t="s">
        <v>302</v>
      </c>
      <c r="O177" s="24" t="s">
        <v>303</v>
      </c>
      <c r="T177" s="4">
        <v>123.26</v>
      </c>
      <c r="U177" s="4">
        <v>0.01176</v>
      </c>
      <c r="V177" s="4">
        <v>3.87</v>
      </c>
      <c r="AB177" s="4" t="s">
        <v>452</v>
      </c>
      <c r="AC177" s="4" t="s">
        <v>453</v>
      </c>
      <c r="AD177" s="4" t="s">
        <v>454</v>
      </c>
      <c r="AE177" s="4" t="s">
        <v>455</v>
      </c>
      <c r="AF177" s="63" t="s">
        <v>456</v>
      </c>
      <c r="AH177" s="4" t="s">
        <v>467</v>
      </c>
      <c r="AI177" s="4" t="s">
        <v>468</v>
      </c>
      <c r="AJ177" s="4" t="s">
        <v>469</v>
      </c>
      <c r="AK177" s="4" t="s">
        <v>470</v>
      </c>
      <c r="AL177" s="4" t="s">
        <v>471</v>
      </c>
      <c r="AQ177" s="4" t="s">
        <v>7</v>
      </c>
      <c r="AS177" s="4" t="s">
        <v>11</v>
      </c>
      <c r="AU177" s="4" t="s">
        <v>14</v>
      </c>
      <c r="AW177" s="4" t="s">
        <v>12</v>
      </c>
      <c r="BE177" s="1" t="s">
        <v>355</v>
      </c>
      <c r="BI177" s="1" t="s">
        <v>321</v>
      </c>
      <c r="BP177" s="1">
        <v>0</v>
      </c>
      <c r="BV177" s="4" t="s">
        <v>472</v>
      </c>
      <c r="BX177" s="4">
        <v>70</v>
      </c>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v>3</v>
      </c>
      <c r="JJ177" s="1" t="s">
        <v>355</v>
      </c>
      <c r="KJ177" s="1">
        <v>11.8798955613577</v>
      </c>
      <c r="KK177" s="1">
        <v>7.70234986945169</v>
      </c>
      <c r="KL177" s="1">
        <v>4.69973890339426</v>
      </c>
      <c r="KM177" s="1">
        <v>5.09138381201044</v>
      </c>
      <c r="KN177" s="1">
        <v>548.302872062663</v>
      </c>
      <c r="KO177" s="1">
        <v>36.5535248041773</v>
      </c>
      <c r="KP177" s="1">
        <v>164.490861618799</v>
      </c>
      <c r="KQ177" s="1">
        <v>255.874673629242</v>
      </c>
      <c r="KR177" s="1">
        <v>689.295039164489</v>
      </c>
      <c r="KS177" s="1">
        <v>172.323759791121</v>
      </c>
      <c r="KT177" s="1">
        <v>266.318537859006</v>
      </c>
      <c r="KU177" s="1">
        <v>908.616187989556</v>
      </c>
      <c r="KV177" s="1">
        <v>6.4751958224543</v>
      </c>
      <c r="KW177" s="1">
        <v>0.417754569190598</v>
      </c>
      <c r="KX177" s="1">
        <v>7.93733681462139</v>
      </c>
      <c r="KY177" s="1">
        <v>12.7415143603133</v>
      </c>
    </row>
    <row r="178" customHeight="1" spans="1:311">
      <c r="A178" s="16">
        <v>6</v>
      </c>
      <c r="B178" s="4" t="s">
        <v>448</v>
      </c>
      <c r="C178" s="5" t="s">
        <v>449</v>
      </c>
      <c r="D178" s="4" t="s">
        <v>300</v>
      </c>
      <c r="E178" s="4" t="s">
        <v>450</v>
      </c>
      <c r="H178" s="4" t="s">
        <v>328</v>
      </c>
      <c r="I178" s="4" t="s">
        <v>451</v>
      </c>
      <c r="N178" s="24" t="s">
        <v>302</v>
      </c>
      <c r="O178" s="24" t="s">
        <v>303</v>
      </c>
      <c r="T178" s="4">
        <v>123.26</v>
      </c>
      <c r="U178" s="4">
        <v>0.01176</v>
      </c>
      <c r="V178" s="4">
        <v>3.87</v>
      </c>
      <c r="AB178" s="4" t="s">
        <v>452</v>
      </c>
      <c r="AC178" s="4" t="s">
        <v>453</v>
      </c>
      <c r="AD178" s="4" t="s">
        <v>454</v>
      </c>
      <c r="AE178" s="4" t="s">
        <v>455</v>
      </c>
      <c r="AF178" s="63" t="s">
        <v>456</v>
      </c>
      <c r="AH178" s="4" t="s">
        <v>467</v>
      </c>
      <c r="AI178" s="4" t="s">
        <v>468</v>
      </c>
      <c r="AJ178" s="4" t="s">
        <v>469</v>
      </c>
      <c r="AK178" s="4" t="s">
        <v>470</v>
      </c>
      <c r="AL178" s="4" t="s">
        <v>471</v>
      </c>
      <c r="AQ178" s="4" t="s">
        <v>7</v>
      </c>
      <c r="AS178" s="4" t="s">
        <v>11</v>
      </c>
      <c r="AU178" s="4" t="s">
        <v>14</v>
      </c>
      <c r="AW178" s="4" t="s">
        <v>12</v>
      </c>
      <c r="BE178" s="1" t="s">
        <v>355</v>
      </c>
      <c r="BI178" s="1" t="s">
        <v>321</v>
      </c>
      <c r="BP178" s="1">
        <v>0.5</v>
      </c>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v>3</v>
      </c>
      <c r="JJ178" s="1" t="s">
        <v>355</v>
      </c>
      <c r="KJ178" s="1">
        <v>10.3133159268929</v>
      </c>
      <c r="KK178" s="1">
        <v>6.00522193211488</v>
      </c>
      <c r="KL178" s="1">
        <v>5.35248041775457</v>
      </c>
      <c r="KM178" s="1">
        <v>9.00783289817232</v>
      </c>
      <c r="KN178" s="1">
        <v>438.642297650131</v>
      </c>
      <c r="KO178" s="1">
        <v>36.5535248041773</v>
      </c>
      <c r="KP178" s="1">
        <v>237.597911227154</v>
      </c>
      <c r="KQ178" s="1">
        <v>265.013054830287</v>
      </c>
      <c r="KR178" s="1">
        <v>579.634464751957</v>
      </c>
      <c r="KS178" s="1">
        <v>219.321148825064</v>
      </c>
      <c r="KT178" s="1">
        <v>328.981723237598</v>
      </c>
      <c r="KU178" s="1">
        <v>892.950391644908</v>
      </c>
      <c r="KV178" s="1">
        <v>5.8485639686684</v>
      </c>
      <c r="KW178" s="1">
        <v>0.835509138381196</v>
      </c>
      <c r="KX178" s="1">
        <v>10.0261096605743</v>
      </c>
      <c r="KY178" s="1">
        <v>11.6971279373368</v>
      </c>
    </row>
    <row r="179" customHeight="1" spans="1:311">
      <c r="A179" s="16">
        <v>6</v>
      </c>
      <c r="B179" s="4" t="s">
        <v>448</v>
      </c>
      <c r="C179" s="5" t="s">
        <v>449</v>
      </c>
      <c r="D179" s="4" t="s">
        <v>300</v>
      </c>
      <c r="E179" s="4" t="s">
        <v>450</v>
      </c>
      <c r="H179" s="4" t="s">
        <v>328</v>
      </c>
      <c r="I179" s="4" t="s">
        <v>451</v>
      </c>
      <c r="N179" s="24" t="s">
        <v>302</v>
      </c>
      <c r="O179" s="24" t="s">
        <v>303</v>
      </c>
      <c r="T179" s="4">
        <v>123.26</v>
      </c>
      <c r="U179" s="4">
        <v>0.01176</v>
      </c>
      <c r="V179" s="4">
        <v>3.87</v>
      </c>
      <c r="AB179" s="4" t="s">
        <v>452</v>
      </c>
      <c r="AC179" s="4" t="s">
        <v>453</v>
      </c>
      <c r="AD179" s="4" t="s">
        <v>454</v>
      </c>
      <c r="AE179" s="4" t="s">
        <v>455</v>
      </c>
      <c r="AF179" s="63" t="s">
        <v>456</v>
      </c>
      <c r="AH179" s="4" t="s">
        <v>467</v>
      </c>
      <c r="AI179" s="4" t="s">
        <v>468</v>
      </c>
      <c r="AJ179" s="4" t="s">
        <v>469</v>
      </c>
      <c r="AK179" s="4" t="s">
        <v>470</v>
      </c>
      <c r="AL179" s="4" t="s">
        <v>471</v>
      </c>
      <c r="AQ179" s="4" t="s">
        <v>7</v>
      </c>
      <c r="AS179" s="4" t="s">
        <v>11</v>
      </c>
      <c r="AU179" s="4" t="s">
        <v>14</v>
      </c>
      <c r="AW179" s="4" t="s">
        <v>12</v>
      </c>
      <c r="BE179" s="1" t="s">
        <v>355</v>
      </c>
      <c r="BI179" s="1" t="s">
        <v>321</v>
      </c>
      <c r="BP179" s="1">
        <v>1</v>
      </c>
      <c r="DO179" s="4">
        <v>3</v>
      </c>
      <c r="JJ179" s="1" t="s">
        <v>355</v>
      </c>
      <c r="KJ179" s="1">
        <v>8.48563968668408</v>
      </c>
      <c r="KK179" s="1">
        <v>5.74412532637075</v>
      </c>
      <c r="KL179" s="1">
        <v>4.83028720626632</v>
      </c>
      <c r="KM179" s="1">
        <v>9.39947780678851</v>
      </c>
      <c r="KN179" s="1">
        <v>338.120104438642</v>
      </c>
      <c r="KO179" s="1">
        <v>36.5535248041773</v>
      </c>
      <c r="KP179" s="1">
        <v>182.767624020887</v>
      </c>
      <c r="KQ179" s="1">
        <v>438.642297650131</v>
      </c>
      <c r="KR179" s="1">
        <v>579.634464751957</v>
      </c>
      <c r="KS179" s="1">
        <v>62.6631853785897</v>
      </c>
      <c r="KT179" s="1">
        <v>266.318537859008</v>
      </c>
      <c r="KU179" s="1">
        <v>1127.93733681462</v>
      </c>
      <c r="KV179" s="1">
        <v>5.22193211488251</v>
      </c>
      <c r="KW179" s="1">
        <v>0.626631853785897</v>
      </c>
      <c r="KX179" s="1">
        <v>8.1462140992167</v>
      </c>
      <c r="KY179" s="1">
        <v>13.5770234986945</v>
      </c>
    </row>
    <row r="180" customHeight="1" spans="1:311">
      <c r="A180" s="16">
        <v>6</v>
      </c>
      <c r="B180" s="4" t="s">
        <v>448</v>
      </c>
      <c r="C180" s="5" t="s">
        <v>449</v>
      </c>
      <c r="D180" s="4" t="s">
        <v>300</v>
      </c>
      <c r="E180" s="4" t="s">
        <v>450</v>
      </c>
      <c r="H180" s="4" t="s">
        <v>328</v>
      </c>
      <c r="I180" s="4" t="s">
        <v>451</v>
      </c>
      <c r="N180" s="24" t="s">
        <v>302</v>
      </c>
      <c r="O180" s="24" t="s">
        <v>303</v>
      </c>
      <c r="T180" s="4">
        <v>123.26</v>
      </c>
      <c r="U180" s="4">
        <v>0.01176</v>
      </c>
      <c r="V180" s="4">
        <v>3.87</v>
      </c>
      <c r="AB180" s="4" t="s">
        <v>452</v>
      </c>
      <c r="AC180" s="4" t="s">
        <v>453</v>
      </c>
      <c r="AD180" s="4" t="s">
        <v>454</v>
      </c>
      <c r="AE180" s="4" t="s">
        <v>455</v>
      </c>
      <c r="AF180" s="63" t="s">
        <v>456</v>
      </c>
      <c r="AH180" s="4" t="s">
        <v>467</v>
      </c>
      <c r="AI180" s="4" t="s">
        <v>468</v>
      </c>
      <c r="AJ180" s="4" t="s">
        <v>469</v>
      </c>
      <c r="AK180" s="4" t="s">
        <v>470</v>
      </c>
      <c r="AL180" s="4" t="s">
        <v>471</v>
      </c>
      <c r="AQ180" s="4" t="s">
        <v>7</v>
      </c>
      <c r="AS180" s="4" t="s">
        <v>11</v>
      </c>
      <c r="AU180" s="4" t="s">
        <v>14</v>
      </c>
      <c r="AW180" s="4" t="s">
        <v>12</v>
      </c>
      <c r="BE180" s="1" t="s">
        <v>355</v>
      </c>
      <c r="BI180" s="1" t="s">
        <v>321</v>
      </c>
      <c r="BP180" s="1">
        <v>2</v>
      </c>
      <c r="DO180" s="4">
        <v>3</v>
      </c>
      <c r="JJ180" s="1" t="s">
        <v>355</v>
      </c>
      <c r="KJ180" s="1">
        <v>7.96344647519582</v>
      </c>
      <c r="KK180" s="1">
        <v>7.44125326370757</v>
      </c>
      <c r="KL180" s="1">
        <v>6.26631853785901</v>
      </c>
      <c r="KM180" s="1">
        <v>6.00522193211489</v>
      </c>
      <c r="KN180" s="1">
        <v>328.981723237598</v>
      </c>
      <c r="KO180" s="1">
        <v>54.8302872062667</v>
      </c>
      <c r="KP180" s="1">
        <v>283.289817232375</v>
      </c>
      <c r="KQ180" s="1">
        <v>365.535248041775</v>
      </c>
      <c r="KR180" s="1">
        <v>548.302872062662</v>
      </c>
      <c r="KS180" s="1">
        <v>172.323759791121</v>
      </c>
      <c r="KT180" s="1">
        <v>375.97911227154</v>
      </c>
      <c r="KU180" s="1">
        <v>1065.27415143603</v>
      </c>
      <c r="KV180" s="1">
        <v>5.22193211488251</v>
      </c>
      <c r="KW180" s="1">
        <v>0.835509138381196</v>
      </c>
      <c r="KX180" s="1">
        <v>12.7415143603133</v>
      </c>
      <c r="KY180" s="1">
        <v>8.56396866840729</v>
      </c>
    </row>
    <row r="181" customHeight="1" spans="1:311">
      <c r="A181" s="16">
        <v>6</v>
      </c>
      <c r="B181" s="4" t="s">
        <v>448</v>
      </c>
      <c r="C181" s="5" t="s">
        <v>449</v>
      </c>
      <c r="D181" s="4" t="s">
        <v>300</v>
      </c>
      <c r="E181" s="4" t="s">
        <v>450</v>
      </c>
      <c r="H181" s="4" t="s">
        <v>328</v>
      </c>
      <c r="I181" s="4" t="s">
        <v>451</v>
      </c>
      <c r="N181" s="24" t="s">
        <v>302</v>
      </c>
      <c r="O181" s="24" t="s">
        <v>303</v>
      </c>
      <c r="T181" s="4">
        <v>123.26</v>
      </c>
      <c r="U181" s="4">
        <v>0.01176</v>
      </c>
      <c r="V181" s="4">
        <v>3.87</v>
      </c>
      <c r="AB181" s="4" t="s">
        <v>452</v>
      </c>
      <c r="AC181" s="4" t="s">
        <v>453</v>
      </c>
      <c r="AD181" s="4" t="s">
        <v>454</v>
      </c>
      <c r="AE181" s="4" t="s">
        <v>455</v>
      </c>
      <c r="AF181" s="63" t="s">
        <v>456</v>
      </c>
      <c r="AH181" s="4" t="s">
        <v>467</v>
      </c>
      <c r="AI181" s="4" t="s">
        <v>468</v>
      </c>
      <c r="AJ181" s="4" t="s">
        <v>473</v>
      </c>
      <c r="AK181" s="4" t="s">
        <v>474</v>
      </c>
      <c r="AL181" s="4" t="s">
        <v>475</v>
      </c>
      <c r="AQ181" s="4" t="s">
        <v>7</v>
      </c>
      <c r="AS181" s="4" t="s">
        <v>11</v>
      </c>
      <c r="AU181" s="4" t="s">
        <v>14</v>
      </c>
      <c r="AW181" s="4" t="s">
        <v>12</v>
      </c>
      <c r="BE181" s="1" t="s">
        <v>355</v>
      </c>
      <c r="BI181" s="1" t="s">
        <v>321</v>
      </c>
      <c r="BP181" s="1">
        <v>0</v>
      </c>
      <c r="DO181" s="4">
        <v>3</v>
      </c>
      <c r="JJ181" s="1" t="s">
        <v>355</v>
      </c>
      <c r="KJ181" s="1">
        <v>38.5117493472585</v>
      </c>
      <c r="KK181" s="1">
        <v>16.9712793733681</v>
      </c>
      <c r="KL181" s="1">
        <v>16.840731070496</v>
      </c>
      <c r="KM181" s="1">
        <v>11.6187989556135</v>
      </c>
      <c r="KN181" s="1">
        <v>959.53002610966</v>
      </c>
      <c r="KO181" s="1">
        <v>374.673629242819</v>
      </c>
      <c r="KP181" s="1">
        <v>402.088772845953</v>
      </c>
      <c r="KQ181" s="1">
        <v>2412.53263707571</v>
      </c>
      <c r="KR181" s="1">
        <v>3900.78328981723</v>
      </c>
      <c r="KS181" s="1">
        <v>4151.43603133159</v>
      </c>
      <c r="KT181" s="1">
        <v>313.315926892951</v>
      </c>
      <c r="KU181" s="1">
        <v>1848.5639686684</v>
      </c>
      <c r="KV181" s="1">
        <v>31.7493472584856</v>
      </c>
      <c r="KW181" s="1">
        <v>7.7284595300261</v>
      </c>
      <c r="KX181" s="1">
        <v>33.2114882506527</v>
      </c>
      <c r="KY181" s="1">
        <v>44.2819843342036</v>
      </c>
    </row>
    <row r="182" customHeight="1" spans="1:311">
      <c r="A182" s="16">
        <v>6</v>
      </c>
      <c r="B182" s="4" t="s">
        <v>448</v>
      </c>
      <c r="C182" s="5" t="s">
        <v>449</v>
      </c>
      <c r="D182" s="4" t="s">
        <v>300</v>
      </c>
      <c r="E182" s="4" t="s">
        <v>450</v>
      </c>
      <c r="H182" s="4" t="s">
        <v>328</v>
      </c>
      <c r="I182" s="4" t="s">
        <v>451</v>
      </c>
      <c r="N182" s="24" t="s">
        <v>302</v>
      </c>
      <c r="O182" s="24" t="s">
        <v>303</v>
      </c>
      <c r="T182" s="4">
        <v>123.26</v>
      </c>
      <c r="U182" s="4">
        <v>0.01176</v>
      </c>
      <c r="V182" s="4">
        <v>3.87</v>
      </c>
      <c r="AB182" s="4" t="s">
        <v>452</v>
      </c>
      <c r="AC182" s="4" t="s">
        <v>453</v>
      </c>
      <c r="AD182" s="4" t="s">
        <v>454</v>
      </c>
      <c r="AE182" s="4" t="s">
        <v>455</v>
      </c>
      <c r="AF182" s="63" t="s">
        <v>456</v>
      </c>
      <c r="AH182" s="4" t="s">
        <v>467</v>
      </c>
      <c r="AI182" s="4" t="s">
        <v>468</v>
      </c>
      <c r="AJ182" s="4" t="s">
        <v>473</v>
      </c>
      <c r="AK182" s="4" t="s">
        <v>474</v>
      </c>
      <c r="AL182" s="4" t="s">
        <v>475</v>
      </c>
      <c r="AQ182" s="4" t="s">
        <v>7</v>
      </c>
      <c r="AS182" s="4" t="s">
        <v>11</v>
      </c>
      <c r="AU182" s="4" t="s">
        <v>14</v>
      </c>
      <c r="AW182" s="4" t="s">
        <v>12</v>
      </c>
      <c r="BE182" s="1" t="s">
        <v>355</v>
      </c>
      <c r="BI182" s="1" t="s">
        <v>321</v>
      </c>
      <c r="BP182" s="1">
        <v>0.5</v>
      </c>
      <c r="DO182" s="4">
        <v>3</v>
      </c>
      <c r="JJ182" s="1" t="s">
        <v>355</v>
      </c>
      <c r="KJ182" s="1">
        <v>28.8511749347258</v>
      </c>
      <c r="KK182" s="1">
        <v>18.798955613577</v>
      </c>
      <c r="KL182" s="1">
        <v>18.1462140992167</v>
      </c>
      <c r="KM182" s="1">
        <v>20.3655352480417</v>
      </c>
      <c r="KN182" s="1">
        <v>767.624020887728</v>
      </c>
      <c r="KO182" s="1">
        <v>411.227154046997</v>
      </c>
      <c r="KP182" s="1">
        <v>365.535248041775</v>
      </c>
      <c r="KQ182" s="1">
        <v>2796.34464751958</v>
      </c>
      <c r="KR182" s="1">
        <v>3211.48825065274</v>
      </c>
      <c r="KS182" s="1">
        <v>3744.12532637075</v>
      </c>
      <c r="KT182" s="1">
        <v>313.315926892951</v>
      </c>
      <c r="KU182" s="1">
        <v>3054.83028720626</v>
      </c>
      <c r="KV182" s="1">
        <v>25.4830287206266</v>
      </c>
      <c r="KW182" s="1">
        <v>5.01305483028721</v>
      </c>
      <c r="KX182" s="1">
        <v>30.0783289817232</v>
      </c>
      <c r="KY182" s="1">
        <v>60.3655352480417</v>
      </c>
    </row>
    <row r="183" customHeight="1" spans="1:311">
      <c r="A183" s="16">
        <v>6</v>
      </c>
      <c r="B183" s="4" t="s">
        <v>448</v>
      </c>
      <c r="C183" s="5" t="s">
        <v>449</v>
      </c>
      <c r="D183" s="4" t="s">
        <v>300</v>
      </c>
      <c r="E183" s="4" t="s">
        <v>450</v>
      </c>
      <c r="H183" s="4" t="s">
        <v>328</v>
      </c>
      <c r="I183" s="4" t="s">
        <v>451</v>
      </c>
      <c r="N183" s="24" t="s">
        <v>302</v>
      </c>
      <c r="O183" s="24" t="s">
        <v>303</v>
      </c>
      <c r="T183" s="4">
        <v>123.26</v>
      </c>
      <c r="U183" s="4">
        <v>0.01176</v>
      </c>
      <c r="V183" s="4">
        <v>3.87</v>
      </c>
      <c r="AB183" s="4" t="s">
        <v>452</v>
      </c>
      <c r="AC183" s="4" t="s">
        <v>453</v>
      </c>
      <c r="AD183" s="4" t="s">
        <v>454</v>
      </c>
      <c r="AE183" s="4" t="s">
        <v>455</v>
      </c>
      <c r="AF183" s="63" t="s">
        <v>456</v>
      </c>
      <c r="AH183" s="4" t="s">
        <v>467</v>
      </c>
      <c r="AI183" s="4" t="s">
        <v>468</v>
      </c>
      <c r="AJ183" s="4" t="s">
        <v>473</v>
      </c>
      <c r="AK183" s="4" t="s">
        <v>474</v>
      </c>
      <c r="AL183" s="4" t="s">
        <v>475</v>
      </c>
      <c r="AQ183" s="4" t="s">
        <v>7</v>
      </c>
      <c r="AS183" s="4" t="s">
        <v>11</v>
      </c>
      <c r="AU183" s="4" t="s">
        <v>14</v>
      </c>
      <c r="AW183" s="4" t="s">
        <v>12</v>
      </c>
      <c r="BE183" s="1" t="s">
        <v>355</v>
      </c>
      <c r="BI183" s="1" t="s">
        <v>321</v>
      </c>
      <c r="BP183" s="1">
        <v>1</v>
      </c>
      <c r="DO183" s="4">
        <v>3</v>
      </c>
      <c r="JJ183" s="1" t="s">
        <v>355</v>
      </c>
      <c r="KJ183" s="1">
        <v>33.420365535248</v>
      </c>
      <c r="KK183" s="1">
        <v>17.3629242819843</v>
      </c>
      <c r="KL183" s="1">
        <v>17.6240208877284</v>
      </c>
      <c r="KM183" s="1">
        <v>16.0574412532637</v>
      </c>
      <c r="KN183" s="1">
        <v>621.409921671018</v>
      </c>
      <c r="KO183" s="1">
        <v>383.812010443864</v>
      </c>
      <c r="KP183" s="1">
        <v>283.289817232376</v>
      </c>
      <c r="KQ183" s="1">
        <v>2723.23759791122</v>
      </c>
      <c r="KR183" s="1">
        <v>2302.87206266319</v>
      </c>
      <c r="KS183" s="1">
        <v>4135.77023498694</v>
      </c>
      <c r="KT183" s="1">
        <v>250.652741514361</v>
      </c>
      <c r="KU183" s="1">
        <v>3869.45169712793</v>
      </c>
      <c r="KV183" s="1">
        <v>20.88772845953</v>
      </c>
      <c r="KW183" s="1">
        <v>7.7284595300261</v>
      </c>
      <c r="KX183" s="1">
        <v>27.9895561357702</v>
      </c>
      <c r="KY183" s="1">
        <v>62.66318537859</v>
      </c>
    </row>
    <row r="184" customHeight="1" spans="1:311">
      <c r="A184" s="16">
        <v>6</v>
      </c>
      <c r="B184" s="4" t="s">
        <v>448</v>
      </c>
      <c r="C184" s="5" t="s">
        <v>449</v>
      </c>
      <c r="D184" s="4" t="s">
        <v>300</v>
      </c>
      <c r="E184" s="4" t="s">
        <v>450</v>
      </c>
      <c r="H184" s="4" t="s">
        <v>328</v>
      </c>
      <c r="I184" s="4" t="s">
        <v>451</v>
      </c>
      <c r="N184" s="24" t="s">
        <v>302</v>
      </c>
      <c r="O184" s="24" t="s">
        <v>303</v>
      </c>
      <c r="T184" s="4">
        <v>123.26</v>
      </c>
      <c r="U184" s="4">
        <v>0.01176</v>
      </c>
      <c r="V184" s="4">
        <v>3.87</v>
      </c>
      <c r="AB184" s="4" t="s">
        <v>452</v>
      </c>
      <c r="AC184" s="4" t="s">
        <v>453</v>
      </c>
      <c r="AD184" s="4" t="s">
        <v>454</v>
      </c>
      <c r="AE184" s="4" t="s">
        <v>455</v>
      </c>
      <c r="AF184" s="63" t="s">
        <v>456</v>
      </c>
      <c r="AH184" s="4" t="s">
        <v>467</v>
      </c>
      <c r="AI184" s="4" t="s">
        <v>468</v>
      </c>
      <c r="AJ184" s="4" t="s">
        <v>473</v>
      </c>
      <c r="AK184" s="4" t="s">
        <v>474</v>
      </c>
      <c r="AL184" s="4" t="s">
        <v>475</v>
      </c>
      <c r="AQ184" s="4" t="s">
        <v>7</v>
      </c>
      <c r="AS184" s="4" t="s">
        <v>11</v>
      </c>
      <c r="AU184" s="4" t="s">
        <v>14</v>
      </c>
      <c r="AW184" s="4" t="s">
        <v>12</v>
      </c>
      <c r="BE184" s="1" t="s">
        <v>355</v>
      </c>
      <c r="BI184" s="1" t="s">
        <v>321</v>
      </c>
      <c r="BP184" s="1">
        <v>2</v>
      </c>
      <c r="DO184" s="4">
        <v>3</v>
      </c>
      <c r="JJ184" s="1" t="s">
        <v>355</v>
      </c>
      <c r="KJ184" s="1">
        <v>25.4569190600522</v>
      </c>
      <c r="KK184" s="1">
        <v>16.840731070496</v>
      </c>
      <c r="KL184" s="1">
        <v>17.8851174934725</v>
      </c>
      <c r="KM184" s="1">
        <v>25.5874673629242</v>
      </c>
      <c r="KN184" s="1">
        <v>667.10182767624</v>
      </c>
      <c r="KO184" s="1">
        <v>356.396866840731</v>
      </c>
      <c r="KP184" s="1">
        <v>402.088772845953</v>
      </c>
      <c r="KQ184" s="1">
        <v>2622.71540469974</v>
      </c>
      <c r="KR184" s="1">
        <v>2835.5091383812</v>
      </c>
      <c r="KS184" s="1">
        <v>3665.79634464751</v>
      </c>
      <c r="KT184" s="1">
        <v>328.981723237598</v>
      </c>
      <c r="KU184" s="1">
        <v>4151.43603133159</v>
      </c>
      <c r="KV184" s="1">
        <v>17.5456919060052</v>
      </c>
      <c r="KW184" s="1">
        <v>7.3107049608355</v>
      </c>
      <c r="KX184" s="1">
        <v>31.331592689295</v>
      </c>
      <c r="KY184" s="1">
        <v>57.4412532637075</v>
      </c>
    </row>
    <row r="185" customHeight="1" spans="1:311">
      <c r="A185" s="16">
        <v>6</v>
      </c>
      <c r="B185" s="4" t="s">
        <v>448</v>
      </c>
      <c r="C185" s="5" t="s">
        <v>449</v>
      </c>
      <c r="D185" s="4" t="s">
        <v>300</v>
      </c>
      <c r="E185" s="4" t="s">
        <v>450</v>
      </c>
      <c r="H185" s="4" t="s">
        <v>328</v>
      </c>
      <c r="I185" s="4" t="s">
        <v>451</v>
      </c>
      <c r="N185" s="24" t="s">
        <v>302</v>
      </c>
      <c r="O185" s="24" t="s">
        <v>303</v>
      </c>
      <c r="T185" s="4">
        <v>123.26</v>
      </c>
      <c r="U185" s="4">
        <v>0.01176</v>
      </c>
      <c r="V185" s="4">
        <v>3.87</v>
      </c>
      <c r="AB185" s="4" t="s">
        <v>452</v>
      </c>
      <c r="AC185" s="4" t="s">
        <v>453</v>
      </c>
      <c r="AD185" s="4" t="s">
        <v>454</v>
      </c>
      <c r="AE185" s="4" t="s">
        <v>455</v>
      </c>
      <c r="AF185" s="63" t="s">
        <v>456</v>
      </c>
      <c r="BI185" s="1" t="s">
        <v>321</v>
      </c>
      <c r="DO185" s="4">
        <v>3</v>
      </c>
    </row>
    <row r="186" customHeight="1" spans="1:311">
      <c r="A186" s="16">
        <v>6</v>
      </c>
      <c r="B186" s="4" t="s">
        <v>448</v>
      </c>
      <c r="C186" s="5" t="s">
        <v>449</v>
      </c>
      <c r="D186" s="4" t="s">
        <v>300</v>
      </c>
      <c r="E186" s="4" t="s">
        <v>450</v>
      </c>
      <c r="H186" s="4" t="s">
        <v>328</v>
      </c>
      <c r="I186" s="4" t="s">
        <v>451</v>
      </c>
      <c r="N186" s="24" t="s">
        <v>302</v>
      </c>
      <c r="O186" s="24" t="s">
        <v>303</v>
      </c>
      <c r="T186" s="4">
        <v>123.26</v>
      </c>
      <c r="U186" s="4">
        <v>0.01176</v>
      </c>
      <c r="V186" s="4">
        <v>3.87</v>
      </c>
      <c r="AB186" s="4" t="s">
        <v>452</v>
      </c>
      <c r="AC186" s="4" t="s">
        <v>453</v>
      </c>
      <c r="AD186" s="4" t="s">
        <v>454</v>
      </c>
      <c r="AE186" s="4" t="s">
        <v>455</v>
      </c>
      <c r="AF186" s="63" t="s">
        <v>456</v>
      </c>
      <c r="BI186" s="1" t="s">
        <v>321</v>
      </c>
      <c r="DO186" s="4">
        <v>3</v>
      </c>
    </row>
    <row r="187" customHeight="1" spans="1:311">
      <c r="A187" s="16">
        <v>6</v>
      </c>
      <c r="B187" s="4" t="s">
        <v>448</v>
      </c>
      <c r="C187" s="5" t="s">
        <v>449</v>
      </c>
      <c r="D187" s="4" t="s">
        <v>300</v>
      </c>
      <c r="E187" s="4" t="s">
        <v>450</v>
      </c>
      <c r="H187" s="4" t="s">
        <v>328</v>
      </c>
      <c r="I187" s="4" t="s">
        <v>451</v>
      </c>
      <c r="N187" s="24" t="s">
        <v>302</v>
      </c>
      <c r="O187" s="24" t="s">
        <v>303</v>
      </c>
      <c r="T187" s="4">
        <v>123.26</v>
      </c>
      <c r="U187" s="4">
        <v>0.01176</v>
      </c>
      <c r="V187" s="4">
        <v>3.87</v>
      </c>
      <c r="AB187" s="4" t="s">
        <v>452</v>
      </c>
      <c r="AC187" s="4" t="s">
        <v>453</v>
      </c>
      <c r="AD187" s="4" t="s">
        <v>454</v>
      </c>
      <c r="AE187" s="4" t="s">
        <v>455</v>
      </c>
      <c r="AF187" s="63" t="s">
        <v>456</v>
      </c>
      <c r="BI187" s="1" t="s">
        <v>321</v>
      </c>
      <c r="DO187" s="4">
        <v>3</v>
      </c>
    </row>
    <row r="188" customHeight="1" spans="1:311">
      <c r="A188" s="16">
        <v>6</v>
      </c>
      <c r="B188" s="4" t="s">
        <v>448</v>
      </c>
      <c r="C188" s="5" t="s">
        <v>449</v>
      </c>
      <c r="D188" s="4" t="s">
        <v>300</v>
      </c>
      <c r="E188" s="4" t="s">
        <v>450</v>
      </c>
      <c r="H188" s="4" t="s">
        <v>328</v>
      </c>
      <c r="I188" s="4" t="s">
        <v>451</v>
      </c>
      <c r="N188" s="24" t="s">
        <v>302</v>
      </c>
      <c r="O188" s="24" t="s">
        <v>303</v>
      </c>
      <c r="T188" s="4">
        <v>123.26</v>
      </c>
      <c r="U188" s="4">
        <v>0.01176</v>
      </c>
      <c r="V188" s="4">
        <v>3.87</v>
      </c>
      <c r="AB188" s="4" t="s">
        <v>452</v>
      </c>
      <c r="AC188" s="4" t="s">
        <v>453</v>
      </c>
      <c r="AD188" s="4" t="s">
        <v>454</v>
      </c>
      <c r="AE188" s="4" t="s">
        <v>455</v>
      </c>
      <c r="AF188" s="63" t="s">
        <v>456</v>
      </c>
      <c r="BI188" s="1" t="s">
        <v>321</v>
      </c>
      <c r="DO188" s="4">
        <v>3</v>
      </c>
      <c r="GO188" s="4"/>
      <c r="GP188" s="4"/>
      <c r="GQ188" s="4"/>
      <c r="GR188" s="4"/>
    </row>
    <row r="189" customHeight="1" spans="1:311">
      <c r="A189" s="3">
        <v>7</v>
      </c>
      <c r="B189" s="4" t="s">
        <v>476</v>
      </c>
      <c r="C189" s="5" t="s">
        <v>477</v>
      </c>
      <c r="D189" s="4" t="s">
        <v>478</v>
      </c>
      <c r="H189" s="4" t="s">
        <v>328</v>
      </c>
      <c r="I189" s="4" t="s">
        <v>479</v>
      </c>
      <c r="N189" s="24" t="s">
        <v>302</v>
      </c>
      <c r="O189" s="24" t="s">
        <v>367</v>
      </c>
      <c r="Q189" s="24" t="s">
        <v>480</v>
      </c>
      <c r="AC189" s="4" t="s">
        <v>481</v>
      </c>
      <c r="AD189" s="4" t="s">
        <v>482</v>
      </c>
      <c r="AE189" s="4" t="s">
        <v>483</v>
      </c>
      <c r="AF189" s="4" t="s">
        <v>484</v>
      </c>
      <c r="AH189" s="4" t="s">
        <v>394</v>
      </c>
      <c r="AI189" s="4" t="s">
        <v>485</v>
      </c>
      <c r="AL189" s="4" t="s">
        <v>486</v>
      </c>
      <c r="AQ189" s="4" t="s">
        <v>464</v>
      </c>
      <c r="AS189" s="4" t="s">
        <v>11</v>
      </c>
      <c r="BI189" s="4" t="s">
        <v>321</v>
      </c>
      <c r="BL189" s="4">
        <v>60</v>
      </c>
      <c r="BO189" s="4">
        <v>0</v>
      </c>
      <c r="BP189" s="4">
        <v>0</v>
      </c>
      <c r="BV189" s="4" t="s">
        <v>487</v>
      </c>
      <c r="CB189" s="4" t="s">
        <v>464</v>
      </c>
      <c r="CE189" s="4" t="s">
        <v>11</v>
      </c>
      <c r="CW189" s="4">
        <v>4.47</v>
      </c>
      <c r="DO189" s="4">
        <v>3</v>
      </c>
      <c r="FY189" s="4">
        <v>175.3</v>
      </c>
      <c r="GA189" s="4">
        <v>175.3</v>
      </c>
      <c r="GB189" s="4">
        <v>5.97</v>
      </c>
      <c r="GC189" s="4"/>
      <c r="GD189" s="4"/>
      <c r="GI189" s="1">
        <v>0</v>
      </c>
      <c r="GL189" s="1">
        <v>0</v>
      </c>
      <c r="GN189" s="4">
        <v>67.7</v>
      </c>
      <c r="GO189" s="4"/>
      <c r="GP189" s="4">
        <v>67.7</v>
      </c>
      <c r="GQ189" s="4">
        <v>2.22</v>
      </c>
      <c r="GR189" s="4"/>
      <c r="GY189" s="4"/>
      <c r="GZ189" s="1">
        <f t="shared" ref="GZ189:GZ192" si="7">(GN189-GP189)/GN189*100</f>
        <v>0</v>
      </c>
      <c r="HA189" s="1">
        <v>0</v>
      </c>
    </row>
    <row r="190" customHeight="1" spans="1:311">
      <c r="A190" s="3">
        <v>7</v>
      </c>
      <c r="B190" s="4" t="s">
        <v>476</v>
      </c>
      <c r="C190" s="5" t="s">
        <v>477</v>
      </c>
      <c r="D190" s="4" t="s">
        <v>478</v>
      </c>
      <c r="H190" s="4" t="s">
        <v>328</v>
      </c>
      <c r="I190" s="4" t="s">
        <v>479</v>
      </c>
      <c r="N190" s="24" t="s">
        <v>302</v>
      </c>
      <c r="O190" s="24" t="s">
        <v>367</v>
      </c>
      <c r="Q190" s="24" t="s">
        <v>480</v>
      </c>
      <c r="AH190" s="4" t="s">
        <v>394</v>
      </c>
      <c r="AI190" s="4" t="s">
        <v>485</v>
      </c>
      <c r="AL190" s="4" t="s">
        <v>486</v>
      </c>
      <c r="AQ190" s="4" t="s">
        <v>464</v>
      </c>
      <c r="AS190" s="4" t="s">
        <v>11</v>
      </c>
      <c r="BI190" s="4" t="s">
        <v>321</v>
      </c>
      <c r="BL190" s="4">
        <v>60</v>
      </c>
      <c r="BO190" s="4">
        <v>0.005</v>
      </c>
      <c r="BP190" s="4">
        <v>0.5</v>
      </c>
      <c r="BV190" s="4" t="s">
        <v>487</v>
      </c>
      <c r="CB190" s="4" t="s">
        <v>464</v>
      </c>
      <c r="CE190" s="4" t="s">
        <v>11</v>
      </c>
      <c r="CW190" s="4">
        <v>5.3</v>
      </c>
      <c r="DO190" s="4">
        <v>3</v>
      </c>
      <c r="FY190" s="4">
        <v>175.3</v>
      </c>
      <c r="GA190" s="4">
        <v>133.9</v>
      </c>
      <c r="GB190" s="4">
        <v>2.98</v>
      </c>
      <c r="GC190" s="4"/>
      <c r="GD190" s="4"/>
      <c r="GI190" s="4">
        <v>23.62</v>
      </c>
      <c r="GL190" s="4">
        <v>23.62</v>
      </c>
      <c r="GN190" s="4">
        <v>67.7</v>
      </c>
      <c r="GO190" s="4"/>
      <c r="GP190" s="4">
        <v>45.5</v>
      </c>
      <c r="GQ190" s="4">
        <v>1.63</v>
      </c>
      <c r="GR190" s="4"/>
      <c r="GY190" s="4">
        <v>32.79</v>
      </c>
      <c r="GZ190" s="1">
        <f t="shared" si="7"/>
        <v>32.7917282127031</v>
      </c>
      <c r="HA190" s="1">
        <v>32.7917282127031</v>
      </c>
    </row>
    <row r="191" customHeight="1" spans="1:311">
      <c r="A191" s="3">
        <v>7</v>
      </c>
      <c r="B191" s="4" t="s">
        <v>476</v>
      </c>
      <c r="C191" s="5" t="s">
        <v>477</v>
      </c>
      <c r="D191" s="4" t="s">
        <v>478</v>
      </c>
      <c r="H191" s="4" t="s">
        <v>328</v>
      </c>
      <c r="I191" s="4" t="s">
        <v>479</v>
      </c>
      <c r="N191" s="24" t="s">
        <v>302</v>
      </c>
      <c r="O191" s="24" t="s">
        <v>367</v>
      </c>
      <c r="Q191" s="24" t="s">
        <v>480</v>
      </c>
      <c r="AH191" s="4" t="s">
        <v>394</v>
      </c>
      <c r="AI191" s="4" t="s">
        <v>485</v>
      </c>
      <c r="AL191" s="4" t="s">
        <v>486</v>
      </c>
      <c r="AQ191" s="4" t="s">
        <v>464</v>
      </c>
      <c r="AS191" s="4" t="s">
        <v>11</v>
      </c>
      <c r="BI191" s="4" t="s">
        <v>321</v>
      </c>
      <c r="BL191" s="4">
        <v>60</v>
      </c>
      <c r="BO191" s="4">
        <v>0.01</v>
      </c>
      <c r="BP191" s="4">
        <v>1</v>
      </c>
      <c r="BV191" s="4" t="s">
        <v>487</v>
      </c>
      <c r="CB191" s="4" t="s">
        <v>464</v>
      </c>
      <c r="CE191" s="4" t="s">
        <v>11</v>
      </c>
      <c r="CW191" s="4">
        <v>6.75</v>
      </c>
      <c r="DO191" s="4">
        <v>3</v>
      </c>
      <c r="FY191" s="4">
        <v>175.3</v>
      </c>
      <c r="GA191" s="4">
        <v>126.2</v>
      </c>
      <c r="GB191" s="4">
        <v>1.9</v>
      </c>
      <c r="GC191" s="4"/>
      <c r="GD191" s="4"/>
      <c r="GI191" s="4">
        <v>28.01</v>
      </c>
      <c r="GL191" s="4">
        <v>28.01</v>
      </c>
      <c r="GN191" s="4">
        <v>67.7</v>
      </c>
      <c r="GO191" s="4"/>
      <c r="GP191" s="4">
        <v>40.6</v>
      </c>
      <c r="GQ191" s="4">
        <v>0.58</v>
      </c>
      <c r="GR191" s="4"/>
      <c r="GY191" s="4">
        <v>40.3</v>
      </c>
      <c r="GZ191" s="1">
        <f t="shared" si="7"/>
        <v>40.0295420974889</v>
      </c>
      <c r="HA191" s="1">
        <v>40.0295420974889</v>
      </c>
    </row>
    <row r="192" customHeight="1" spans="1:311">
      <c r="A192" s="3">
        <v>7</v>
      </c>
      <c r="B192" s="4" t="s">
        <v>476</v>
      </c>
      <c r="C192" s="5" t="s">
        <v>477</v>
      </c>
      <c r="D192" s="4" t="s">
        <v>478</v>
      </c>
      <c r="H192" s="4" t="s">
        <v>328</v>
      </c>
      <c r="I192" s="4" t="s">
        <v>479</v>
      </c>
      <c r="N192" s="24" t="s">
        <v>302</v>
      </c>
      <c r="O192" s="24" t="s">
        <v>367</v>
      </c>
      <c r="Q192" s="24" t="s">
        <v>480</v>
      </c>
      <c r="AH192" s="4" t="s">
        <v>394</v>
      </c>
      <c r="AI192" s="4" t="s">
        <v>485</v>
      </c>
      <c r="AL192" s="4" t="s">
        <v>486</v>
      </c>
      <c r="AQ192" s="4" t="s">
        <v>464</v>
      </c>
      <c r="AS192" s="4" t="s">
        <v>11</v>
      </c>
      <c r="BI192" s="4" t="s">
        <v>321</v>
      </c>
      <c r="BL192" s="4">
        <v>60</v>
      </c>
      <c r="BO192" s="4">
        <v>0.02</v>
      </c>
      <c r="BP192" s="4">
        <v>2</v>
      </c>
      <c r="BV192" s="4" t="s">
        <v>487</v>
      </c>
      <c r="CB192" s="4" t="s">
        <v>464</v>
      </c>
      <c r="CE192" s="4" t="s">
        <v>11</v>
      </c>
      <c r="CW192" s="4">
        <v>6.33</v>
      </c>
      <c r="DO192" s="4">
        <v>3</v>
      </c>
      <c r="FY192" s="4">
        <v>175.3</v>
      </c>
      <c r="GA192" s="4">
        <v>108.8</v>
      </c>
      <c r="GB192" s="4">
        <v>2.17</v>
      </c>
      <c r="GC192" s="4"/>
      <c r="GD192" s="4"/>
      <c r="GI192" s="4">
        <v>37.95</v>
      </c>
      <c r="GL192" s="4">
        <v>37.95</v>
      </c>
      <c r="GN192" s="4">
        <v>67.7</v>
      </c>
      <c r="GO192" s="4"/>
      <c r="GP192" s="4">
        <v>35.3</v>
      </c>
      <c r="GQ192" s="4">
        <v>0.93</v>
      </c>
      <c r="GR192" s="4"/>
      <c r="GY192" s="4">
        <v>47.85</v>
      </c>
      <c r="GZ192" s="1">
        <f t="shared" si="7"/>
        <v>47.8581979320532</v>
      </c>
      <c r="HA192" s="1">
        <v>47.8581979320532</v>
      </c>
    </row>
    <row r="193" customHeight="1" spans="1:313">
      <c r="A193" s="3">
        <v>7</v>
      </c>
      <c r="B193" s="4" t="s">
        <v>476</v>
      </c>
      <c r="C193" s="5" t="s">
        <v>477</v>
      </c>
      <c r="D193" s="4" t="s">
        <v>478</v>
      </c>
      <c r="H193" s="4" t="s">
        <v>328</v>
      </c>
      <c r="I193" s="4" t="s">
        <v>479</v>
      </c>
      <c r="N193" s="24" t="s">
        <v>302</v>
      </c>
      <c r="O193" s="24" t="s">
        <v>367</v>
      </c>
      <c r="Q193" s="24" t="s">
        <v>480</v>
      </c>
      <c r="AH193" s="4" t="s">
        <v>394</v>
      </c>
      <c r="AI193" s="4" t="s">
        <v>485</v>
      </c>
      <c r="AL193" s="4" t="s">
        <v>486</v>
      </c>
      <c r="AQ193" s="4" t="s">
        <v>464</v>
      </c>
      <c r="AS193" s="4" t="s">
        <v>11</v>
      </c>
      <c r="BI193" s="1" t="s">
        <v>321</v>
      </c>
      <c r="BP193" s="1">
        <v>0</v>
      </c>
      <c r="BV193" s="4" t="s">
        <v>488</v>
      </c>
      <c r="BX193" s="4">
        <v>60</v>
      </c>
      <c r="DO193" s="4">
        <v>3</v>
      </c>
      <c r="GA193" s="4"/>
      <c r="GB193" s="4"/>
      <c r="GC193" s="4"/>
      <c r="GD193" s="4"/>
      <c r="GO193" s="4"/>
      <c r="GP193" s="4"/>
      <c r="GQ193" s="4"/>
      <c r="GR193" s="4"/>
    </row>
    <row r="194" customHeight="1" spans="1:313">
      <c r="A194" s="3">
        <v>7</v>
      </c>
      <c r="B194" s="4" t="s">
        <v>476</v>
      </c>
      <c r="C194" s="5" t="s">
        <v>477</v>
      </c>
      <c r="D194" s="4" t="s">
        <v>478</v>
      </c>
      <c r="H194" s="4" t="s">
        <v>328</v>
      </c>
      <c r="I194" s="4" t="s">
        <v>479</v>
      </c>
      <c r="N194" s="24" t="s">
        <v>302</v>
      </c>
      <c r="O194" s="24" t="s">
        <v>367</v>
      </c>
      <c r="Q194" s="24" t="s">
        <v>480</v>
      </c>
      <c r="AH194" s="4" t="s">
        <v>394</v>
      </c>
      <c r="AI194" s="4" t="s">
        <v>485</v>
      </c>
      <c r="AL194" s="4" t="s">
        <v>486</v>
      </c>
      <c r="AQ194" s="4" t="s">
        <v>464</v>
      </c>
      <c r="AS194" s="4" t="s">
        <v>11</v>
      </c>
      <c r="BI194" s="1" t="s">
        <v>321</v>
      </c>
      <c r="BP194" s="1">
        <v>0.5</v>
      </c>
      <c r="BV194" s="4" t="s">
        <v>488</v>
      </c>
      <c r="BX194" s="4">
        <v>60</v>
      </c>
      <c r="DO194" s="4">
        <v>3</v>
      </c>
      <c r="GA194" s="4"/>
      <c r="GB194" s="4"/>
      <c r="GC194" s="4"/>
      <c r="GD194" s="4"/>
      <c r="GO194" s="4"/>
      <c r="GP194" s="4"/>
      <c r="GQ194" s="4"/>
      <c r="GR194" s="4"/>
    </row>
    <row r="195" customHeight="1" spans="1:313">
      <c r="A195" s="3">
        <v>7</v>
      </c>
      <c r="B195" s="4" t="s">
        <v>476</v>
      </c>
      <c r="C195" s="5" t="s">
        <v>477</v>
      </c>
      <c r="D195" s="4" t="s">
        <v>478</v>
      </c>
      <c r="H195" s="4" t="s">
        <v>328</v>
      </c>
      <c r="I195" s="4" t="s">
        <v>479</v>
      </c>
      <c r="N195" s="24" t="s">
        <v>302</v>
      </c>
      <c r="O195" s="24" t="s">
        <v>367</v>
      </c>
      <c r="Q195" s="24" t="s">
        <v>480</v>
      </c>
      <c r="AH195" s="4" t="s">
        <v>394</v>
      </c>
      <c r="AI195" s="4" t="s">
        <v>485</v>
      </c>
      <c r="AL195" s="4" t="s">
        <v>486</v>
      </c>
      <c r="AQ195" s="4" t="s">
        <v>464</v>
      </c>
      <c r="AS195" s="4" t="s">
        <v>11</v>
      </c>
      <c r="BI195" s="1" t="s">
        <v>321</v>
      </c>
      <c r="BP195" s="1">
        <v>1</v>
      </c>
      <c r="BV195" s="4" t="s">
        <v>488</v>
      </c>
      <c r="BX195" s="4">
        <v>60</v>
      </c>
      <c r="DO195" s="4">
        <v>3</v>
      </c>
      <c r="GA195" s="4"/>
      <c r="GB195" s="4"/>
      <c r="GC195" s="4"/>
      <c r="GD195" s="4"/>
    </row>
    <row r="196" customHeight="1" spans="1:313">
      <c r="A196" s="3">
        <v>7</v>
      </c>
      <c r="B196" s="4" t="s">
        <v>476</v>
      </c>
      <c r="C196" s="5" t="s">
        <v>477</v>
      </c>
      <c r="D196" s="4" t="s">
        <v>478</v>
      </c>
      <c r="H196" s="4" t="s">
        <v>328</v>
      </c>
      <c r="I196" s="4" t="s">
        <v>479</v>
      </c>
      <c r="N196" s="24" t="s">
        <v>302</v>
      </c>
      <c r="O196" s="24" t="s">
        <v>367</v>
      </c>
      <c r="Q196" s="24" t="s">
        <v>480</v>
      </c>
      <c r="AH196" s="4" t="s">
        <v>394</v>
      </c>
      <c r="AI196" s="4" t="s">
        <v>485</v>
      </c>
      <c r="AL196" s="4" t="s">
        <v>486</v>
      </c>
      <c r="AQ196" s="4" t="s">
        <v>464</v>
      </c>
      <c r="AS196" s="4" t="s">
        <v>11</v>
      </c>
      <c r="BI196" s="1" t="s">
        <v>321</v>
      </c>
      <c r="BP196" s="1">
        <v>2</v>
      </c>
      <c r="BV196" s="4" t="s">
        <v>488</v>
      </c>
      <c r="BX196" s="4">
        <v>60</v>
      </c>
      <c r="DO196" s="4">
        <v>3</v>
      </c>
      <c r="GA196" s="4"/>
      <c r="GB196" s="4"/>
      <c r="GC196" s="4"/>
      <c r="GD196" s="4"/>
    </row>
    <row r="197" customHeight="1" spans="1:313">
      <c r="A197" s="28">
        <v>8</v>
      </c>
      <c r="B197" s="4" t="s">
        <v>489</v>
      </c>
      <c r="C197" s="5" t="s">
        <v>490</v>
      </c>
      <c r="D197" s="4" t="s">
        <v>491</v>
      </c>
      <c r="AC197" s="4" t="s">
        <v>492</v>
      </c>
      <c r="AD197" s="4" t="s">
        <v>493</v>
      </c>
      <c r="BI197" s="4" t="s">
        <v>309</v>
      </c>
      <c r="BN197" s="4">
        <v>1</v>
      </c>
      <c r="BS197" s="4" t="s">
        <v>494</v>
      </c>
      <c r="BU197" s="4">
        <v>180</v>
      </c>
      <c r="BV197" s="4" t="s">
        <v>495</v>
      </c>
      <c r="BW197" s="4">
        <v>25</v>
      </c>
      <c r="CX197" s="4" t="s">
        <v>314</v>
      </c>
      <c r="CY197" s="4" t="s">
        <v>315</v>
      </c>
      <c r="DO197" s="4">
        <v>3</v>
      </c>
    </row>
    <row r="198" customHeight="1" spans="1:313">
      <c r="A198" s="28">
        <v>8</v>
      </c>
      <c r="B198" s="4" t="s">
        <v>489</v>
      </c>
      <c r="C198" s="5" t="s">
        <v>490</v>
      </c>
      <c r="D198" s="4" t="s">
        <v>491</v>
      </c>
      <c r="N198" s="24"/>
      <c r="BI198" s="4" t="s">
        <v>309</v>
      </c>
      <c r="BN198" s="4">
        <v>1</v>
      </c>
      <c r="BS198" s="4" t="s">
        <v>494</v>
      </c>
      <c r="BU198" s="4">
        <v>180</v>
      </c>
      <c r="BV198" s="4" t="s">
        <v>495</v>
      </c>
      <c r="BW198" s="4">
        <v>25</v>
      </c>
      <c r="CB198" s="4" t="s">
        <v>7</v>
      </c>
      <c r="CC198" s="4">
        <v>50</v>
      </c>
      <c r="CX198" s="4" t="s">
        <v>314</v>
      </c>
      <c r="CY198" s="4" t="s">
        <v>315</v>
      </c>
      <c r="DO198" s="4">
        <v>3</v>
      </c>
      <c r="DP198" s="4">
        <v>50</v>
      </c>
    </row>
    <row r="199" customHeight="1" spans="1:313">
      <c r="A199" s="28">
        <v>8</v>
      </c>
      <c r="B199" s="4" t="s">
        <v>489</v>
      </c>
      <c r="C199" s="5" t="s">
        <v>490</v>
      </c>
      <c r="D199" s="4" t="s">
        <v>491</v>
      </c>
      <c r="N199" s="24"/>
      <c r="BI199" s="4" t="s">
        <v>309</v>
      </c>
      <c r="BN199" s="4">
        <v>1</v>
      </c>
      <c r="BS199" s="4" t="s">
        <v>494</v>
      </c>
      <c r="BU199" s="4">
        <v>180</v>
      </c>
      <c r="BV199" s="4" t="s">
        <v>495</v>
      </c>
      <c r="BW199" s="4">
        <v>25</v>
      </c>
      <c r="CB199" s="4" t="s">
        <v>496</v>
      </c>
      <c r="CC199" s="4">
        <v>50</v>
      </c>
      <c r="CE199" s="4" t="s">
        <v>7</v>
      </c>
      <c r="CF199" s="4">
        <v>50</v>
      </c>
      <c r="CX199" s="4" t="s">
        <v>314</v>
      </c>
      <c r="CY199" s="4" t="s">
        <v>315</v>
      </c>
      <c r="DO199" s="4">
        <v>3</v>
      </c>
      <c r="DP199" s="4">
        <v>50</v>
      </c>
    </row>
    <row r="200" customHeight="1" spans="1:313">
      <c r="A200" s="28">
        <v>8</v>
      </c>
      <c r="B200" s="4" t="s">
        <v>489</v>
      </c>
      <c r="C200" s="5" t="s">
        <v>490</v>
      </c>
      <c r="D200" s="4" t="s">
        <v>491</v>
      </c>
      <c r="N200" s="24"/>
      <c r="BI200" s="4" t="s">
        <v>309</v>
      </c>
      <c r="BN200" s="4">
        <v>1</v>
      </c>
      <c r="BS200" s="4" t="s">
        <v>494</v>
      </c>
      <c r="BU200" s="4">
        <v>180</v>
      </c>
      <c r="BV200" s="4">
        <v>1440</v>
      </c>
      <c r="BW200" s="4">
        <v>25</v>
      </c>
      <c r="CB200" s="4" t="s">
        <v>496</v>
      </c>
      <c r="CC200" s="4" t="s">
        <v>497</v>
      </c>
      <c r="DB200" s="4" t="s">
        <v>312</v>
      </c>
      <c r="DC200" s="4" t="s">
        <v>462</v>
      </c>
      <c r="DD200" s="4">
        <v>219.6</v>
      </c>
      <c r="DE200" s="4">
        <v>270.88</v>
      </c>
      <c r="DO200" s="4">
        <v>3</v>
      </c>
      <c r="FA200" s="4">
        <v>219.6</v>
      </c>
    </row>
    <row r="201" customHeight="1" spans="1:313">
      <c r="A201" s="28">
        <v>8</v>
      </c>
      <c r="B201" s="4" t="s">
        <v>489</v>
      </c>
      <c r="C201" s="5" t="s">
        <v>490</v>
      </c>
      <c r="D201" s="4" t="s">
        <v>491</v>
      </c>
      <c r="N201" s="24"/>
      <c r="BI201" s="4" t="s">
        <v>309</v>
      </c>
      <c r="BN201" s="4">
        <v>1</v>
      </c>
      <c r="BS201" s="4" t="s">
        <v>494</v>
      </c>
      <c r="BU201" s="4">
        <v>180</v>
      </c>
      <c r="BV201" s="4">
        <v>1440</v>
      </c>
      <c r="BW201" s="4">
        <v>25</v>
      </c>
      <c r="CB201" s="4" t="s">
        <v>7</v>
      </c>
      <c r="CC201" s="4" t="s">
        <v>497</v>
      </c>
      <c r="DB201" s="4" t="s">
        <v>312</v>
      </c>
      <c r="DC201" s="4" t="s">
        <v>462</v>
      </c>
      <c r="DD201" s="4">
        <v>25.9</v>
      </c>
      <c r="DE201" s="4">
        <v>27.34</v>
      </c>
      <c r="DO201" s="4">
        <v>3</v>
      </c>
      <c r="DW201" s="4">
        <v>25.9</v>
      </c>
    </row>
    <row r="202" customHeight="1" spans="1:313">
      <c r="A202" s="28">
        <v>8</v>
      </c>
      <c r="B202" s="4" t="s">
        <v>489</v>
      </c>
      <c r="C202" s="5" t="s">
        <v>490</v>
      </c>
      <c r="D202" s="4" t="s">
        <v>491</v>
      </c>
      <c r="N202" s="24"/>
      <c r="BI202" s="4" t="s">
        <v>309</v>
      </c>
      <c r="BN202" s="4">
        <v>1</v>
      </c>
      <c r="BS202" s="4" t="s">
        <v>494</v>
      </c>
      <c r="BU202" s="4">
        <v>180</v>
      </c>
      <c r="BV202" s="4">
        <v>1440</v>
      </c>
      <c r="BW202" s="4">
        <v>25</v>
      </c>
      <c r="CB202" s="4" t="s">
        <v>496</v>
      </c>
      <c r="CC202" s="4" t="s">
        <v>497</v>
      </c>
      <c r="CE202" s="4" t="s">
        <v>7</v>
      </c>
      <c r="CF202" s="4" t="s">
        <v>497</v>
      </c>
      <c r="DB202" s="4" t="s">
        <v>312</v>
      </c>
      <c r="DC202" s="4" t="s">
        <v>462</v>
      </c>
      <c r="DD202" s="4">
        <v>218.9</v>
      </c>
      <c r="DE202" s="4">
        <v>259.61</v>
      </c>
      <c r="DF202" s="4">
        <v>25.55</v>
      </c>
      <c r="DG202" s="4">
        <v>25.86</v>
      </c>
      <c r="DO202" s="4">
        <v>3</v>
      </c>
      <c r="DW202" s="1">
        <v>25.55</v>
      </c>
      <c r="FA202" s="4">
        <v>218.9</v>
      </c>
    </row>
    <row r="203" customHeight="1" spans="1:313">
      <c r="A203" s="28">
        <v>8</v>
      </c>
      <c r="B203" s="4" t="s">
        <v>489</v>
      </c>
      <c r="C203" s="5" t="s">
        <v>498</v>
      </c>
      <c r="D203" s="4" t="s">
        <v>491</v>
      </c>
      <c r="E203" s="4" t="s">
        <v>499</v>
      </c>
      <c r="J203" s="4" t="s">
        <v>500</v>
      </c>
      <c r="N203" s="24" t="s">
        <v>501</v>
      </c>
      <c r="O203" s="4" t="s">
        <v>502</v>
      </c>
      <c r="P203" s="4">
        <v>3</v>
      </c>
      <c r="Z203" s="4">
        <v>0.208</v>
      </c>
      <c r="AB203" s="4" t="s">
        <v>503</v>
      </c>
      <c r="AC203" s="4" t="s">
        <v>492</v>
      </c>
      <c r="AD203" s="4" t="s">
        <v>504</v>
      </c>
      <c r="AE203" s="4" t="s">
        <v>505</v>
      </c>
      <c r="AF203" s="4" t="s">
        <v>506</v>
      </c>
      <c r="BI203" s="4" t="s">
        <v>309</v>
      </c>
      <c r="BN203" s="4">
        <v>1</v>
      </c>
      <c r="BS203" s="4" t="s">
        <v>494</v>
      </c>
      <c r="BU203" s="4">
        <v>180</v>
      </c>
      <c r="BV203" s="4" t="s">
        <v>495</v>
      </c>
      <c r="BW203" s="4">
        <v>25</v>
      </c>
      <c r="CB203" s="4" t="s">
        <v>496</v>
      </c>
      <c r="CC203" s="4">
        <v>50</v>
      </c>
      <c r="CE203" s="4" t="s">
        <v>7</v>
      </c>
      <c r="CF203" s="4">
        <v>50</v>
      </c>
      <c r="CX203" s="4" t="s">
        <v>314</v>
      </c>
      <c r="CY203" s="4" t="s">
        <v>315</v>
      </c>
      <c r="DO203" s="4">
        <v>3</v>
      </c>
      <c r="DP203" s="4">
        <v>50</v>
      </c>
      <c r="KZ203" s="31" t="s">
        <v>507</v>
      </c>
      <c r="LA203" s="31" t="s">
        <v>508</v>
      </c>
    </row>
    <row r="204" customHeight="1" spans="1:313">
      <c r="A204" s="28">
        <v>8</v>
      </c>
      <c r="B204" s="4" t="s">
        <v>489</v>
      </c>
      <c r="C204" s="5" t="s">
        <v>498</v>
      </c>
      <c r="D204" s="4" t="s">
        <v>491</v>
      </c>
      <c r="E204" s="4" t="s">
        <v>499</v>
      </c>
      <c r="J204" s="4" t="s">
        <v>500</v>
      </c>
      <c r="N204" s="24" t="s">
        <v>501</v>
      </c>
      <c r="O204" s="4" t="s">
        <v>502</v>
      </c>
      <c r="P204" s="4">
        <v>3</v>
      </c>
      <c r="Z204" s="4">
        <v>0.208</v>
      </c>
      <c r="AB204" s="4" t="s">
        <v>503</v>
      </c>
      <c r="AC204" s="4" t="s">
        <v>492</v>
      </c>
      <c r="AD204" s="4" t="s">
        <v>504</v>
      </c>
      <c r="AE204" s="4" t="s">
        <v>505</v>
      </c>
      <c r="AF204" s="4" t="s">
        <v>506</v>
      </c>
      <c r="BI204" s="4" t="s">
        <v>309</v>
      </c>
      <c r="BN204" s="4">
        <v>1</v>
      </c>
      <c r="BS204" s="4" t="s">
        <v>494</v>
      </c>
      <c r="BU204" s="4">
        <v>180</v>
      </c>
      <c r="BV204" s="4" t="s">
        <v>495</v>
      </c>
      <c r="BW204" s="4">
        <v>25</v>
      </c>
      <c r="CB204" s="4" t="s">
        <v>7</v>
      </c>
      <c r="CC204" s="4">
        <v>50</v>
      </c>
      <c r="CX204" s="4" t="s">
        <v>314</v>
      </c>
      <c r="CY204" s="4" t="s">
        <v>315</v>
      </c>
      <c r="DO204" s="4">
        <v>3</v>
      </c>
      <c r="DP204" s="4">
        <v>50</v>
      </c>
      <c r="KZ204" s="31" t="s">
        <v>458</v>
      </c>
      <c r="LA204" s="31" t="s">
        <v>509</v>
      </c>
    </row>
    <row r="205" customHeight="1" spans="1:313">
      <c r="A205" s="28">
        <v>8</v>
      </c>
      <c r="B205" s="4" t="s">
        <v>489</v>
      </c>
      <c r="C205" s="5" t="s">
        <v>498</v>
      </c>
      <c r="D205" s="4" t="s">
        <v>491</v>
      </c>
      <c r="E205" s="4" t="s">
        <v>499</v>
      </c>
      <c r="J205" s="4" t="s">
        <v>500</v>
      </c>
      <c r="N205" s="24" t="s">
        <v>501</v>
      </c>
      <c r="O205" s="4" t="s">
        <v>502</v>
      </c>
      <c r="P205" s="4">
        <v>3</v>
      </c>
      <c r="Z205" s="4">
        <v>0.208</v>
      </c>
      <c r="AB205" s="4" t="s">
        <v>503</v>
      </c>
      <c r="AC205" s="4" t="s">
        <v>492</v>
      </c>
      <c r="AD205" s="4" t="s">
        <v>504</v>
      </c>
      <c r="AE205" s="4" t="s">
        <v>505</v>
      </c>
      <c r="AF205" s="4" t="s">
        <v>506</v>
      </c>
      <c r="BI205" s="4" t="s">
        <v>309</v>
      </c>
      <c r="BN205" s="4">
        <v>1</v>
      </c>
      <c r="BS205" s="4" t="s">
        <v>494</v>
      </c>
      <c r="BU205" s="4">
        <v>180</v>
      </c>
      <c r="BV205" s="4" t="s">
        <v>495</v>
      </c>
      <c r="BW205" s="4">
        <v>25</v>
      </c>
      <c r="CB205" s="4" t="s">
        <v>496</v>
      </c>
      <c r="CC205" s="4">
        <v>50</v>
      </c>
      <c r="CE205" s="4" t="s">
        <v>7</v>
      </c>
      <c r="CF205" s="4">
        <v>50</v>
      </c>
      <c r="CX205" s="4" t="s">
        <v>314</v>
      </c>
      <c r="CY205" s="4" t="s">
        <v>315</v>
      </c>
      <c r="DO205" s="4">
        <v>3</v>
      </c>
      <c r="DP205" s="4">
        <v>50</v>
      </c>
      <c r="KZ205" s="31" t="s">
        <v>510</v>
      </c>
      <c r="LA205" s="31" t="s">
        <v>511</v>
      </c>
    </row>
    <row r="206" customHeight="1" spans="1:313">
      <c r="A206" s="28">
        <v>8</v>
      </c>
      <c r="B206" s="4" t="s">
        <v>489</v>
      </c>
      <c r="C206" s="5" t="s">
        <v>498</v>
      </c>
      <c r="D206" s="4" t="s">
        <v>491</v>
      </c>
      <c r="E206" s="4" t="s">
        <v>499</v>
      </c>
      <c r="J206" s="4" t="s">
        <v>500</v>
      </c>
      <c r="N206" s="24" t="s">
        <v>501</v>
      </c>
      <c r="O206" s="4" t="s">
        <v>502</v>
      </c>
      <c r="P206" s="4">
        <v>3</v>
      </c>
      <c r="Z206" s="4">
        <v>0.208</v>
      </c>
      <c r="AB206" s="4" t="s">
        <v>503</v>
      </c>
      <c r="AC206" s="4" t="s">
        <v>492</v>
      </c>
      <c r="AD206" s="4" t="s">
        <v>504</v>
      </c>
      <c r="AE206" s="4" t="s">
        <v>505</v>
      </c>
      <c r="AF206" s="4" t="s">
        <v>506</v>
      </c>
      <c r="BI206" s="4" t="s">
        <v>309</v>
      </c>
      <c r="BN206" s="4">
        <v>1</v>
      </c>
      <c r="BS206" s="4" t="s">
        <v>494</v>
      </c>
      <c r="BU206" s="4">
        <v>180</v>
      </c>
      <c r="BV206" s="4">
        <v>1440</v>
      </c>
      <c r="BW206" s="4">
        <v>25</v>
      </c>
      <c r="CB206" s="4" t="s">
        <v>496</v>
      </c>
      <c r="CC206" s="4" t="s">
        <v>497</v>
      </c>
      <c r="DB206" s="4" t="s">
        <v>312</v>
      </c>
      <c r="DC206" s="4" t="s">
        <v>462</v>
      </c>
      <c r="DD206" s="4">
        <v>268.7</v>
      </c>
      <c r="DE206" s="4">
        <v>317.61</v>
      </c>
      <c r="DO206" s="4">
        <v>3</v>
      </c>
      <c r="FA206" s="4">
        <v>268.7</v>
      </c>
    </row>
    <row r="207" customHeight="1" spans="1:313">
      <c r="A207" s="28">
        <v>8</v>
      </c>
      <c r="B207" s="4" t="s">
        <v>489</v>
      </c>
      <c r="C207" s="5" t="s">
        <v>498</v>
      </c>
      <c r="D207" s="4" t="s">
        <v>491</v>
      </c>
      <c r="E207" s="4" t="s">
        <v>499</v>
      </c>
      <c r="J207" s="4" t="s">
        <v>500</v>
      </c>
      <c r="N207" s="24" t="s">
        <v>501</v>
      </c>
      <c r="O207" s="4" t="s">
        <v>502</v>
      </c>
      <c r="P207" s="4">
        <v>3</v>
      </c>
      <c r="Z207" s="4">
        <v>0.208</v>
      </c>
      <c r="AB207" s="4" t="s">
        <v>503</v>
      </c>
      <c r="AC207" s="4" t="s">
        <v>492</v>
      </c>
      <c r="AD207" s="4" t="s">
        <v>504</v>
      </c>
      <c r="AE207" s="4" t="s">
        <v>505</v>
      </c>
      <c r="AF207" s="4" t="s">
        <v>506</v>
      </c>
      <c r="BI207" s="4" t="s">
        <v>309</v>
      </c>
      <c r="BN207" s="4">
        <v>1</v>
      </c>
      <c r="BS207" s="4" t="s">
        <v>494</v>
      </c>
      <c r="BU207" s="4">
        <v>180</v>
      </c>
      <c r="BV207" s="4">
        <v>1440</v>
      </c>
      <c r="BW207" s="4">
        <v>35</v>
      </c>
      <c r="CB207" s="4" t="s">
        <v>496</v>
      </c>
      <c r="CC207" s="4" t="s">
        <v>497</v>
      </c>
      <c r="DB207" s="4" t="s">
        <v>312</v>
      </c>
      <c r="DC207" s="4" t="s">
        <v>462</v>
      </c>
      <c r="DD207" s="4">
        <v>209.1</v>
      </c>
      <c r="DE207" s="4">
        <v>249.5</v>
      </c>
      <c r="DO207" s="4">
        <v>3</v>
      </c>
      <c r="FA207" s="4">
        <v>209.1</v>
      </c>
    </row>
    <row r="208" customHeight="1" spans="1:313">
      <c r="A208" s="28">
        <v>8</v>
      </c>
      <c r="B208" s="4" t="s">
        <v>489</v>
      </c>
      <c r="C208" s="5" t="s">
        <v>498</v>
      </c>
      <c r="D208" s="4" t="s">
        <v>491</v>
      </c>
      <c r="E208" s="4" t="s">
        <v>499</v>
      </c>
      <c r="J208" s="4" t="s">
        <v>500</v>
      </c>
      <c r="N208" s="24" t="s">
        <v>501</v>
      </c>
      <c r="O208" s="4" t="s">
        <v>502</v>
      </c>
      <c r="P208" s="4">
        <v>3</v>
      </c>
      <c r="Z208" s="4">
        <v>0.208</v>
      </c>
      <c r="AB208" s="4" t="s">
        <v>503</v>
      </c>
      <c r="AC208" s="4" t="s">
        <v>492</v>
      </c>
      <c r="AD208" s="4" t="s">
        <v>504</v>
      </c>
      <c r="AE208" s="4" t="s">
        <v>505</v>
      </c>
      <c r="AF208" s="4" t="s">
        <v>506</v>
      </c>
      <c r="BI208" s="4" t="s">
        <v>309</v>
      </c>
      <c r="BN208" s="4">
        <v>1</v>
      </c>
      <c r="BS208" s="4" t="s">
        <v>494</v>
      </c>
      <c r="BU208" s="4">
        <v>180</v>
      </c>
      <c r="BV208" s="4">
        <v>1440</v>
      </c>
      <c r="BW208" s="4">
        <v>45</v>
      </c>
      <c r="CB208" s="4" t="s">
        <v>496</v>
      </c>
      <c r="CC208" s="4" t="s">
        <v>497</v>
      </c>
      <c r="DB208" s="4" t="s">
        <v>312</v>
      </c>
      <c r="DC208" s="4" t="s">
        <v>462</v>
      </c>
      <c r="DD208" s="4">
        <v>156.3</v>
      </c>
      <c r="DE208" s="4">
        <v>177.01</v>
      </c>
      <c r="DO208" s="4">
        <v>3</v>
      </c>
      <c r="FA208" s="4">
        <v>156.3</v>
      </c>
    </row>
    <row r="209" customHeight="1" spans="1:164">
      <c r="A209" s="28">
        <v>8</v>
      </c>
      <c r="B209" s="4" t="s">
        <v>489</v>
      </c>
      <c r="C209" s="5" t="s">
        <v>498</v>
      </c>
      <c r="D209" s="4" t="s">
        <v>491</v>
      </c>
      <c r="E209" s="4" t="s">
        <v>499</v>
      </c>
      <c r="J209" s="4" t="s">
        <v>500</v>
      </c>
      <c r="N209" s="24" t="s">
        <v>501</v>
      </c>
      <c r="O209" s="4" t="s">
        <v>502</v>
      </c>
      <c r="P209" s="4">
        <v>3</v>
      </c>
      <c r="Z209" s="4">
        <v>0.208</v>
      </c>
      <c r="AB209" s="4" t="s">
        <v>503</v>
      </c>
      <c r="AC209" s="4" t="s">
        <v>492</v>
      </c>
      <c r="AD209" s="4" t="s">
        <v>504</v>
      </c>
      <c r="AE209" s="4" t="s">
        <v>505</v>
      </c>
      <c r="AF209" s="4" t="s">
        <v>506</v>
      </c>
      <c r="BI209" s="4" t="s">
        <v>309</v>
      </c>
      <c r="BN209" s="4">
        <v>1</v>
      </c>
      <c r="BS209" s="4" t="s">
        <v>494</v>
      </c>
      <c r="BU209" s="4">
        <v>180</v>
      </c>
      <c r="BV209" s="4">
        <v>1440</v>
      </c>
      <c r="BW209" s="4">
        <v>25</v>
      </c>
      <c r="CB209" s="4" t="s">
        <v>7</v>
      </c>
      <c r="CC209" s="4" t="s">
        <v>497</v>
      </c>
      <c r="DB209" s="4" t="s">
        <v>312</v>
      </c>
      <c r="DC209" s="4" t="s">
        <v>462</v>
      </c>
      <c r="DD209" s="4">
        <v>181.6</v>
      </c>
      <c r="DE209" s="4">
        <v>240.54</v>
      </c>
      <c r="DO209" s="4">
        <v>3</v>
      </c>
      <c r="DW209" s="4">
        <v>181.6</v>
      </c>
    </row>
    <row r="210" customHeight="1" spans="1:164">
      <c r="A210" s="28">
        <v>8</v>
      </c>
      <c r="B210" s="4" t="s">
        <v>489</v>
      </c>
      <c r="C210" s="5" t="s">
        <v>498</v>
      </c>
      <c r="D210" s="4" t="s">
        <v>491</v>
      </c>
      <c r="E210" s="4" t="s">
        <v>499</v>
      </c>
      <c r="J210" s="4" t="s">
        <v>500</v>
      </c>
      <c r="N210" s="24" t="s">
        <v>501</v>
      </c>
      <c r="O210" s="4" t="s">
        <v>502</v>
      </c>
      <c r="P210" s="4">
        <v>3</v>
      </c>
      <c r="Z210" s="4">
        <v>0.208</v>
      </c>
      <c r="AB210" s="4" t="s">
        <v>503</v>
      </c>
      <c r="AC210" s="4" t="s">
        <v>492</v>
      </c>
      <c r="AD210" s="4" t="s">
        <v>504</v>
      </c>
      <c r="AE210" s="4" t="s">
        <v>505</v>
      </c>
      <c r="AF210" s="4" t="s">
        <v>506</v>
      </c>
      <c r="BI210" s="4" t="s">
        <v>309</v>
      </c>
      <c r="BN210" s="4">
        <v>1</v>
      </c>
      <c r="BS210" s="4" t="s">
        <v>494</v>
      </c>
      <c r="BU210" s="4">
        <v>180</v>
      </c>
      <c r="BV210" s="4">
        <v>1440</v>
      </c>
      <c r="BW210" s="4">
        <v>35</v>
      </c>
      <c r="CB210" s="4" t="s">
        <v>7</v>
      </c>
      <c r="CC210" s="4" t="s">
        <v>497</v>
      </c>
      <c r="DB210" s="4" t="s">
        <v>312</v>
      </c>
      <c r="DC210" s="4" t="s">
        <v>462</v>
      </c>
      <c r="DD210" s="4">
        <v>160.4</v>
      </c>
      <c r="DE210" s="4">
        <v>224.86</v>
      </c>
      <c r="DO210" s="4">
        <v>3</v>
      </c>
      <c r="DW210" s="4">
        <v>160.4</v>
      </c>
    </row>
    <row r="211" customHeight="1" spans="1:164">
      <c r="A211" s="28">
        <v>8</v>
      </c>
      <c r="B211" s="4" t="s">
        <v>489</v>
      </c>
      <c r="C211" s="5" t="s">
        <v>498</v>
      </c>
      <c r="D211" s="4" t="s">
        <v>491</v>
      </c>
      <c r="E211" s="4" t="s">
        <v>499</v>
      </c>
      <c r="J211" s="4" t="s">
        <v>500</v>
      </c>
      <c r="N211" s="24" t="s">
        <v>501</v>
      </c>
      <c r="O211" s="4" t="s">
        <v>502</v>
      </c>
      <c r="P211" s="4">
        <v>3</v>
      </c>
      <c r="Z211" s="4">
        <v>0.208</v>
      </c>
      <c r="AB211" s="4" t="s">
        <v>503</v>
      </c>
      <c r="AC211" s="4" t="s">
        <v>492</v>
      </c>
      <c r="AD211" s="4" t="s">
        <v>504</v>
      </c>
      <c r="AE211" s="4" t="s">
        <v>505</v>
      </c>
      <c r="AF211" s="4" t="s">
        <v>506</v>
      </c>
      <c r="BI211" s="4" t="s">
        <v>309</v>
      </c>
      <c r="BN211" s="4">
        <v>1</v>
      </c>
      <c r="BS211" s="4" t="s">
        <v>494</v>
      </c>
      <c r="BU211" s="4">
        <v>180</v>
      </c>
      <c r="BV211" s="4">
        <v>1440</v>
      </c>
      <c r="BW211" s="4">
        <v>45</v>
      </c>
      <c r="CB211" s="4" t="s">
        <v>7</v>
      </c>
      <c r="CC211" s="4" t="s">
        <v>497</v>
      </c>
      <c r="DB211" s="4" t="s">
        <v>312</v>
      </c>
      <c r="DC211" s="4" t="s">
        <v>462</v>
      </c>
      <c r="DD211" s="4">
        <v>135</v>
      </c>
      <c r="DE211" s="4">
        <v>210.82</v>
      </c>
      <c r="DO211" s="4">
        <v>3</v>
      </c>
      <c r="DW211" s="4">
        <v>135</v>
      </c>
    </row>
    <row r="212" customHeight="1" spans="1:164">
      <c r="A212" s="28">
        <v>8</v>
      </c>
      <c r="B212" s="4" t="s">
        <v>489</v>
      </c>
      <c r="C212" s="5" t="s">
        <v>498</v>
      </c>
      <c r="D212" s="4" t="s">
        <v>491</v>
      </c>
      <c r="E212" s="4" t="s">
        <v>499</v>
      </c>
      <c r="J212" s="4" t="s">
        <v>500</v>
      </c>
      <c r="N212" s="24" t="s">
        <v>501</v>
      </c>
      <c r="O212" s="4" t="s">
        <v>502</v>
      </c>
      <c r="P212" s="4">
        <v>3</v>
      </c>
      <c r="Z212" s="4">
        <v>0.208</v>
      </c>
      <c r="AB212" s="4" t="s">
        <v>503</v>
      </c>
      <c r="AC212" s="4" t="s">
        <v>492</v>
      </c>
      <c r="AD212" s="4" t="s">
        <v>504</v>
      </c>
      <c r="AE212" s="4" t="s">
        <v>505</v>
      </c>
      <c r="AF212" s="4" t="s">
        <v>506</v>
      </c>
      <c r="BI212" s="4" t="s">
        <v>309</v>
      </c>
      <c r="BN212" s="4">
        <v>1</v>
      </c>
      <c r="BS212" s="4" t="s">
        <v>494</v>
      </c>
      <c r="BU212" s="4">
        <v>180</v>
      </c>
      <c r="BV212" s="4">
        <v>1440</v>
      </c>
      <c r="BW212" s="4">
        <v>25</v>
      </c>
      <c r="CB212" s="4" t="s">
        <v>496</v>
      </c>
      <c r="CC212" s="4" t="s">
        <v>497</v>
      </c>
      <c r="CE212" s="4" t="s">
        <v>7</v>
      </c>
      <c r="CF212" s="4" t="s">
        <v>497</v>
      </c>
      <c r="DB212" s="4" t="s">
        <v>312</v>
      </c>
      <c r="DC212" s="4" t="s">
        <v>462</v>
      </c>
      <c r="DD212" s="4">
        <v>249.6</v>
      </c>
      <c r="DE212" s="4">
        <v>259.94</v>
      </c>
      <c r="DF212" s="4">
        <v>156.5</v>
      </c>
      <c r="DG212" s="4">
        <v>209.37</v>
      </c>
      <c r="DO212" s="4">
        <v>3</v>
      </c>
      <c r="DW212" s="4">
        <v>156.5</v>
      </c>
      <c r="FA212" s="4">
        <v>249.6</v>
      </c>
    </row>
    <row r="213" customHeight="1" spans="1:164">
      <c r="A213" s="28">
        <v>8</v>
      </c>
      <c r="B213" s="4" t="s">
        <v>489</v>
      </c>
      <c r="C213" s="5" t="s">
        <v>498</v>
      </c>
      <c r="D213" s="4" t="s">
        <v>491</v>
      </c>
      <c r="E213" s="4" t="s">
        <v>499</v>
      </c>
      <c r="J213" s="4" t="s">
        <v>500</v>
      </c>
      <c r="N213" s="24" t="s">
        <v>501</v>
      </c>
      <c r="O213" s="4" t="s">
        <v>502</v>
      </c>
      <c r="P213" s="4">
        <v>3</v>
      </c>
      <c r="Z213" s="4">
        <v>0.208</v>
      </c>
      <c r="AB213" s="4" t="s">
        <v>503</v>
      </c>
      <c r="AC213" s="4" t="s">
        <v>492</v>
      </c>
      <c r="AD213" s="4" t="s">
        <v>504</v>
      </c>
      <c r="AE213" s="4" t="s">
        <v>505</v>
      </c>
      <c r="AF213" s="4" t="s">
        <v>506</v>
      </c>
      <c r="BI213" s="4" t="s">
        <v>309</v>
      </c>
      <c r="BN213" s="4">
        <v>1</v>
      </c>
      <c r="BS213" s="4" t="s">
        <v>494</v>
      </c>
      <c r="BU213" s="4">
        <v>180</v>
      </c>
      <c r="BV213" s="4">
        <v>1440</v>
      </c>
      <c r="BW213" s="4">
        <v>35</v>
      </c>
      <c r="CB213" s="4" t="s">
        <v>496</v>
      </c>
      <c r="CC213" s="4" t="s">
        <v>497</v>
      </c>
      <c r="CE213" s="4" t="s">
        <v>7</v>
      </c>
      <c r="CF213" s="4" t="s">
        <v>497</v>
      </c>
      <c r="DB213" s="4" t="s">
        <v>312</v>
      </c>
      <c r="DC213" s="4" t="s">
        <v>462</v>
      </c>
      <c r="DD213" s="4">
        <v>205.2</v>
      </c>
      <c r="DE213" s="4">
        <v>241.44</v>
      </c>
      <c r="DF213" s="4">
        <v>138.7</v>
      </c>
      <c r="DG213" s="4">
        <v>182.96</v>
      </c>
      <c r="DO213" s="4">
        <v>3</v>
      </c>
      <c r="DW213" s="4">
        <v>138.7</v>
      </c>
      <c r="FA213" s="4">
        <v>205.2</v>
      </c>
    </row>
    <row r="214" customHeight="1" spans="1:164">
      <c r="A214" s="28">
        <v>8</v>
      </c>
      <c r="B214" s="4" t="s">
        <v>489</v>
      </c>
      <c r="C214" s="5" t="s">
        <v>498</v>
      </c>
      <c r="D214" s="4" t="s">
        <v>491</v>
      </c>
      <c r="E214" s="4" t="s">
        <v>499</v>
      </c>
      <c r="J214" s="4" t="s">
        <v>500</v>
      </c>
      <c r="N214" s="24" t="s">
        <v>501</v>
      </c>
      <c r="O214" s="4" t="s">
        <v>502</v>
      </c>
      <c r="P214" s="4">
        <v>3</v>
      </c>
      <c r="Z214" s="4">
        <v>0.208</v>
      </c>
      <c r="AB214" s="4" t="s">
        <v>503</v>
      </c>
      <c r="AC214" s="4" t="s">
        <v>492</v>
      </c>
      <c r="AD214" s="4" t="s">
        <v>504</v>
      </c>
      <c r="AE214" s="4" t="s">
        <v>505</v>
      </c>
      <c r="AF214" s="4" t="s">
        <v>506</v>
      </c>
      <c r="BI214" s="4" t="s">
        <v>309</v>
      </c>
      <c r="BN214" s="4">
        <v>1</v>
      </c>
      <c r="BS214" s="4" t="s">
        <v>494</v>
      </c>
      <c r="BU214" s="4">
        <v>180</v>
      </c>
      <c r="BV214" s="4">
        <v>1440</v>
      </c>
      <c r="BW214" s="4">
        <v>45</v>
      </c>
      <c r="CB214" s="4" t="s">
        <v>496</v>
      </c>
      <c r="CC214" s="4" t="s">
        <v>497</v>
      </c>
      <c r="CE214" s="4" t="s">
        <v>7</v>
      </c>
      <c r="CF214" s="4" t="s">
        <v>497</v>
      </c>
      <c r="DB214" s="4" t="s">
        <v>312</v>
      </c>
      <c r="DC214" s="4" t="s">
        <v>462</v>
      </c>
      <c r="DD214" s="4">
        <v>153.1</v>
      </c>
      <c r="DE214" s="4">
        <v>171.9</v>
      </c>
      <c r="DF214" s="4">
        <v>125.8</v>
      </c>
      <c r="DG214" s="4">
        <v>173.24</v>
      </c>
      <c r="DO214" s="4">
        <v>3</v>
      </c>
      <c r="DW214" s="4">
        <v>125.8</v>
      </c>
      <c r="FA214" s="4">
        <v>153.1</v>
      </c>
    </row>
    <row r="215" customHeight="1" spans="1:164">
      <c r="A215" s="28">
        <v>8</v>
      </c>
      <c r="B215" s="4" t="s">
        <v>489</v>
      </c>
      <c r="C215" s="5" t="s">
        <v>498</v>
      </c>
      <c r="D215" s="4" t="s">
        <v>491</v>
      </c>
      <c r="E215" s="4" t="s">
        <v>499</v>
      </c>
      <c r="J215" s="4" t="s">
        <v>500</v>
      </c>
      <c r="N215" s="24" t="s">
        <v>501</v>
      </c>
      <c r="O215" s="4" t="s">
        <v>502</v>
      </c>
      <c r="P215" s="4">
        <v>3</v>
      </c>
      <c r="Z215" s="4">
        <v>0.208</v>
      </c>
      <c r="AB215" s="4" t="s">
        <v>503</v>
      </c>
      <c r="AC215" s="4" t="s">
        <v>492</v>
      </c>
      <c r="AD215" s="4" t="s">
        <v>504</v>
      </c>
      <c r="AE215" s="4" t="s">
        <v>505</v>
      </c>
      <c r="AF215" s="4" t="s">
        <v>506</v>
      </c>
      <c r="BI215" s="4" t="s">
        <v>309</v>
      </c>
      <c r="BN215" s="4">
        <v>1</v>
      </c>
      <c r="BS215" s="4" t="s">
        <v>494</v>
      </c>
      <c r="BU215" s="4">
        <v>180</v>
      </c>
      <c r="BV215" s="4">
        <v>1440</v>
      </c>
      <c r="BW215" s="4">
        <v>25</v>
      </c>
      <c r="CB215" s="4" t="s">
        <v>496</v>
      </c>
      <c r="CC215" s="4">
        <v>37.4608</v>
      </c>
      <c r="CE215" s="4" t="s">
        <v>7</v>
      </c>
      <c r="CF215" s="4">
        <v>56.2055</v>
      </c>
      <c r="CR215" s="4" t="s">
        <v>512</v>
      </c>
      <c r="CS215" s="4">
        <v>0</v>
      </c>
      <c r="DO215" s="4">
        <v>3</v>
      </c>
      <c r="DP215" s="4">
        <v>56.2055</v>
      </c>
      <c r="DW215" s="27">
        <v>51.1928652751422</v>
      </c>
      <c r="ED215" s="1">
        <v>91.0815939278935</v>
      </c>
      <c r="EZ215" s="4"/>
      <c r="FA215" s="1">
        <v>35.75</v>
      </c>
      <c r="FB215" s="1">
        <v>0.36</v>
      </c>
      <c r="FC215" s="4"/>
      <c r="FG215" s="1">
        <f>(FA215/CC215*100)</f>
        <v>95.4330927262632</v>
      </c>
      <c r="FH215" s="1">
        <v>95.4330927262632</v>
      </c>
    </row>
    <row r="216" customHeight="1" spans="1:164">
      <c r="A216" s="28">
        <v>8</v>
      </c>
      <c r="B216" s="4" t="s">
        <v>489</v>
      </c>
      <c r="C216" s="5" t="s">
        <v>498</v>
      </c>
      <c r="D216" s="4" t="s">
        <v>491</v>
      </c>
      <c r="E216" s="4" t="s">
        <v>499</v>
      </c>
      <c r="J216" s="4" t="s">
        <v>500</v>
      </c>
      <c r="N216" s="24" t="s">
        <v>501</v>
      </c>
      <c r="O216" s="4" t="s">
        <v>502</v>
      </c>
      <c r="P216" s="4">
        <v>3</v>
      </c>
      <c r="Z216" s="4">
        <v>0.208</v>
      </c>
      <c r="AB216" s="4" t="s">
        <v>503</v>
      </c>
      <c r="AC216" s="4" t="s">
        <v>492</v>
      </c>
      <c r="AD216" s="4" t="s">
        <v>504</v>
      </c>
      <c r="AE216" s="4" t="s">
        <v>505</v>
      </c>
      <c r="AF216" s="4" t="s">
        <v>506</v>
      </c>
      <c r="BI216" s="4" t="s">
        <v>309</v>
      </c>
      <c r="BN216" s="4">
        <v>1</v>
      </c>
      <c r="BS216" s="4" t="s">
        <v>494</v>
      </c>
      <c r="BU216" s="4">
        <v>180</v>
      </c>
      <c r="BV216" s="4">
        <v>1440</v>
      </c>
      <c r="BW216" s="4">
        <v>25</v>
      </c>
      <c r="CB216" s="4" t="s">
        <v>496</v>
      </c>
      <c r="CC216" s="4">
        <v>37.4608</v>
      </c>
      <c r="CE216" s="4" t="s">
        <v>7</v>
      </c>
      <c r="CF216" s="4">
        <v>56.2055</v>
      </c>
      <c r="CR216" s="24" t="s">
        <v>513</v>
      </c>
      <c r="CS216" s="4">
        <v>23.74</v>
      </c>
      <c r="DO216" s="4">
        <v>3</v>
      </c>
      <c r="DP216" s="4">
        <v>56.2055</v>
      </c>
      <c r="DW216" s="4"/>
      <c r="FA216" s="4">
        <v>26.4</v>
      </c>
      <c r="FB216" s="32">
        <v>0.21</v>
      </c>
      <c r="FC216" s="4"/>
      <c r="FG216" s="1">
        <f t="shared" ref="FG216:FG230" si="8">(FA216/CC216*100)</f>
        <v>70.473668474779</v>
      </c>
      <c r="FH216" s="1">
        <v>70.473668474779</v>
      </c>
    </row>
    <row r="217" customHeight="1" spans="1:164">
      <c r="A217" s="28">
        <v>8</v>
      </c>
      <c r="B217" s="4" t="s">
        <v>489</v>
      </c>
      <c r="C217" s="5" t="s">
        <v>498</v>
      </c>
      <c r="D217" s="4" t="s">
        <v>491</v>
      </c>
      <c r="E217" s="4" t="s">
        <v>499</v>
      </c>
      <c r="J217" s="4" t="s">
        <v>500</v>
      </c>
      <c r="N217" s="24" t="s">
        <v>501</v>
      </c>
      <c r="O217" s="4" t="s">
        <v>502</v>
      </c>
      <c r="P217" s="4">
        <v>3</v>
      </c>
      <c r="Z217" s="4">
        <v>0.208</v>
      </c>
      <c r="AB217" s="4" t="s">
        <v>503</v>
      </c>
      <c r="AC217" s="4" t="s">
        <v>492</v>
      </c>
      <c r="AD217" s="4" t="s">
        <v>504</v>
      </c>
      <c r="AE217" s="4" t="s">
        <v>505</v>
      </c>
      <c r="AF217" s="4" t="s">
        <v>506</v>
      </c>
      <c r="BI217" s="4" t="s">
        <v>309</v>
      </c>
      <c r="BN217" s="4">
        <v>1</v>
      </c>
      <c r="BS217" s="4" t="s">
        <v>494</v>
      </c>
      <c r="BU217" s="4">
        <v>180</v>
      </c>
      <c r="BV217" s="4">
        <v>1440</v>
      </c>
      <c r="BW217" s="4">
        <v>25</v>
      </c>
      <c r="CB217" s="4" t="s">
        <v>496</v>
      </c>
      <c r="CC217" s="4">
        <v>37.4608</v>
      </c>
      <c r="CE217" s="4" t="s">
        <v>7</v>
      </c>
      <c r="CF217" s="4">
        <v>56.2055</v>
      </c>
      <c r="CR217" s="24" t="s">
        <v>513</v>
      </c>
      <c r="CS217" s="4">
        <v>47.49</v>
      </c>
      <c r="DO217" s="4">
        <v>3</v>
      </c>
      <c r="DP217" s="4">
        <v>56.2055</v>
      </c>
      <c r="DW217" s="4"/>
      <c r="FA217" s="4">
        <v>23.62</v>
      </c>
      <c r="FB217" s="32">
        <v>0.43</v>
      </c>
      <c r="FC217" s="4"/>
      <c r="FG217" s="1">
        <f t="shared" si="8"/>
        <v>63.0525776278136</v>
      </c>
      <c r="FH217" s="1">
        <v>63.0525776278136</v>
      </c>
    </row>
    <row r="218" customHeight="1" spans="1:164">
      <c r="A218" s="28">
        <v>8</v>
      </c>
      <c r="B218" s="4" t="s">
        <v>489</v>
      </c>
      <c r="C218" s="5" t="s">
        <v>498</v>
      </c>
      <c r="D218" s="4" t="s">
        <v>491</v>
      </c>
      <c r="E218" s="4" t="s">
        <v>499</v>
      </c>
      <c r="J218" s="4" t="s">
        <v>500</v>
      </c>
      <c r="N218" s="24" t="s">
        <v>501</v>
      </c>
      <c r="O218" s="4" t="s">
        <v>502</v>
      </c>
      <c r="P218" s="4">
        <v>3</v>
      </c>
      <c r="Z218" s="4">
        <v>0.208</v>
      </c>
      <c r="AB218" s="4" t="s">
        <v>503</v>
      </c>
      <c r="AC218" s="4" t="s">
        <v>492</v>
      </c>
      <c r="AD218" s="4" t="s">
        <v>504</v>
      </c>
      <c r="AE218" s="4" t="s">
        <v>505</v>
      </c>
      <c r="AF218" s="4" t="s">
        <v>506</v>
      </c>
      <c r="BI218" s="4" t="s">
        <v>309</v>
      </c>
      <c r="BN218" s="4">
        <v>1</v>
      </c>
      <c r="BS218" s="4" t="s">
        <v>494</v>
      </c>
      <c r="BU218" s="4">
        <v>180</v>
      </c>
      <c r="BV218" s="4">
        <v>1440</v>
      </c>
      <c r="BW218" s="4">
        <v>25</v>
      </c>
      <c r="CB218" s="4" t="s">
        <v>496</v>
      </c>
      <c r="CC218" s="4">
        <v>37.4608</v>
      </c>
      <c r="CE218" s="4" t="s">
        <v>7</v>
      </c>
      <c r="CF218" s="4">
        <v>56.2055</v>
      </c>
      <c r="CR218" s="24" t="s">
        <v>513</v>
      </c>
      <c r="CS218" s="4">
        <v>94.97</v>
      </c>
      <c r="DO218" s="4">
        <v>3</v>
      </c>
      <c r="DP218" s="4">
        <v>56.2055</v>
      </c>
      <c r="DW218" s="4"/>
      <c r="FA218" s="4">
        <v>22.33</v>
      </c>
      <c r="FB218" s="32">
        <v>0.43</v>
      </c>
      <c r="FC218" s="4"/>
      <c r="FG218" s="1">
        <f t="shared" si="8"/>
        <v>59.6089779182505</v>
      </c>
      <c r="FH218" s="1">
        <v>59.6089779182505</v>
      </c>
    </row>
    <row r="219" customHeight="1" spans="1:164">
      <c r="A219" s="28">
        <v>8</v>
      </c>
      <c r="B219" s="4" t="s">
        <v>489</v>
      </c>
      <c r="C219" s="5" t="s">
        <v>498</v>
      </c>
      <c r="D219" s="4" t="s">
        <v>491</v>
      </c>
      <c r="E219" s="4" t="s">
        <v>499</v>
      </c>
      <c r="J219" s="4" t="s">
        <v>500</v>
      </c>
      <c r="N219" s="24" t="s">
        <v>501</v>
      </c>
      <c r="O219" s="4" t="s">
        <v>502</v>
      </c>
      <c r="P219" s="4">
        <v>3</v>
      </c>
      <c r="Z219" s="4">
        <v>0.208</v>
      </c>
      <c r="AB219" s="4" t="s">
        <v>503</v>
      </c>
      <c r="AC219" s="4" t="s">
        <v>492</v>
      </c>
      <c r="AD219" s="4" t="s">
        <v>504</v>
      </c>
      <c r="AE219" s="4" t="s">
        <v>505</v>
      </c>
      <c r="AF219" s="4" t="s">
        <v>506</v>
      </c>
      <c r="BI219" s="4" t="s">
        <v>309</v>
      </c>
      <c r="BN219" s="4">
        <v>1</v>
      </c>
      <c r="BS219" s="4" t="s">
        <v>494</v>
      </c>
      <c r="BU219" s="4">
        <v>180</v>
      </c>
      <c r="BV219" s="4">
        <v>1440</v>
      </c>
      <c r="BW219" s="4">
        <v>25</v>
      </c>
      <c r="CB219" s="4" t="s">
        <v>496</v>
      </c>
      <c r="CC219" s="4">
        <v>37.4608</v>
      </c>
      <c r="CE219" s="4" t="s">
        <v>7</v>
      </c>
      <c r="CF219" s="4">
        <v>56.2055</v>
      </c>
      <c r="CR219" s="24" t="s">
        <v>513</v>
      </c>
      <c r="CS219" s="4">
        <v>189.94</v>
      </c>
      <c r="DO219" s="4">
        <v>3</v>
      </c>
      <c r="DP219" s="4">
        <v>56.2055</v>
      </c>
      <c r="DW219" s="4"/>
      <c r="FA219" s="4">
        <v>18.19</v>
      </c>
      <c r="FB219" s="32">
        <v>0.43</v>
      </c>
      <c r="FC219" s="4"/>
      <c r="FG219" s="1">
        <f t="shared" si="8"/>
        <v>48.5574253619784</v>
      </c>
      <c r="FH219" s="1">
        <v>48.5574253619784</v>
      </c>
    </row>
    <row r="220" customHeight="1" spans="1:164">
      <c r="A220" s="28">
        <v>8</v>
      </c>
      <c r="B220" s="4" t="s">
        <v>489</v>
      </c>
      <c r="C220" s="5" t="s">
        <v>498</v>
      </c>
      <c r="D220" s="4" t="s">
        <v>491</v>
      </c>
      <c r="E220" s="4" t="s">
        <v>499</v>
      </c>
      <c r="J220" s="4" t="s">
        <v>500</v>
      </c>
      <c r="N220" s="24" t="s">
        <v>501</v>
      </c>
      <c r="O220" s="4" t="s">
        <v>502</v>
      </c>
      <c r="P220" s="4">
        <v>3</v>
      </c>
      <c r="Z220" s="4">
        <v>0.208</v>
      </c>
      <c r="AB220" s="4" t="s">
        <v>503</v>
      </c>
      <c r="AC220" s="4" t="s">
        <v>492</v>
      </c>
      <c r="AD220" s="4" t="s">
        <v>504</v>
      </c>
      <c r="AE220" s="4" t="s">
        <v>505</v>
      </c>
      <c r="AF220" s="4" t="s">
        <v>506</v>
      </c>
      <c r="BI220" s="4" t="s">
        <v>309</v>
      </c>
      <c r="BN220" s="4">
        <v>1</v>
      </c>
      <c r="BS220" s="4" t="s">
        <v>494</v>
      </c>
      <c r="BU220" s="4">
        <v>180</v>
      </c>
      <c r="BV220" s="4">
        <v>1440</v>
      </c>
      <c r="BW220" s="4">
        <v>25</v>
      </c>
      <c r="CB220" s="4" t="s">
        <v>496</v>
      </c>
      <c r="CC220" s="4">
        <v>37.4608</v>
      </c>
      <c r="CE220" s="4" t="s">
        <v>7</v>
      </c>
      <c r="CF220" s="4">
        <v>56.2055</v>
      </c>
      <c r="CR220" s="24" t="s">
        <v>513</v>
      </c>
      <c r="CS220" s="4">
        <v>379.88</v>
      </c>
      <c r="DO220" s="4">
        <v>3</v>
      </c>
      <c r="DP220" s="4">
        <v>56.2055</v>
      </c>
      <c r="DW220" s="4"/>
      <c r="EW220" s="4"/>
      <c r="EX220" s="4"/>
      <c r="EY220" s="4"/>
      <c r="EZ220" s="4"/>
      <c r="FA220" s="4">
        <v>12.7</v>
      </c>
      <c r="FB220" s="4">
        <v>0.21</v>
      </c>
      <c r="FC220" s="4"/>
      <c r="FG220" s="1">
        <f t="shared" si="8"/>
        <v>33.9021056677914</v>
      </c>
      <c r="FH220" s="1">
        <v>33.9021056677914</v>
      </c>
    </row>
    <row r="221" customHeight="1" spans="1:164">
      <c r="A221" s="28">
        <v>8</v>
      </c>
      <c r="B221" s="4" t="s">
        <v>489</v>
      </c>
      <c r="C221" s="5" t="s">
        <v>498</v>
      </c>
      <c r="D221" s="4" t="s">
        <v>491</v>
      </c>
      <c r="E221" s="4" t="s">
        <v>499</v>
      </c>
      <c r="J221" s="4" t="s">
        <v>500</v>
      </c>
      <c r="N221" s="24" t="s">
        <v>501</v>
      </c>
      <c r="O221" s="4" t="s">
        <v>502</v>
      </c>
      <c r="P221" s="4">
        <v>3</v>
      </c>
      <c r="Z221" s="4">
        <v>0.208</v>
      </c>
      <c r="AB221" s="4" t="s">
        <v>503</v>
      </c>
      <c r="AC221" s="4" t="s">
        <v>492</v>
      </c>
      <c r="AD221" s="4" t="s">
        <v>504</v>
      </c>
      <c r="AE221" s="4" t="s">
        <v>505</v>
      </c>
      <c r="AF221" s="4" t="s">
        <v>506</v>
      </c>
      <c r="BI221" s="4" t="s">
        <v>309</v>
      </c>
      <c r="BN221" s="4">
        <v>1</v>
      </c>
      <c r="BS221" s="4" t="s">
        <v>494</v>
      </c>
      <c r="BU221" s="4">
        <v>180</v>
      </c>
      <c r="BV221" s="4">
        <v>1440</v>
      </c>
      <c r="BW221" s="4">
        <v>25</v>
      </c>
      <c r="CB221" s="4" t="s">
        <v>496</v>
      </c>
      <c r="CC221" s="4">
        <v>37.4608</v>
      </c>
      <c r="CE221" s="4" t="s">
        <v>7</v>
      </c>
      <c r="CF221" s="4">
        <v>56.2055</v>
      </c>
      <c r="CR221" s="24" t="s">
        <v>390</v>
      </c>
      <c r="CS221" s="4">
        <v>15</v>
      </c>
      <c r="DO221" s="4">
        <v>3</v>
      </c>
      <c r="DP221" s="4">
        <v>56.2055</v>
      </c>
      <c r="DW221" s="4"/>
      <c r="EW221" s="4"/>
      <c r="EX221" s="4"/>
      <c r="EY221" s="4"/>
      <c r="EZ221" s="4"/>
      <c r="FA221" s="4">
        <v>27.04</v>
      </c>
      <c r="FB221" s="4">
        <v>0.36</v>
      </c>
      <c r="FC221" s="4"/>
      <c r="FG221" s="1">
        <f t="shared" si="8"/>
        <v>72.1821210438645</v>
      </c>
      <c r="FH221" s="1">
        <v>72.1821210438645</v>
      </c>
    </row>
    <row r="222" customHeight="1" spans="1:164">
      <c r="A222" s="28">
        <v>8</v>
      </c>
      <c r="B222" s="4" t="s">
        <v>489</v>
      </c>
      <c r="C222" s="5" t="s">
        <v>498</v>
      </c>
      <c r="D222" s="4" t="s">
        <v>491</v>
      </c>
      <c r="E222" s="4" t="s">
        <v>499</v>
      </c>
      <c r="J222" s="4" t="s">
        <v>500</v>
      </c>
      <c r="N222" s="24" t="s">
        <v>501</v>
      </c>
      <c r="O222" s="4" t="s">
        <v>502</v>
      </c>
      <c r="P222" s="4">
        <v>3</v>
      </c>
      <c r="Z222" s="4">
        <v>0.208</v>
      </c>
      <c r="AB222" s="4" t="s">
        <v>503</v>
      </c>
      <c r="AC222" s="4" t="s">
        <v>492</v>
      </c>
      <c r="AD222" s="4" t="s">
        <v>504</v>
      </c>
      <c r="AE222" s="4" t="s">
        <v>505</v>
      </c>
      <c r="AF222" s="4" t="s">
        <v>506</v>
      </c>
      <c r="BI222" s="4" t="s">
        <v>309</v>
      </c>
      <c r="BN222" s="4">
        <v>1</v>
      </c>
      <c r="BS222" s="4" t="s">
        <v>494</v>
      </c>
      <c r="BU222" s="4">
        <v>180</v>
      </c>
      <c r="BV222" s="4">
        <v>1440</v>
      </c>
      <c r="BW222" s="4">
        <v>25</v>
      </c>
      <c r="CB222" s="4" t="s">
        <v>496</v>
      </c>
      <c r="CC222" s="4">
        <v>37.4608</v>
      </c>
      <c r="CE222" s="4" t="s">
        <v>7</v>
      </c>
      <c r="CF222" s="4">
        <v>56.2055</v>
      </c>
      <c r="CR222" s="24" t="s">
        <v>390</v>
      </c>
      <c r="CS222" s="4">
        <v>30.01</v>
      </c>
      <c r="DO222" s="4">
        <v>3</v>
      </c>
      <c r="DP222" s="4">
        <v>56.2055</v>
      </c>
      <c r="DW222" s="4"/>
      <c r="EW222" s="4"/>
      <c r="EX222" s="4"/>
      <c r="EY222" s="4"/>
      <c r="EZ222" s="4"/>
      <c r="FA222" s="4">
        <v>22.98</v>
      </c>
      <c r="FB222" s="4">
        <v>0.5</v>
      </c>
      <c r="FC222" s="4"/>
      <c r="FG222" s="1">
        <f t="shared" si="8"/>
        <v>61.3441250587281</v>
      </c>
      <c r="FH222" s="1">
        <v>61.3441250587281</v>
      </c>
    </row>
    <row r="223" customHeight="1" spans="1:164">
      <c r="A223" s="28">
        <v>8</v>
      </c>
      <c r="B223" s="4" t="s">
        <v>489</v>
      </c>
      <c r="C223" s="5" t="s">
        <v>498</v>
      </c>
      <c r="D223" s="4" t="s">
        <v>491</v>
      </c>
      <c r="E223" s="4" t="s">
        <v>499</v>
      </c>
      <c r="J223" s="4" t="s">
        <v>500</v>
      </c>
      <c r="N223" s="24" t="s">
        <v>501</v>
      </c>
      <c r="O223" s="4" t="s">
        <v>502</v>
      </c>
      <c r="P223" s="4">
        <v>3</v>
      </c>
      <c r="Z223" s="4">
        <v>0.208</v>
      </c>
      <c r="AB223" s="4" t="s">
        <v>503</v>
      </c>
      <c r="AC223" s="4" t="s">
        <v>492</v>
      </c>
      <c r="AD223" s="4" t="s">
        <v>504</v>
      </c>
      <c r="AE223" s="4" t="s">
        <v>505</v>
      </c>
      <c r="AF223" s="4" t="s">
        <v>506</v>
      </c>
      <c r="BI223" s="4" t="s">
        <v>309</v>
      </c>
      <c r="BN223" s="4">
        <v>1</v>
      </c>
      <c r="BS223" s="4" t="s">
        <v>494</v>
      </c>
      <c r="BU223" s="4">
        <v>180</v>
      </c>
      <c r="BV223" s="4">
        <v>1440</v>
      </c>
      <c r="BW223" s="4">
        <v>25</v>
      </c>
      <c r="CB223" s="4" t="s">
        <v>496</v>
      </c>
      <c r="CC223" s="4">
        <v>37.4608</v>
      </c>
      <c r="CE223" s="4" t="s">
        <v>7</v>
      </c>
      <c r="CF223" s="4">
        <v>56.2055</v>
      </c>
      <c r="CR223" s="24" t="s">
        <v>390</v>
      </c>
      <c r="CS223" s="4">
        <v>60.01</v>
      </c>
      <c r="DO223" s="4">
        <v>3</v>
      </c>
      <c r="DP223" s="4">
        <v>56.2055</v>
      </c>
      <c r="DW223" s="4"/>
      <c r="EW223" s="4"/>
      <c r="EX223" s="4"/>
      <c r="EY223" s="4"/>
      <c r="EZ223" s="4"/>
      <c r="FA223" s="4">
        <v>24.83</v>
      </c>
      <c r="FB223" s="4">
        <v>0.36</v>
      </c>
      <c r="FC223" s="4"/>
      <c r="FG223" s="1">
        <f t="shared" si="8"/>
        <v>66.282620766241</v>
      </c>
      <c r="FH223" s="1">
        <v>66.282620766241</v>
      </c>
    </row>
    <row r="224" customHeight="1" spans="1:164">
      <c r="A224" s="28">
        <v>8</v>
      </c>
      <c r="B224" s="4" t="s">
        <v>489</v>
      </c>
      <c r="C224" s="5" t="s">
        <v>498</v>
      </c>
      <c r="D224" s="4" t="s">
        <v>491</v>
      </c>
      <c r="E224" s="4" t="s">
        <v>499</v>
      </c>
      <c r="J224" s="4" t="s">
        <v>500</v>
      </c>
      <c r="N224" s="24" t="s">
        <v>501</v>
      </c>
      <c r="O224" s="4" t="s">
        <v>502</v>
      </c>
      <c r="P224" s="4">
        <v>3</v>
      </c>
      <c r="Z224" s="4">
        <v>0.208</v>
      </c>
      <c r="AB224" s="4" t="s">
        <v>503</v>
      </c>
      <c r="AC224" s="4" t="s">
        <v>492</v>
      </c>
      <c r="AD224" s="4" t="s">
        <v>504</v>
      </c>
      <c r="AE224" s="4" t="s">
        <v>505</v>
      </c>
      <c r="AF224" s="4" t="s">
        <v>506</v>
      </c>
      <c r="BI224" s="4" t="s">
        <v>309</v>
      </c>
      <c r="BN224" s="4">
        <v>1</v>
      </c>
      <c r="BS224" s="4" t="s">
        <v>494</v>
      </c>
      <c r="BU224" s="4">
        <v>180</v>
      </c>
      <c r="BV224" s="4">
        <v>1440</v>
      </c>
      <c r="BW224" s="4">
        <v>25</v>
      </c>
      <c r="CB224" s="4" t="s">
        <v>496</v>
      </c>
      <c r="CC224" s="4">
        <v>37.4608</v>
      </c>
      <c r="CE224" s="4" t="s">
        <v>7</v>
      </c>
      <c r="CF224" s="4">
        <v>56.2055</v>
      </c>
      <c r="CR224" s="24" t="s">
        <v>390</v>
      </c>
      <c r="CS224" s="4">
        <v>120.02</v>
      </c>
      <c r="DO224" s="4">
        <v>3</v>
      </c>
      <c r="DP224" s="4">
        <v>56.2055</v>
      </c>
      <c r="DW224" s="4"/>
      <c r="EW224" s="4"/>
      <c r="EX224" s="4"/>
      <c r="EY224" s="4"/>
      <c r="EZ224" s="4"/>
      <c r="FA224" s="4">
        <v>20.62</v>
      </c>
      <c r="FB224" s="4">
        <v>0.29</v>
      </c>
      <c r="FC224" s="4"/>
      <c r="FG224" s="1">
        <f t="shared" si="8"/>
        <v>55.0442062102251</v>
      </c>
      <c r="FH224" s="1">
        <v>55.0442062102251</v>
      </c>
    </row>
    <row r="225" customHeight="1" spans="1:164">
      <c r="A225" s="28">
        <v>8</v>
      </c>
      <c r="B225" s="4" t="s">
        <v>489</v>
      </c>
      <c r="C225" s="5" t="s">
        <v>498</v>
      </c>
      <c r="D225" s="4" t="s">
        <v>491</v>
      </c>
      <c r="E225" s="4" t="s">
        <v>499</v>
      </c>
      <c r="J225" s="4" t="s">
        <v>500</v>
      </c>
      <c r="N225" s="24" t="s">
        <v>501</v>
      </c>
      <c r="O225" s="4" t="s">
        <v>502</v>
      </c>
      <c r="P225" s="4">
        <v>3</v>
      </c>
      <c r="Z225" s="4">
        <v>0.208</v>
      </c>
      <c r="AB225" s="4" t="s">
        <v>503</v>
      </c>
      <c r="AC225" s="4" t="s">
        <v>492</v>
      </c>
      <c r="AD225" s="4" t="s">
        <v>504</v>
      </c>
      <c r="AE225" s="4" t="s">
        <v>505</v>
      </c>
      <c r="AF225" s="4" t="s">
        <v>506</v>
      </c>
      <c r="BI225" s="4" t="s">
        <v>309</v>
      </c>
      <c r="BN225" s="4">
        <v>1</v>
      </c>
      <c r="BS225" s="4" t="s">
        <v>494</v>
      </c>
      <c r="BU225" s="4">
        <v>180</v>
      </c>
      <c r="BV225" s="4">
        <v>1440</v>
      </c>
      <c r="BW225" s="4">
        <v>25</v>
      </c>
      <c r="CB225" s="4" t="s">
        <v>496</v>
      </c>
      <c r="CC225" s="4">
        <v>37.4608</v>
      </c>
      <c r="CE225" s="4" t="s">
        <v>7</v>
      </c>
      <c r="CF225" s="4">
        <v>56.2055</v>
      </c>
      <c r="CR225" s="24" t="s">
        <v>390</v>
      </c>
      <c r="CS225" s="4">
        <v>240.04</v>
      </c>
      <c r="DO225" s="4">
        <v>3</v>
      </c>
      <c r="DP225" s="4">
        <v>56.2055</v>
      </c>
      <c r="DW225" s="4"/>
      <c r="EW225" s="4"/>
      <c r="EX225" s="4"/>
      <c r="EY225" s="4"/>
      <c r="EZ225" s="4"/>
      <c r="FA225" s="4">
        <v>13.56</v>
      </c>
      <c r="FB225" s="4">
        <v>0.21</v>
      </c>
      <c r="FC225" s="4"/>
      <c r="FG225" s="1">
        <f t="shared" si="8"/>
        <v>36.1978388075001</v>
      </c>
      <c r="FH225" s="1">
        <v>36.1978388075001</v>
      </c>
    </row>
    <row r="226" customHeight="1" spans="1:164">
      <c r="A226" s="28">
        <v>8</v>
      </c>
      <c r="B226" s="4" t="s">
        <v>489</v>
      </c>
      <c r="C226" s="5" t="s">
        <v>498</v>
      </c>
      <c r="D226" s="4" t="s">
        <v>491</v>
      </c>
      <c r="E226" s="4" t="s">
        <v>499</v>
      </c>
      <c r="J226" s="4" t="s">
        <v>500</v>
      </c>
      <c r="N226" s="24" t="s">
        <v>501</v>
      </c>
      <c r="O226" s="4" t="s">
        <v>502</v>
      </c>
      <c r="P226" s="4">
        <v>3</v>
      </c>
      <c r="Z226" s="4">
        <v>0.208</v>
      </c>
      <c r="AB226" s="4" t="s">
        <v>503</v>
      </c>
      <c r="AC226" s="4" t="s">
        <v>492</v>
      </c>
      <c r="AD226" s="4" t="s">
        <v>504</v>
      </c>
      <c r="AE226" s="4" t="s">
        <v>505</v>
      </c>
      <c r="AF226" s="4" t="s">
        <v>506</v>
      </c>
      <c r="BI226" s="4" t="s">
        <v>309</v>
      </c>
      <c r="BN226" s="4">
        <v>1</v>
      </c>
      <c r="BS226" s="4" t="s">
        <v>494</v>
      </c>
      <c r="BU226" s="4">
        <v>180</v>
      </c>
      <c r="BV226" s="4">
        <v>1440</v>
      </c>
      <c r="BW226" s="4">
        <v>25</v>
      </c>
      <c r="CB226" s="4" t="s">
        <v>496</v>
      </c>
      <c r="CC226" s="4">
        <v>37.4608</v>
      </c>
      <c r="CE226" s="4" t="s">
        <v>7</v>
      </c>
      <c r="CF226" s="4">
        <v>56.2055</v>
      </c>
      <c r="CR226" s="24" t="s">
        <v>480</v>
      </c>
      <c r="CS226" s="4">
        <v>15.5</v>
      </c>
      <c r="DO226" s="4">
        <v>3</v>
      </c>
      <c r="DP226" s="4">
        <v>56.2055</v>
      </c>
      <c r="DW226" s="4"/>
      <c r="EW226" s="4"/>
      <c r="EX226" s="4"/>
      <c r="EY226" s="4"/>
      <c r="EZ226" s="4"/>
      <c r="FA226" s="4">
        <v>27.61</v>
      </c>
      <c r="FB226" s="4">
        <v>0.14</v>
      </c>
      <c r="FC226" s="4"/>
      <c r="FG226" s="1">
        <f t="shared" si="8"/>
        <v>73.7037116132063</v>
      </c>
      <c r="FH226" s="1">
        <v>73.7037116132063</v>
      </c>
    </row>
    <row r="227" customHeight="1" spans="1:164">
      <c r="A227" s="28">
        <v>8</v>
      </c>
      <c r="B227" s="4" t="s">
        <v>489</v>
      </c>
      <c r="C227" s="5" t="s">
        <v>498</v>
      </c>
      <c r="D227" s="4" t="s">
        <v>491</v>
      </c>
      <c r="E227" s="4" t="s">
        <v>499</v>
      </c>
      <c r="J227" s="4" t="s">
        <v>500</v>
      </c>
      <c r="N227" s="24" t="s">
        <v>501</v>
      </c>
      <c r="O227" s="4" t="s">
        <v>502</v>
      </c>
      <c r="P227" s="4">
        <v>3</v>
      </c>
      <c r="Z227" s="4">
        <v>0.208</v>
      </c>
      <c r="AB227" s="4" t="s">
        <v>503</v>
      </c>
      <c r="AC227" s="4" t="s">
        <v>492</v>
      </c>
      <c r="AD227" s="4" t="s">
        <v>504</v>
      </c>
      <c r="AE227" s="4" t="s">
        <v>505</v>
      </c>
      <c r="AF227" s="4" t="s">
        <v>506</v>
      </c>
      <c r="BI227" s="4" t="s">
        <v>309</v>
      </c>
      <c r="BN227" s="4">
        <v>1</v>
      </c>
      <c r="BS227" s="4" t="s">
        <v>494</v>
      </c>
      <c r="BU227" s="4">
        <v>180</v>
      </c>
      <c r="BV227" s="4">
        <v>1440</v>
      </c>
      <c r="BW227" s="4">
        <v>25</v>
      </c>
      <c r="CB227" s="4" t="s">
        <v>496</v>
      </c>
      <c r="CC227" s="4">
        <v>37.4608</v>
      </c>
      <c r="CE227" s="4" t="s">
        <v>7</v>
      </c>
      <c r="CF227" s="4">
        <v>56.2055</v>
      </c>
      <c r="CR227" s="24" t="s">
        <v>480</v>
      </c>
      <c r="CS227" s="4">
        <v>31.01</v>
      </c>
      <c r="DO227" s="4">
        <v>3</v>
      </c>
      <c r="DP227" s="4">
        <v>56.2055</v>
      </c>
      <c r="DW227" s="4"/>
      <c r="EW227" s="4"/>
      <c r="EX227" s="4"/>
      <c r="EY227" s="4"/>
      <c r="EZ227" s="4"/>
      <c r="FA227" s="4">
        <v>25.76</v>
      </c>
      <c r="FB227" s="4">
        <v>0.64</v>
      </c>
      <c r="FC227" s="4"/>
      <c r="FG227" s="1">
        <f t="shared" si="8"/>
        <v>68.7652159056934</v>
      </c>
      <c r="FH227" s="1">
        <v>68.7652159056934</v>
      </c>
    </row>
    <row r="228" customHeight="1" spans="1:164">
      <c r="A228" s="28">
        <v>8</v>
      </c>
      <c r="B228" s="4" t="s">
        <v>489</v>
      </c>
      <c r="C228" s="5" t="s">
        <v>498</v>
      </c>
      <c r="D228" s="4" t="s">
        <v>491</v>
      </c>
      <c r="E228" s="4" t="s">
        <v>499</v>
      </c>
      <c r="J228" s="4" t="s">
        <v>500</v>
      </c>
      <c r="N228" s="24" t="s">
        <v>501</v>
      </c>
      <c r="O228" s="4" t="s">
        <v>502</v>
      </c>
      <c r="P228" s="4">
        <v>3</v>
      </c>
      <c r="Z228" s="4">
        <v>0.208</v>
      </c>
      <c r="AB228" s="4" t="s">
        <v>503</v>
      </c>
      <c r="AC228" s="4" t="s">
        <v>492</v>
      </c>
      <c r="AD228" s="4" t="s">
        <v>504</v>
      </c>
      <c r="AE228" s="4" t="s">
        <v>505</v>
      </c>
      <c r="AF228" s="4" t="s">
        <v>506</v>
      </c>
      <c r="BI228" s="4" t="s">
        <v>309</v>
      </c>
      <c r="BN228" s="4">
        <v>1</v>
      </c>
      <c r="BS228" s="4" t="s">
        <v>494</v>
      </c>
      <c r="BU228" s="4">
        <v>180</v>
      </c>
      <c r="BV228" s="4">
        <v>1440</v>
      </c>
      <c r="BW228" s="4">
        <v>25</v>
      </c>
      <c r="CB228" s="4" t="s">
        <v>496</v>
      </c>
      <c r="CC228" s="4">
        <v>37.4608</v>
      </c>
      <c r="CE228" s="4" t="s">
        <v>7</v>
      </c>
      <c r="CF228" s="4">
        <v>56.2055</v>
      </c>
      <c r="CR228" s="24" t="s">
        <v>480</v>
      </c>
      <c r="CS228" s="4">
        <v>62.01</v>
      </c>
      <c r="DO228" s="4">
        <v>3</v>
      </c>
      <c r="DP228" s="4">
        <v>56.2055</v>
      </c>
      <c r="DW228" s="4"/>
      <c r="EW228" s="4"/>
      <c r="EX228" s="4"/>
      <c r="EY228" s="4"/>
      <c r="EZ228" s="4"/>
      <c r="FA228" s="4">
        <v>24.12</v>
      </c>
      <c r="FB228" s="4">
        <v>0.07</v>
      </c>
      <c r="FC228" s="4"/>
      <c r="FG228" s="1">
        <f t="shared" si="8"/>
        <v>64.3873061974117</v>
      </c>
      <c r="FH228" s="1">
        <v>64.3873061974117</v>
      </c>
    </row>
    <row r="229" customHeight="1" spans="1:164">
      <c r="A229" s="28">
        <v>8</v>
      </c>
      <c r="B229" s="4" t="s">
        <v>489</v>
      </c>
      <c r="C229" s="5" t="s">
        <v>498</v>
      </c>
      <c r="D229" s="4" t="s">
        <v>491</v>
      </c>
      <c r="E229" s="4" t="s">
        <v>499</v>
      </c>
      <c r="J229" s="4" t="s">
        <v>500</v>
      </c>
      <c r="N229" s="24" t="s">
        <v>501</v>
      </c>
      <c r="O229" s="4" t="s">
        <v>502</v>
      </c>
      <c r="P229" s="4">
        <v>3</v>
      </c>
      <c r="Z229" s="4">
        <v>0.208</v>
      </c>
      <c r="AB229" s="4" t="s">
        <v>503</v>
      </c>
      <c r="AC229" s="4" t="s">
        <v>492</v>
      </c>
      <c r="AD229" s="4" t="s">
        <v>504</v>
      </c>
      <c r="AE229" s="4" t="s">
        <v>505</v>
      </c>
      <c r="AF229" s="4" t="s">
        <v>506</v>
      </c>
      <c r="BI229" s="4" t="s">
        <v>309</v>
      </c>
      <c r="BN229" s="4">
        <v>1</v>
      </c>
      <c r="BS229" s="4" t="s">
        <v>494</v>
      </c>
      <c r="BU229" s="4">
        <v>180</v>
      </c>
      <c r="BV229" s="4">
        <v>1440</v>
      </c>
      <c r="BW229" s="4">
        <v>25</v>
      </c>
      <c r="CB229" s="4" t="s">
        <v>496</v>
      </c>
      <c r="CC229" s="4">
        <v>37.4608</v>
      </c>
      <c r="CE229" s="4" t="s">
        <v>7</v>
      </c>
      <c r="CF229" s="4">
        <v>56.2055</v>
      </c>
      <c r="CR229" s="24" t="s">
        <v>480</v>
      </c>
      <c r="CS229" s="4">
        <v>124.02</v>
      </c>
      <c r="DO229" s="4">
        <v>3</v>
      </c>
      <c r="DP229" s="4">
        <v>56.2055</v>
      </c>
      <c r="DW229" s="4"/>
      <c r="EW229" s="4"/>
      <c r="EX229" s="4"/>
      <c r="EY229" s="4"/>
      <c r="EZ229" s="4"/>
      <c r="FA229" s="4">
        <v>22.98</v>
      </c>
      <c r="FB229" s="4">
        <v>0.36</v>
      </c>
      <c r="FC229" s="4"/>
      <c r="FG229" s="1">
        <f t="shared" si="8"/>
        <v>61.3441250587281</v>
      </c>
      <c r="FH229" s="1">
        <v>61.3441250587281</v>
      </c>
    </row>
    <row r="230" customHeight="1" spans="1:164">
      <c r="A230" s="28">
        <v>8</v>
      </c>
      <c r="B230" s="4" t="s">
        <v>489</v>
      </c>
      <c r="C230" s="5" t="s">
        <v>498</v>
      </c>
      <c r="D230" s="4" t="s">
        <v>491</v>
      </c>
      <c r="E230" s="4" t="s">
        <v>499</v>
      </c>
      <c r="J230" s="4" t="s">
        <v>500</v>
      </c>
      <c r="N230" s="24" t="s">
        <v>501</v>
      </c>
      <c r="O230" s="4" t="s">
        <v>502</v>
      </c>
      <c r="P230" s="4">
        <v>3</v>
      </c>
      <c r="Z230" s="4">
        <v>0.208</v>
      </c>
      <c r="AB230" s="4" t="s">
        <v>503</v>
      </c>
      <c r="AC230" s="4" t="s">
        <v>492</v>
      </c>
      <c r="AD230" s="4" t="s">
        <v>504</v>
      </c>
      <c r="AE230" s="4" t="s">
        <v>505</v>
      </c>
      <c r="AF230" s="4" t="s">
        <v>506</v>
      </c>
      <c r="BI230" s="4" t="s">
        <v>309</v>
      </c>
      <c r="BN230" s="4">
        <v>1</v>
      </c>
      <c r="BS230" s="4" t="s">
        <v>494</v>
      </c>
      <c r="BU230" s="4">
        <v>180</v>
      </c>
      <c r="BV230" s="4">
        <v>1440</v>
      </c>
      <c r="BW230" s="4">
        <v>25</v>
      </c>
      <c r="CB230" s="4" t="s">
        <v>496</v>
      </c>
      <c r="CC230" s="4">
        <v>37.4608</v>
      </c>
      <c r="CE230" s="4" t="s">
        <v>7</v>
      </c>
      <c r="CF230" s="4">
        <v>56.2055</v>
      </c>
      <c r="CR230" s="24" t="s">
        <v>480</v>
      </c>
      <c r="CS230" s="4">
        <v>248.04</v>
      </c>
      <c r="DO230" s="4">
        <v>3</v>
      </c>
      <c r="DP230" s="4">
        <v>56.2055</v>
      </c>
      <c r="DW230" s="4"/>
      <c r="EW230" s="4"/>
      <c r="EX230" s="4"/>
      <c r="EY230" s="4"/>
      <c r="EZ230" s="4"/>
      <c r="FA230" s="4">
        <v>16.55</v>
      </c>
      <c r="FB230" s="4">
        <v>0.07</v>
      </c>
      <c r="FC230" s="4"/>
      <c r="FG230" s="1">
        <f t="shared" si="8"/>
        <v>44.1795156536967</v>
      </c>
      <c r="FH230" s="1">
        <v>44.1795156536967</v>
      </c>
    </row>
    <row r="231" customHeight="1" spans="1:164">
      <c r="A231" s="28">
        <v>8</v>
      </c>
      <c r="B231" s="4" t="s">
        <v>489</v>
      </c>
      <c r="C231" s="5" t="s">
        <v>498</v>
      </c>
      <c r="D231" s="4" t="s">
        <v>491</v>
      </c>
      <c r="E231" s="4" t="s">
        <v>499</v>
      </c>
      <c r="J231" s="4" t="s">
        <v>500</v>
      </c>
      <c r="N231" s="24" t="s">
        <v>501</v>
      </c>
      <c r="O231" s="4" t="s">
        <v>502</v>
      </c>
      <c r="P231" s="4">
        <v>3</v>
      </c>
      <c r="Z231" s="4">
        <v>0.208</v>
      </c>
      <c r="AB231" s="4" t="s">
        <v>503</v>
      </c>
      <c r="AC231" s="4" t="s">
        <v>492</v>
      </c>
      <c r="AD231" s="4" t="s">
        <v>504</v>
      </c>
      <c r="AE231" s="4" t="s">
        <v>505</v>
      </c>
      <c r="AF231" s="4" t="s">
        <v>506</v>
      </c>
      <c r="BI231" s="4" t="s">
        <v>309</v>
      </c>
      <c r="BN231" s="4">
        <v>1</v>
      </c>
      <c r="BS231" s="4" t="s">
        <v>494</v>
      </c>
      <c r="BU231" s="4">
        <v>180</v>
      </c>
      <c r="BV231" s="4">
        <v>1440</v>
      </c>
      <c r="BW231" s="4">
        <v>25</v>
      </c>
      <c r="CB231" s="4" t="s">
        <v>496</v>
      </c>
      <c r="CC231" s="4">
        <v>37.4608</v>
      </c>
      <c r="CE231" s="4" t="s">
        <v>7</v>
      </c>
      <c r="CF231" s="4">
        <v>56.2055</v>
      </c>
      <c r="CR231" s="24" t="s">
        <v>514</v>
      </c>
      <c r="CS231" s="4">
        <v>51.8</v>
      </c>
      <c r="DO231" s="4">
        <v>3</v>
      </c>
      <c r="DP231" s="4">
        <v>56.2055</v>
      </c>
      <c r="DW231" s="27">
        <v>40.1010777988614</v>
      </c>
      <c r="ED231" s="1">
        <v>71.3472485768499</v>
      </c>
      <c r="EW231" s="4"/>
      <c r="EX231" s="4"/>
      <c r="EY231" s="4"/>
      <c r="EZ231" s="4"/>
      <c r="FA231" s="4"/>
      <c r="FB231" s="4"/>
      <c r="FC231" s="4"/>
    </row>
    <row r="232" customHeight="1" spans="1:164">
      <c r="A232" s="28">
        <v>8</v>
      </c>
      <c r="B232" s="4" t="s">
        <v>489</v>
      </c>
      <c r="C232" s="5" t="s">
        <v>498</v>
      </c>
      <c r="D232" s="4" t="s">
        <v>491</v>
      </c>
      <c r="E232" s="4" t="s">
        <v>499</v>
      </c>
      <c r="J232" s="4" t="s">
        <v>500</v>
      </c>
      <c r="N232" s="24" t="s">
        <v>501</v>
      </c>
      <c r="O232" s="4" t="s">
        <v>502</v>
      </c>
      <c r="P232" s="4">
        <v>3</v>
      </c>
      <c r="Z232" s="4">
        <v>0.208</v>
      </c>
      <c r="AB232" s="4" t="s">
        <v>503</v>
      </c>
      <c r="AC232" s="4" t="s">
        <v>492</v>
      </c>
      <c r="AD232" s="4" t="s">
        <v>504</v>
      </c>
      <c r="AE232" s="4" t="s">
        <v>505</v>
      </c>
      <c r="AF232" s="4" t="s">
        <v>506</v>
      </c>
      <c r="BI232" s="4" t="s">
        <v>309</v>
      </c>
      <c r="BN232" s="4">
        <v>1</v>
      </c>
      <c r="BS232" s="4" t="s">
        <v>494</v>
      </c>
      <c r="BU232" s="4">
        <v>180</v>
      </c>
      <c r="BV232" s="4">
        <v>1440</v>
      </c>
      <c r="BW232" s="4">
        <v>25</v>
      </c>
      <c r="CB232" s="4" t="s">
        <v>496</v>
      </c>
      <c r="CC232" s="4">
        <v>37.4608</v>
      </c>
      <c r="CE232" s="4" t="s">
        <v>7</v>
      </c>
      <c r="CF232" s="4">
        <v>56.2055</v>
      </c>
      <c r="CR232" s="24" t="s">
        <v>514</v>
      </c>
      <c r="CS232" s="4">
        <v>103.6</v>
      </c>
      <c r="DO232" s="4">
        <v>3</v>
      </c>
      <c r="DP232" s="4">
        <v>56.2055</v>
      </c>
      <c r="DW232" s="27">
        <v>32.6354516129032</v>
      </c>
      <c r="ED232" s="1">
        <v>58.0645161290322</v>
      </c>
      <c r="EW232" s="4"/>
      <c r="EX232" s="4"/>
      <c r="EY232" s="4"/>
      <c r="EZ232" s="4"/>
      <c r="FA232" s="4"/>
      <c r="FB232" s="4"/>
      <c r="FC232" s="4"/>
    </row>
    <row r="233" customHeight="1" spans="1:164">
      <c r="A233" s="28">
        <v>8</v>
      </c>
      <c r="B233" s="4" t="s">
        <v>489</v>
      </c>
      <c r="C233" s="5" t="s">
        <v>498</v>
      </c>
      <c r="D233" s="4" t="s">
        <v>491</v>
      </c>
      <c r="E233" s="4" t="s">
        <v>499</v>
      </c>
      <c r="J233" s="4" t="s">
        <v>500</v>
      </c>
      <c r="N233" s="24" t="s">
        <v>501</v>
      </c>
      <c r="O233" s="4" t="s">
        <v>502</v>
      </c>
      <c r="P233" s="4">
        <v>3</v>
      </c>
      <c r="Z233" s="4">
        <v>0.208</v>
      </c>
      <c r="AB233" s="4" t="s">
        <v>503</v>
      </c>
      <c r="AC233" s="4" t="s">
        <v>492</v>
      </c>
      <c r="AD233" s="4" t="s">
        <v>504</v>
      </c>
      <c r="AE233" s="4" t="s">
        <v>505</v>
      </c>
      <c r="AF233" s="4" t="s">
        <v>506</v>
      </c>
      <c r="BI233" s="4" t="s">
        <v>309</v>
      </c>
      <c r="BN233" s="4">
        <v>1</v>
      </c>
      <c r="BS233" s="4" t="s">
        <v>494</v>
      </c>
      <c r="BU233" s="4">
        <v>180</v>
      </c>
      <c r="BV233" s="4">
        <v>1440</v>
      </c>
      <c r="BW233" s="4">
        <v>25</v>
      </c>
      <c r="CB233" s="4" t="s">
        <v>496</v>
      </c>
      <c r="CC233" s="4">
        <v>37.4608</v>
      </c>
      <c r="CE233" s="4" t="s">
        <v>7</v>
      </c>
      <c r="CF233" s="4">
        <v>56.2055</v>
      </c>
      <c r="CR233" s="24" t="s">
        <v>514</v>
      </c>
      <c r="CS233" s="4">
        <v>207.2</v>
      </c>
      <c r="DO233" s="4">
        <v>3</v>
      </c>
      <c r="DP233" s="4">
        <v>56.2055</v>
      </c>
      <c r="DW233" s="27">
        <v>24.5299146110056</v>
      </c>
      <c r="ED233" s="1">
        <v>43.6432637571156</v>
      </c>
    </row>
    <row r="234" customHeight="1" spans="1:164">
      <c r="A234" s="28">
        <v>8</v>
      </c>
      <c r="B234" s="4" t="s">
        <v>489</v>
      </c>
      <c r="C234" s="5" t="s">
        <v>498</v>
      </c>
      <c r="D234" s="4" t="s">
        <v>491</v>
      </c>
      <c r="E234" s="4" t="s">
        <v>499</v>
      </c>
      <c r="J234" s="4" t="s">
        <v>500</v>
      </c>
      <c r="N234" s="24" t="s">
        <v>501</v>
      </c>
      <c r="O234" s="4" t="s">
        <v>502</v>
      </c>
      <c r="P234" s="4">
        <v>3</v>
      </c>
      <c r="Z234" s="4">
        <v>0.208</v>
      </c>
      <c r="AB234" s="4" t="s">
        <v>503</v>
      </c>
      <c r="AC234" s="4" t="s">
        <v>492</v>
      </c>
      <c r="AD234" s="4" t="s">
        <v>504</v>
      </c>
      <c r="AE234" s="4" t="s">
        <v>505</v>
      </c>
      <c r="AF234" s="4" t="s">
        <v>506</v>
      </c>
      <c r="BI234" s="4" t="s">
        <v>309</v>
      </c>
      <c r="BN234" s="4">
        <v>1</v>
      </c>
      <c r="BS234" s="4" t="s">
        <v>494</v>
      </c>
      <c r="BU234" s="4">
        <v>180</v>
      </c>
      <c r="BV234" s="4">
        <v>1440</v>
      </c>
      <c r="BW234" s="4">
        <v>25</v>
      </c>
      <c r="CB234" s="4" t="s">
        <v>496</v>
      </c>
      <c r="CC234" s="4">
        <v>37.4608</v>
      </c>
      <c r="CE234" s="4" t="s">
        <v>7</v>
      </c>
      <c r="CF234" s="4">
        <v>56.2055</v>
      </c>
      <c r="CR234" s="24" t="s">
        <v>514</v>
      </c>
      <c r="CS234" s="4">
        <v>414.4</v>
      </c>
      <c r="DO234" s="4">
        <v>3</v>
      </c>
      <c r="DP234" s="4">
        <v>56.2055</v>
      </c>
      <c r="DW234" s="27">
        <v>25.0631736242884</v>
      </c>
      <c r="ED234" s="1">
        <v>44.5920303605313</v>
      </c>
    </row>
    <row r="235" customHeight="1" spans="1:164">
      <c r="A235" s="28">
        <v>8</v>
      </c>
      <c r="B235" s="4" t="s">
        <v>489</v>
      </c>
      <c r="C235" s="5" t="s">
        <v>498</v>
      </c>
      <c r="D235" s="4" t="s">
        <v>491</v>
      </c>
      <c r="E235" s="4" t="s">
        <v>499</v>
      </c>
      <c r="J235" s="4" t="s">
        <v>500</v>
      </c>
      <c r="N235" s="24" t="s">
        <v>501</v>
      </c>
      <c r="O235" s="4" t="s">
        <v>502</v>
      </c>
      <c r="P235" s="4">
        <v>3</v>
      </c>
      <c r="Z235" s="4">
        <v>0.208</v>
      </c>
      <c r="AB235" s="4" t="s">
        <v>503</v>
      </c>
      <c r="AC235" s="4" t="s">
        <v>492</v>
      </c>
      <c r="AD235" s="4" t="s">
        <v>504</v>
      </c>
      <c r="AE235" s="4" t="s">
        <v>505</v>
      </c>
      <c r="AF235" s="4" t="s">
        <v>506</v>
      </c>
      <c r="BI235" s="4" t="s">
        <v>309</v>
      </c>
      <c r="BN235" s="4">
        <v>1</v>
      </c>
      <c r="BS235" s="4" t="s">
        <v>494</v>
      </c>
      <c r="BU235" s="4">
        <v>180</v>
      </c>
      <c r="BV235" s="4">
        <v>1440</v>
      </c>
      <c r="BW235" s="4">
        <v>25</v>
      </c>
      <c r="CB235" s="4" t="s">
        <v>496</v>
      </c>
      <c r="CC235" s="4">
        <v>37.4608</v>
      </c>
      <c r="CE235" s="4" t="s">
        <v>7</v>
      </c>
      <c r="CF235" s="4">
        <v>56.2055</v>
      </c>
      <c r="CR235" s="24" t="s">
        <v>514</v>
      </c>
      <c r="CS235" s="4">
        <v>828.8</v>
      </c>
      <c r="DO235" s="4">
        <v>3</v>
      </c>
      <c r="DP235" s="4">
        <v>56.2055</v>
      </c>
      <c r="DW235" s="27">
        <v>14.7179487666034</v>
      </c>
      <c r="ED235" s="1">
        <v>26.1859582542694</v>
      </c>
    </row>
    <row r="236" customHeight="1" spans="1:164">
      <c r="A236" s="28">
        <v>8</v>
      </c>
      <c r="B236" s="4" t="s">
        <v>489</v>
      </c>
      <c r="C236" s="5" t="s">
        <v>498</v>
      </c>
      <c r="D236" s="4" t="s">
        <v>491</v>
      </c>
      <c r="E236" s="4" t="s">
        <v>499</v>
      </c>
      <c r="J236" s="4" t="s">
        <v>500</v>
      </c>
      <c r="N236" s="24" t="s">
        <v>501</v>
      </c>
      <c r="O236" s="4" t="s">
        <v>502</v>
      </c>
      <c r="P236" s="4">
        <v>3</v>
      </c>
      <c r="Z236" s="4">
        <v>0.208</v>
      </c>
      <c r="AB236" s="4" t="s">
        <v>503</v>
      </c>
      <c r="AC236" s="4" t="s">
        <v>492</v>
      </c>
      <c r="AD236" s="4" t="s">
        <v>504</v>
      </c>
      <c r="AE236" s="4" t="s">
        <v>505</v>
      </c>
      <c r="AF236" s="4" t="s">
        <v>506</v>
      </c>
      <c r="BI236" s="4" t="s">
        <v>309</v>
      </c>
      <c r="BN236" s="4">
        <v>1</v>
      </c>
      <c r="BS236" s="4" t="s">
        <v>494</v>
      </c>
      <c r="BU236" s="4">
        <v>180</v>
      </c>
      <c r="BV236" s="4">
        <v>1440</v>
      </c>
      <c r="BW236" s="4">
        <v>25</v>
      </c>
      <c r="CB236" s="4" t="s">
        <v>496</v>
      </c>
      <c r="CC236" s="4">
        <v>37.4608</v>
      </c>
      <c r="CE236" s="4" t="s">
        <v>7</v>
      </c>
      <c r="CF236" s="4">
        <v>56.2055</v>
      </c>
      <c r="CR236" s="24" t="s">
        <v>515</v>
      </c>
      <c r="CS236" s="4">
        <v>15.89</v>
      </c>
      <c r="DO236" s="4">
        <v>3</v>
      </c>
      <c r="DP236" s="4">
        <v>56.2055</v>
      </c>
      <c r="DW236" s="27">
        <v>37.5414345351043</v>
      </c>
      <c r="ED236" s="1">
        <v>66.7931688804553</v>
      </c>
    </row>
    <row r="237" customHeight="1" spans="1:164">
      <c r="A237" s="28">
        <v>8</v>
      </c>
      <c r="B237" s="4" t="s">
        <v>489</v>
      </c>
      <c r="C237" s="5" t="s">
        <v>498</v>
      </c>
      <c r="D237" s="4" t="s">
        <v>491</v>
      </c>
      <c r="E237" s="4" t="s">
        <v>499</v>
      </c>
      <c r="J237" s="4" t="s">
        <v>500</v>
      </c>
      <c r="N237" s="24" t="s">
        <v>501</v>
      </c>
      <c r="O237" s="4" t="s">
        <v>502</v>
      </c>
      <c r="P237" s="4">
        <v>3</v>
      </c>
      <c r="Z237" s="4">
        <v>0.208</v>
      </c>
      <c r="AB237" s="4" t="s">
        <v>503</v>
      </c>
      <c r="AC237" s="4" t="s">
        <v>492</v>
      </c>
      <c r="AD237" s="4" t="s">
        <v>504</v>
      </c>
      <c r="AE237" s="4" t="s">
        <v>505</v>
      </c>
      <c r="AF237" s="4" t="s">
        <v>506</v>
      </c>
      <c r="BI237" s="4" t="s">
        <v>309</v>
      </c>
      <c r="BN237" s="4">
        <v>1</v>
      </c>
      <c r="BS237" s="4" t="s">
        <v>494</v>
      </c>
      <c r="BU237" s="4">
        <v>180</v>
      </c>
      <c r="BV237" s="4">
        <v>1440</v>
      </c>
      <c r="BW237" s="4">
        <v>25</v>
      </c>
      <c r="CB237" s="4" t="s">
        <v>496</v>
      </c>
      <c r="CC237" s="4">
        <v>37.4608</v>
      </c>
      <c r="CE237" s="4" t="s">
        <v>7</v>
      </c>
      <c r="CF237" s="4">
        <v>56.2055</v>
      </c>
      <c r="CR237" s="24" t="s">
        <v>515</v>
      </c>
      <c r="CS237" s="4">
        <v>31.78</v>
      </c>
      <c r="DO237" s="4">
        <v>3</v>
      </c>
      <c r="DP237" s="4">
        <v>56.2055</v>
      </c>
      <c r="DW237" s="27">
        <v>31.1423263757115</v>
      </c>
      <c r="ED237" s="1">
        <v>55.4079696394686</v>
      </c>
    </row>
    <row r="238" customHeight="1" spans="1:164">
      <c r="A238" s="28">
        <v>8</v>
      </c>
      <c r="B238" s="4" t="s">
        <v>489</v>
      </c>
      <c r="C238" s="5" t="s">
        <v>498</v>
      </c>
      <c r="D238" s="4" t="s">
        <v>491</v>
      </c>
      <c r="E238" s="4" t="s">
        <v>499</v>
      </c>
      <c r="J238" s="4" t="s">
        <v>500</v>
      </c>
      <c r="N238" s="24" t="s">
        <v>501</v>
      </c>
      <c r="O238" s="4" t="s">
        <v>502</v>
      </c>
      <c r="P238" s="4">
        <v>3</v>
      </c>
      <c r="Z238" s="4">
        <v>0.208</v>
      </c>
      <c r="AB238" s="4" t="s">
        <v>503</v>
      </c>
      <c r="AC238" s="4" t="s">
        <v>492</v>
      </c>
      <c r="AD238" s="4" t="s">
        <v>504</v>
      </c>
      <c r="AE238" s="4" t="s">
        <v>505</v>
      </c>
      <c r="AF238" s="4" t="s">
        <v>506</v>
      </c>
      <c r="BI238" s="4" t="s">
        <v>309</v>
      </c>
      <c r="BN238" s="4">
        <v>1</v>
      </c>
      <c r="BS238" s="4" t="s">
        <v>494</v>
      </c>
      <c r="BU238" s="4">
        <v>180</v>
      </c>
      <c r="BV238" s="4">
        <v>1440</v>
      </c>
      <c r="BW238" s="4">
        <v>25</v>
      </c>
      <c r="CB238" s="4" t="s">
        <v>496</v>
      </c>
      <c r="CC238" s="4">
        <v>37.4608</v>
      </c>
      <c r="CE238" s="4" t="s">
        <v>7</v>
      </c>
      <c r="CF238" s="4">
        <v>56.2055</v>
      </c>
      <c r="CR238" s="24" t="s">
        <v>515</v>
      </c>
      <c r="CS238" s="4">
        <v>63.55</v>
      </c>
      <c r="DO238" s="4">
        <v>3</v>
      </c>
      <c r="DP238" s="4">
        <v>56.2055</v>
      </c>
      <c r="DW238" s="27">
        <v>29.4358975332068</v>
      </c>
      <c r="ED238" s="1">
        <v>52.3719165085388</v>
      </c>
    </row>
    <row r="239" customHeight="1" spans="1:164">
      <c r="A239" s="28">
        <v>8</v>
      </c>
      <c r="B239" s="4" t="s">
        <v>489</v>
      </c>
      <c r="C239" s="5" t="s">
        <v>498</v>
      </c>
      <c r="D239" s="4" t="s">
        <v>491</v>
      </c>
      <c r="E239" s="4" t="s">
        <v>499</v>
      </c>
      <c r="J239" s="4" t="s">
        <v>500</v>
      </c>
      <c r="N239" s="24" t="s">
        <v>501</v>
      </c>
      <c r="O239" s="4" t="s">
        <v>502</v>
      </c>
      <c r="P239" s="4">
        <v>3</v>
      </c>
      <c r="Z239" s="4">
        <v>0.208</v>
      </c>
      <c r="AB239" s="4" t="s">
        <v>503</v>
      </c>
      <c r="AC239" s="4" t="s">
        <v>492</v>
      </c>
      <c r="AD239" s="4" t="s">
        <v>504</v>
      </c>
      <c r="AE239" s="4" t="s">
        <v>505</v>
      </c>
      <c r="AF239" s="4" t="s">
        <v>506</v>
      </c>
      <c r="BI239" s="4" t="s">
        <v>309</v>
      </c>
      <c r="BN239" s="4">
        <v>1</v>
      </c>
      <c r="BS239" s="4" t="s">
        <v>494</v>
      </c>
      <c r="BU239" s="4">
        <v>180</v>
      </c>
      <c r="BV239" s="4">
        <v>1440</v>
      </c>
      <c r="BW239" s="4">
        <v>25</v>
      </c>
      <c r="CB239" s="4" t="s">
        <v>496</v>
      </c>
      <c r="CC239" s="4">
        <v>37.4608</v>
      </c>
      <c r="CE239" s="4" t="s">
        <v>7</v>
      </c>
      <c r="CF239" s="4">
        <v>56.2055</v>
      </c>
      <c r="CR239" s="24" t="s">
        <v>515</v>
      </c>
      <c r="CS239" s="4">
        <v>127.1</v>
      </c>
      <c r="DO239" s="4">
        <v>3</v>
      </c>
      <c r="DP239" s="4">
        <v>56.2055</v>
      </c>
      <c r="DW239" s="27">
        <v>25.8097362428842</v>
      </c>
      <c r="ED239" s="1">
        <v>45.920303605313</v>
      </c>
    </row>
    <row r="240" customHeight="1" spans="1:164">
      <c r="A240" s="28">
        <v>8</v>
      </c>
      <c r="B240" s="4" t="s">
        <v>489</v>
      </c>
      <c r="C240" s="5" t="s">
        <v>498</v>
      </c>
      <c r="D240" s="4" t="s">
        <v>491</v>
      </c>
      <c r="E240" s="4" t="s">
        <v>499</v>
      </c>
      <c r="J240" s="4" t="s">
        <v>500</v>
      </c>
      <c r="N240" s="24" t="s">
        <v>501</v>
      </c>
      <c r="O240" s="4" t="s">
        <v>502</v>
      </c>
      <c r="P240" s="4">
        <v>3</v>
      </c>
      <c r="Z240" s="4">
        <v>0.208</v>
      </c>
      <c r="AB240" s="4" t="s">
        <v>503</v>
      </c>
      <c r="AC240" s="4" t="s">
        <v>492</v>
      </c>
      <c r="AD240" s="4" t="s">
        <v>504</v>
      </c>
      <c r="AE240" s="4" t="s">
        <v>505</v>
      </c>
      <c r="AF240" s="4" t="s">
        <v>506</v>
      </c>
      <c r="BI240" s="4" t="s">
        <v>309</v>
      </c>
      <c r="BN240" s="4">
        <v>1</v>
      </c>
      <c r="BS240" s="4" t="s">
        <v>494</v>
      </c>
      <c r="BU240" s="4">
        <v>180</v>
      </c>
      <c r="BV240" s="4">
        <v>1440</v>
      </c>
      <c r="BW240" s="4">
        <v>25</v>
      </c>
      <c r="CB240" s="4" t="s">
        <v>496</v>
      </c>
      <c r="CC240" s="4">
        <v>37.4608</v>
      </c>
      <c r="CE240" s="4" t="s">
        <v>7</v>
      </c>
      <c r="CF240" s="4">
        <v>56.2055</v>
      </c>
      <c r="CR240" s="24" t="s">
        <v>515</v>
      </c>
      <c r="CS240" s="4">
        <v>254.2</v>
      </c>
      <c r="DO240" s="4">
        <v>3</v>
      </c>
      <c r="DP240" s="4">
        <v>56.2055</v>
      </c>
      <c r="DW240" s="27">
        <v>11.1984392789374</v>
      </c>
      <c r="ED240" s="1">
        <v>19.9240986717268</v>
      </c>
    </row>
    <row r="241" customHeight="1" spans="1:164">
      <c r="A241" s="28">
        <v>8</v>
      </c>
      <c r="B241" s="4" t="s">
        <v>489</v>
      </c>
      <c r="C241" s="5" t="s">
        <v>498</v>
      </c>
      <c r="D241" s="4" t="s">
        <v>491</v>
      </c>
      <c r="E241" s="4" t="s">
        <v>499</v>
      </c>
      <c r="J241" s="4" t="s">
        <v>500</v>
      </c>
      <c r="N241" s="24" t="s">
        <v>501</v>
      </c>
      <c r="O241" s="4" t="s">
        <v>502</v>
      </c>
      <c r="P241" s="4">
        <v>3</v>
      </c>
      <c r="Z241" s="4">
        <v>0.208</v>
      </c>
      <c r="AB241" s="4" t="s">
        <v>503</v>
      </c>
      <c r="AC241" s="4" t="s">
        <v>492</v>
      </c>
      <c r="AD241" s="4" t="s">
        <v>504</v>
      </c>
      <c r="AE241" s="4" t="s">
        <v>505</v>
      </c>
      <c r="AF241" s="4" t="s">
        <v>506</v>
      </c>
      <c r="BI241" s="4" t="s">
        <v>309</v>
      </c>
      <c r="BN241" s="4">
        <v>1</v>
      </c>
      <c r="BS241" s="4" t="s">
        <v>494</v>
      </c>
      <c r="BU241" s="4">
        <v>180</v>
      </c>
      <c r="BV241" s="4">
        <v>1440</v>
      </c>
      <c r="BW241" s="4">
        <v>25</v>
      </c>
      <c r="CB241" s="4" t="s">
        <v>496</v>
      </c>
      <c r="CC241" s="4">
        <v>37.4608</v>
      </c>
      <c r="CE241" s="4" t="s">
        <v>7</v>
      </c>
      <c r="CF241" s="4">
        <v>56.2055</v>
      </c>
      <c r="CR241" s="24" t="s">
        <v>516</v>
      </c>
      <c r="CS241" s="4">
        <v>9.78</v>
      </c>
      <c r="DO241" s="4">
        <v>3</v>
      </c>
      <c r="DP241" s="4">
        <v>56.2055</v>
      </c>
      <c r="DW241" s="27">
        <v>40.5276850094876</v>
      </c>
      <c r="ED241" s="1">
        <v>72.1062618595824</v>
      </c>
    </row>
    <row r="242" customHeight="1" spans="1:164">
      <c r="A242" s="28">
        <v>8</v>
      </c>
      <c r="B242" s="4" t="s">
        <v>489</v>
      </c>
      <c r="C242" s="5" t="s">
        <v>498</v>
      </c>
      <c r="D242" s="4" t="s">
        <v>491</v>
      </c>
      <c r="E242" s="4" t="s">
        <v>499</v>
      </c>
      <c r="J242" s="4" t="s">
        <v>500</v>
      </c>
      <c r="N242" s="24" t="s">
        <v>501</v>
      </c>
      <c r="O242" s="4" t="s">
        <v>502</v>
      </c>
      <c r="P242" s="4">
        <v>3</v>
      </c>
      <c r="Z242" s="4">
        <v>0.208</v>
      </c>
      <c r="AB242" s="4" t="s">
        <v>503</v>
      </c>
      <c r="AC242" s="4" t="s">
        <v>492</v>
      </c>
      <c r="AD242" s="4" t="s">
        <v>504</v>
      </c>
      <c r="AE242" s="4" t="s">
        <v>505</v>
      </c>
      <c r="AF242" s="4" t="s">
        <v>506</v>
      </c>
      <c r="BI242" s="4" t="s">
        <v>309</v>
      </c>
      <c r="BN242" s="4">
        <v>1</v>
      </c>
      <c r="BS242" s="4" t="s">
        <v>494</v>
      </c>
      <c r="BU242" s="4">
        <v>180</v>
      </c>
      <c r="BV242" s="4">
        <v>1440</v>
      </c>
      <c r="BW242" s="4">
        <v>25</v>
      </c>
      <c r="CB242" s="4" t="s">
        <v>496</v>
      </c>
      <c r="CC242" s="4">
        <v>37.4608</v>
      </c>
      <c r="CE242" s="4" t="s">
        <v>7</v>
      </c>
      <c r="CF242" s="4">
        <v>56.2055</v>
      </c>
      <c r="CR242" s="24" t="s">
        <v>516</v>
      </c>
      <c r="CS242" s="4">
        <v>19.55</v>
      </c>
      <c r="DO242" s="4">
        <v>3</v>
      </c>
      <c r="DP242" s="4">
        <v>56.2055</v>
      </c>
      <c r="DW242" s="27">
        <v>33.8086214421252</v>
      </c>
      <c r="ED242" s="1">
        <v>60.1518026565464</v>
      </c>
    </row>
    <row r="243" customHeight="1" spans="1:164">
      <c r="A243" s="28">
        <v>8</v>
      </c>
      <c r="B243" s="4" t="s">
        <v>489</v>
      </c>
      <c r="C243" s="5" t="s">
        <v>498</v>
      </c>
      <c r="D243" s="4" t="s">
        <v>491</v>
      </c>
      <c r="E243" s="4" t="s">
        <v>499</v>
      </c>
      <c r="J243" s="4" t="s">
        <v>500</v>
      </c>
      <c r="N243" s="24" t="s">
        <v>501</v>
      </c>
      <c r="O243" s="4" t="s">
        <v>502</v>
      </c>
      <c r="P243" s="4">
        <v>3</v>
      </c>
      <c r="Z243" s="4">
        <v>0.208</v>
      </c>
      <c r="AB243" s="4" t="s">
        <v>503</v>
      </c>
      <c r="AC243" s="4" t="s">
        <v>492</v>
      </c>
      <c r="AD243" s="4" t="s">
        <v>504</v>
      </c>
      <c r="AE243" s="4" t="s">
        <v>505</v>
      </c>
      <c r="AF243" s="4" t="s">
        <v>506</v>
      </c>
      <c r="BI243" s="4" t="s">
        <v>309</v>
      </c>
      <c r="BN243" s="4">
        <v>1</v>
      </c>
      <c r="BS243" s="4" t="s">
        <v>494</v>
      </c>
      <c r="BU243" s="4">
        <v>180</v>
      </c>
      <c r="BV243" s="4">
        <v>1440</v>
      </c>
      <c r="BW243" s="4">
        <v>25</v>
      </c>
      <c r="CB243" s="4" t="s">
        <v>496</v>
      </c>
      <c r="CC243" s="4">
        <v>37.4608</v>
      </c>
      <c r="CE243" s="4" t="s">
        <v>7</v>
      </c>
      <c r="CF243" s="4">
        <v>56.2055</v>
      </c>
      <c r="CR243" s="24" t="s">
        <v>516</v>
      </c>
      <c r="CS243" s="4">
        <v>39.1</v>
      </c>
      <c r="DO243" s="4">
        <v>3</v>
      </c>
      <c r="DP243" s="4">
        <v>56.2055</v>
      </c>
      <c r="DW243" s="27">
        <v>31.0356745730549</v>
      </c>
      <c r="ED243" s="1">
        <v>55.2182163187854</v>
      </c>
    </row>
    <row r="244" customHeight="1" spans="1:164">
      <c r="A244" s="28">
        <v>8</v>
      </c>
      <c r="B244" s="4" t="s">
        <v>489</v>
      </c>
      <c r="C244" s="5" t="s">
        <v>498</v>
      </c>
      <c r="D244" s="4" t="s">
        <v>491</v>
      </c>
      <c r="E244" s="4" t="s">
        <v>499</v>
      </c>
      <c r="J244" s="4" t="s">
        <v>500</v>
      </c>
      <c r="N244" s="24" t="s">
        <v>501</v>
      </c>
      <c r="O244" s="4" t="s">
        <v>502</v>
      </c>
      <c r="P244" s="4">
        <v>3</v>
      </c>
      <c r="Z244" s="4">
        <v>0.208</v>
      </c>
      <c r="AB244" s="4" t="s">
        <v>503</v>
      </c>
      <c r="AC244" s="4" t="s">
        <v>492</v>
      </c>
      <c r="AD244" s="4" t="s">
        <v>504</v>
      </c>
      <c r="AE244" s="4" t="s">
        <v>505</v>
      </c>
      <c r="AF244" s="4" t="s">
        <v>506</v>
      </c>
      <c r="BI244" s="4" t="s">
        <v>309</v>
      </c>
      <c r="BN244" s="4">
        <v>1</v>
      </c>
      <c r="BS244" s="4" t="s">
        <v>494</v>
      </c>
      <c r="BU244" s="4">
        <v>180</v>
      </c>
      <c r="BV244" s="4">
        <v>1440</v>
      </c>
      <c r="BW244" s="4">
        <v>25</v>
      </c>
      <c r="CB244" s="4" t="s">
        <v>496</v>
      </c>
      <c r="CC244" s="4">
        <v>37.4608</v>
      </c>
      <c r="CE244" s="4" t="s">
        <v>7</v>
      </c>
      <c r="CF244" s="4">
        <v>56.2055</v>
      </c>
      <c r="CR244" s="24" t="s">
        <v>516</v>
      </c>
      <c r="CS244" s="4">
        <v>78.2</v>
      </c>
      <c r="DO244" s="4">
        <v>3</v>
      </c>
      <c r="DP244" s="4">
        <v>56.2055</v>
      </c>
      <c r="DW244" s="27">
        <v>28.0494240986717</v>
      </c>
      <c r="ED244" s="1">
        <v>49.9051233396584</v>
      </c>
    </row>
    <row r="245" customHeight="1" spans="1:164">
      <c r="A245" s="28">
        <v>8</v>
      </c>
      <c r="B245" s="4" t="s">
        <v>489</v>
      </c>
      <c r="C245" s="5" t="s">
        <v>498</v>
      </c>
      <c r="D245" s="4" t="s">
        <v>491</v>
      </c>
      <c r="E245" s="4" t="s">
        <v>499</v>
      </c>
      <c r="J245" s="4" t="s">
        <v>500</v>
      </c>
      <c r="N245" s="24" t="s">
        <v>501</v>
      </c>
      <c r="O245" s="4" t="s">
        <v>502</v>
      </c>
      <c r="P245" s="4">
        <v>3</v>
      </c>
      <c r="Z245" s="4">
        <v>0.208</v>
      </c>
      <c r="AB245" s="4" t="s">
        <v>503</v>
      </c>
      <c r="AC245" s="4" t="s">
        <v>492</v>
      </c>
      <c r="AD245" s="4" t="s">
        <v>504</v>
      </c>
      <c r="AE245" s="4" t="s">
        <v>505</v>
      </c>
      <c r="AF245" s="4" t="s">
        <v>506</v>
      </c>
      <c r="BI245" s="4" t="s">
        <v>309</v>
      </c>
      <c r="BN245" s="4">
        <v>1</v>
      </c>
      <c r="BS245" s="4" t="s">
        <v>494</v>
      </c>
      <c r="BU245" s="4">
        <v>180</v>
      </c>
      <c r="BV245" s="4">
        <v>1440</v>
      </c>
      <c r="BW245" s="4">
        <v>25</v>
      </c>
      <c r="CB245" s="4" t="s">
        <v>496</v>
      </c>
      <c r="CC245" s="4">
        <v>37.4608</v>
      </c>
      <c r="CE245" s="4" t="s">
        <v>7</v>
      </c>
      <c r="CF245" s="4">
        <v>56.2055</v>
      </c>
      <c r="CR245" s="24" t="s">
        <v>516</v>
      </c>
      <c r="CS245" s="4">
        <v>156.4</v>
      </c>
      <c r="DO245" s="4">
        <v>3</v>
      </c>
      <c r="DP245" s="4">
        <v>56.2055</v>
      </c>
      <c r="DW245" s="27">
        <v>19.3039762808349</v>
      </c>
      <c r="ED245" s="1">
        <v>34.3453510436432</v>
      </c>
    </row>
    <row r="246" customHeight="1" spans="1:164">
      <c r="A246" s="28">
        <v>8</v>
      </c>
      <c r="B246" s="4" t="s">
        <v>489</v>
      </c>
      <c r="C246" s="5" t="s">
        <v>498</v>
      </c>
      <c r="D246" s="4" t="s">
        <v>491</v>
      </c>
      <c r="E246" s="4" t="s">
        <v>499</v>
      </c>
      <c r="J246" s="4" t="s">
        <v>500</v>
      </c>
      <c r="N246" s="24" t="s">
        <v>501</v>
      </c>
      <c r="O246" s="4" t="s">
        <v>502</v>
      </c>
      <c r="P246" s="4">
        <v>3</v>
      </c>
      <c r="Z246" s="4">
        <v>0.208</v>
      </c>
      <c r="AB246" s="4" t="s">
        <v>503</v>
      </c>
      <c r="AC246" s="4" t="s">
        <v>492</v>
      </c>
      <c r="AD246" s="4" t="s">
        <v>504</v>
      </c>
      <c r="AE246" s="4" t="s">
        <v>505</v>
      </c>
      <c r="AF246" s="4" t="s">
        <v>506</v>
      </c>
      <c r="BI246" s="4" t="s">
        <v>309</v>
      </c>
      <c r="BN246" s="4">
        <v>1</v>
      </c>
      <c r="BS246" s="4">
        <v>2</v>
      </c>
      <c r="BU246" s="4">
        <v>180</v>
      </c>
      <c r="BV246" s="4">
        <v>1440</v>
      </c>
      <c r="BW246" s="4">
        <v>25</v>
      </c>
      <c r="CB246" s="4" t="s">
        <v>496</v>
      </c>
      <c r="CC246" s="4">
        <v>20</v>
      </c>
      <c r="CW246" s="4">
        <v>3.91919191919191</v>
      </c>
      <c r="DO246" s="4">
        <v>3</v>
      </c>
      <c r="FA246" s="27">
        <v>13.57</v>
      </c>
      <c r="FB246" s="1">
        <v>0.39</v>
      </c>
      <c r="FG246" s="1">
        <f t="shared" ref="FG246:FG251" si="9">(FA246/CC246*100)</f>
        <v>67.85</v>
      </c>
      <c r="FH246" s="1">
        <v>67.85</v>
      </c>
    </row>
    <row r="247" customHeight="1" spans="1:164">
      <c r="A247" s="28">
        <v>8</v>
      </c>
      <c r="B247" s="4" t="s">
        <v>489</v>
      </c>
      <c r="C247" s="5" t="s">
        <v>498</v>
      </c>
      <c r="D247" s="4" t="s">
        <v>491</v>
      </c>
      <c r="E247" s="4" t="s">
        <v>499</v>
      </c>
      <c r="J247" s="4" t="s">
        <v>500</v>
      </c>
      <c r="N247" s="24" t="s">
        <v>501</v>
      </c>
      <c r="O247" s="4" t="s">
        <v>502</v>
      </c>
      <c r="P247" s="4">
        <v>3</v>
      </c>
      <c r="Z247" s="4">
        <v>0.208</v>
      </c>
      <c r="AB247" s="4" t="s">
        <v>503</v>
      </c>
      <c r="AC247" s="4" t="s">
        <v>492</v>
      </c>
      <c r="AD247" s="4" t="s">
        <v>504</v>
      </c>
      <c r="AE247" s="4" t="s">
        <v>505</v>
      </c>
      <c r="AF247" s="4" t="s">
        <v>506</v>
      </c>
      <c r="BI247" s="4" t="s">
        <v>309</v>
      </c>
      <c r="BN247" s="4">
        <v>1</v>
      </c>
      <c r="BS247" s="4">
        <v>3</v>
      </c>
      <c r="BU247" s="4">
        <v>180</v>
      </c>
      <c r="BV247" s="4">
        <v>1440</v>
      </c>
      <c r="BW247" s="4">
        <v>25</v>
      </c>
      <c r="CB247" s="4" t="s">
        <v>496</v>
      </c>
      <c r="CC247" s="4">
        <v>20</v>
      </c>
      <c r="CW247" s="4">
        <v>4.42424242424242</v>
      </c>
      <c r="DO247" s="4">
        <v>3</v>
      </c>
      <c r="FA247" s="27">
        <v>14.18</v>
      </c>
      <c r="FB247" s="1">
        <v>0.26</v>
      </c>
      <c r="FG247" s="1">
        <f t="shared" si="9"/>
        <v>70.9</v>
      </c>
      <c r="FH247" s="1">
        <v>70.9</v>
      </c>
    </row>
    <row r="248" customHeight="1" spans="1:164">
      <c r="A248" s="28">
        <v>8</v>
      </c>
      <c r="B248" s="4" t="s">
        <v>489</v>
      </c>
      <c r="C248" s="5" t="s">
        <v>498</v>
      </c>
      <c r="D248" s="4" t="s">
        <v>491</v>
      </c>
      <c r="E248" s="4" t="s">
        <v>499</v>
      </c>
      <c r="J248" s="4" t="s">
        <v>500</v>
      </c>
      <c r="N248" s="24" t="s">
        <v>501</v>
      </c>
      <c r="O248" s="4" t="s">
        <v>502</v>
      </c>
      <c r="P248" s="4">
        <v>3</v>
      </c>
      <c r="Z248" s="4">
        <v>0.208</v>
      </c>
      <c r="AB248" s="4" t="s">
        <v>503</v>
      </c>
      <c r="AC248" s="4" t="s">
        <v>492</v>
      </c>
      <c r="AD248" s="4" t="s">
        <v>504</v>
      </c>
      <c r="AE248" s="4" t="s">
        <v>505</v>
      </c>
      <c r="AF248" s="4" t="s">
        <v>506</v>
      </c>
      <c r="BI248" s="4" t="s">
        <v>309</v>
      </c>
      <c r="BN248" s="4">
        <v>1</v>
      </c>
      <c r="BS248" s="4">
        <v>4</v>
      </c>
      <c r="BU248" s="4">
        <v>180</v>
      </c>
      <c r="BV248" s="4">
        <v>1440</v>
      </c>
      <c r="BW248" s="4">
        <v>25</v>
      </c>
      <c r="CB248" s="4" t="s">
        <v>496</v>
      </c>
      <c r="CC248" s="4">
        <v>20</v>
      </c>
      <c r="CW248" s="4">
        <v>6.0530303030303</v>
      </c>
      <c r="DO248" s="4">
        <v>3</v>
      </c>
      <c r="FA248" s="27">
        <v>14.4</v>
      </c>
      <c r="FB248" s="1">
        <v>0.35</v>
      </c>
      <c r="FG248" s="1">
        <f t="shared" si="9"/>
        <v>72</v>
      </c>
      <c r="FH248" s="1">
        <v>72</v>
      </c>
    </row>
    <row r="249" customHeight="1" spans="1:164">
      <c r="A249" s="28">
        <v>8</v>
      </c>
      <c r="B249" s="4" t="s">
        <v>489</v>
      </c>
      <c r="C249" s="5" t="s">
        <v>498</v>
      </c>
      <c r="D249" s="4" t="s">
        <v>491</v>
      </c>
      <c r="E249" s="4" t="s">
        <v>499</v>
      </c>
      <c r="J249" s="4" t="s">
        <v>500</v>
      </c>
      <c r="N249" s="24" t="s">
        <v>501</v>
      </c>
      <c r="O249" s="4" t="s">
        <v>502</v>
      </c>
      <c r="P249" s="4">
        <v>3</v>
      </c>
      <c r="Z249" s="4">
        <v>0.208</v>
      </c>
      <c r="AB249" s="4" t="s">
        <v>503</v>
      </c>
      <c r="AC249" s="4" t="s">
        <v>492</v>
      </c>
      <c r="AD249" s="4" t="s">
        <v>504</v>
      </c>
      <c r="AE249" s="4" t="s">
        <v>505</v>
      </c>
      <c r="AF249" s="4" t="s">
        <v>506</v>
      </c>
      <c r="BI249" s="4" t="s">
        <v>309</v>
      </c>
      <c r="BN249" s="4">
        <v>1</v>
      </c>
      <c r="BS249" s="4">
        <v>5</v>
      </c>
      <c r="BU249" s="4">
        <v>180</v>
      </c>
      <c r="BV249" s="4">
        <v>1440</v>
      </c>
      <c r="BW249" s="4">
        <v>25</v>
      </c>
      <c r="CB249" s="4" t="s">
        <v>496</v>
      </c>
      <c r="CC249" s="4">
        <v>20</v>
      </c>
      <c r="CW249" s="4">
        <v>6.1540404040404</v>
      </c>
      <c r="DO249" s="4">
        <v>3</v>
      </c>
      <c r="FA249" s="27">
        <v>14.96</v>
      </c>
      <c r="FB249" s="1">
        <v>0.22</v>
      </c>
      <c r="FG249" s="1">
        <f t="shared" si="9"/>
        <v>74.8</v>
      </c>
      <c r="FH249" s="1">
        <v>74.8</v>
      </c>
    </row>
    <row r="250" customHeight="1" spans="1:164">
      <c r="A250" s="28">
        <v>8</v>
      </c>
      <c r="B250" s="4" t="s">
        <v>489</v>
      </c>
      <c r="C250" s="5" t="s">
        <v>498</v>
      </c>
      <c r="D250" s="4" t="s">
        <v>491</v>
      </c>
      <c r="E250" s="4" t="s">
        <v>499</v>
      </c>
      <c r="J250" s="4" t="s">
        <v>500</v>
      </c>
      <c r="N250" s="24" t="s">
        <v>501</v>
      </c>
      <c r="O250" s="4" t="s">
        <v>502</v>
      </c>
      <c r="P250" s="4">
        <v>3</v>
      </c>
      <c r="Z250" s="4">
        <v>0.208</v>
      </c>
      <c r="AB250" s="4" t="s">
        <v>503</v>
      </c>
      <c r="AC250" s="4" t="s">
        <v>492</v>
      </c>
      <c r="AD250" s="4" t="s">
        <v>504</v>
      </c>
      <c r="AE250" s="4" t="s">
        <v>505</v>
      </c>
      <c r="AF250" s="4" t="s">
        <v>506</v>
      </c>
      <c r="BI250" s="4" t="s">
        <v>309</v>
      </c>
      <c r="BN250" s="4">
        <v>1</v>
      </c>
      <c r="BS250" s="4">
        <v>6</v>
      </c>
      <c r="BU250" s="4">
        <v>180</v>
      </c>
      <c r="BV250" s="4">
        <v>1440</v>
      </c>
      <c r="BW250" s="4">
        <v>25</v>
      </c>
      <c r="CB250" s="4" t="s">
        <v>496</v>
      </c>
      <c r="CC250" s="4">
        <v>20</v>
      </c>
      <c r="CW250" s="4">
        <v>6.29292929292929</v>
      </c>
      <c r="DO250" s="4">
        <v>3</v>
      </c>
      <c r="FA250" s="27">
        <v>14.66</v>
      </c>
      <c r="FB250" s="1">
        <v>0.52</v>
      </c>
      <c r="FG250" s="1">
        <f t="shared" si="9"/>
        <v>73.3</v>
      </c>
      <c r="FH250" s="1">
        <v>73.3</v>
      </c>
    </row>
    <row r="251" customHeight="1" spans="1:164">
      <c r="A251" s="28">
        <v>8</v>
      </c>
      <c r="B251" s="4" t="s">
        <v>489</v>
      </c>
      <c r="C251" s="5" t="s">
        <v>498</v>
      </c>
      <c r="D251" s="4" t="s">
        <v>491</v>
      </c>
      <c r="E251" s="4" t="s">
        <v>499</v>
      </c>
      <c r="J251" s="4" t="s">
        <v>500</v>
      </c>
      <c r="N251" s="24" t="s">
        <v>501</v>
      </c>
      <c r="O251" s="4" t="s">
        <v>502</v>
      </c>
      <c r="P251" s="4">
        <v>3</v>
      </c>
      <c r="Z251" s="4">
        <v>0.208</v>
      </c>
      <c r="AB251" s="4" t="s">
        <v>503</v>
      </c>
      <c r="AC251" s="4" t="s">
        <v>492</v>
      </c>
      <c r="AD251" s="4" t="s">
        <v>504</v>
      </c>
      <c r="AE251" s="4" t="s">
        <v>505</v>
      </c>
      <c r="AF251" s="4" t="s">
        <v>506</v>
      </c>
      <c r="BI251" s="4" t="s">
        <v>309</v>
      </c>
      <c r="BN251" s="4">
        <v>1</v>
      </c>
      <c r="BS251" s="4">
        <v>7</v>
      </c>
      <c r="BU251" s="4">
        <v>180</v>
      </c>
      <c r="BV251" s="4">
        <v>1440</v>
      </c>
      <c r="BW251" s="4">
        <v>25</v>
      </c>
      <c r="CB251" s="4" t="s">
        <v>496</v>
      </c>
      <c r="CC251" s="4">
        <v>20</v>
      </c>
      <c r="CW251" s="4">
        <v>6.40656565656565</v>
      </c>
      <c r="DO251" s="4">
        <v>3</v>
      </c>
      <c r="FA251" s="27">
        <v>14.57</v>
      </c>
      <c r="FB251" s="1">
        <v>0.35</v>
      </c>
      <c r="FG251" s="1">
        <f t="shared" si="9"/>
        <v>72.85</v>
      </c>
      <c r="FH251" s="1">
        <v>72.85</v>
      </c>
    </row>
    <row r="252" customHeight="1" spans="1:164">
      <c r="A252" s="28">
        <v>8</v>
      </c>
      <c r="B252" s="4" t="s">
        <v>489</v>
      </c>
      <c r="C252" s="5" t="s">
        <v>498</v>
      </c>
      <c r="D252" s="4" t="s">
        <v>491</v>
      </c>
      <c r="E252" s="4" t="s">
        <v>499</v>
      </c>
      <c r="J252" s="4" t="s">
        <v>500</v>
      </c>
      <c r="N252" s="24" t="s">
        <v>501</v>
      </c>
      <c r="O252" s="4" t="s">
        <v>502</v>
      </c>
      <c r="P252" s="4">
        <v>3</v>
      </c>
      <c r="Z252" s="4">
        <v>0.208</v>
      </c>
      <c r="AB252" s="4" t="s">
        <v>503</v>
      </c>
      <c r="AC252" s="4" t="s">
        <v>492</v>
      </c>
      <c r="AD252" s="4" t="s">
        <v>504</v>
      </c>
      <c r="AE252" s="4" t="s">
        <v>505</v>
      </c>
      <c r="AF252" s="4" t="s">
        <v>506</v>
      </c>
      <c r="BI252" s="4" t="s">
        <v>309</v>
      </c>
      <c r="BN252" s="4">
        <v>1</v>
      </c>
      <c r="BS252" s="4">
        <v>2</v>
      </c>
      <c r="BU252" s="4">
        <v>180</v>
      </c>
      <c r="BV252" s="4">
        <v>1440</v>
      </c>
      <c r="BW252" s="4">
        <v>25</v>
      </c>
      <c r="CB252" s="4" t="s">
        <v>7</v>
      </c>
      <c r="CC252" s="4">
        <v>20</v>
      </c>
      <c r="CW252" s="4">
        <v>2.46717171717171</v>
      </c>
      <c r="DO252" s="4">
        <v>3</v>
      </c>
      <c r="DP252" s="4">
        <v>20</v>
      </c>
      <c r="DW252" s="27">
        <v>2.27</v>
      </c>
      <c r="DX252" s="1">
        <v>0.26</v>
      </c>
      <c r="ED252" s="1">
        <v>11.35</v>
      </c>
    </row>
    <row r="253" customHeight="1" spans="1:164">
      <c r="A253" s="28">
        <v>8</v>
      </c>
      <c r="B253" s="4" t="s">
        <v>489</v>
      </c>
      <c r="C253" s="5" t="s">
        <v>498</v>
      </c>
      <c r="D253" s="4" t="s">
        <v>491</v>
      </c>
      <c r="E253" s="4" t="s">
        <v>499</v>
      </c>
      <c r="J253" s="4" t="s">
        <v>500</v>
      </c>
      <c r="N253" s="24" t="s">
        <v>501</v>
      </c>
      <c r="O253" s="4" t="s">
        <v>502</v>
      </c>
      <c r="P253" s="4">
        <v>3</v>
      </c>
      <c r="Z253" s="4">
        <v>0.208</v>
      </c>
      <c r="AB253" s="4" t="s">
        <v>503</v>
      </c>
      <c r="AC253" s="4" t="s">
        <v>492</v>
      </c>
      <c r="AD253" s="4" t="s">
        <v>504</v>
      </c>
      <c r="AE253" s="4" t="s">
        <v>505</v>
      </c>
      <c r="AF253" s="4" t="s">
        <v>506</v>
      </c>
      <c r="BI253" s="4" t="s">
        <v>309</v>
      </c>
      <c r="BN253" s="4">
        <v>1</v>
      </c>
      <c r="BS253" s="4">
        <v>3</v>
      </c>
      <c r="BU253" s="4">
        <v>180</v>
      </c>
      <c r="BV253" s="4">
        <v>1440</v>
      </c>
      <c r="BW253" s="4">
        <v>25</v>
      </c>
      <c r="CB253" s="4" t="s">
        <v>7</v>
      </c>
      <c r="CC253" s="4">
        <v>20</v>
      </c>
      <c r="CW253" s="4">
        <v>3.47727272727272</v>
      </c>
      <c r="DO253" s="4">
        <v>3</v>
      </c>
      <c r="DP253" s="4">
        <v>20</v>
      </c>
      <c r="DW253" s="27">
        <v>5.46</v>
      </c>
      <c r="DX253" s="1">
        <v>0.35</v>
      </c>
      <c r="ED253" s="1">
        <v>27.3</v>
      </c>
    </row>
    <row r="254" customHeight="1" spans="1:164">
      <c r="A254" s="28">
        <v>8</v>
      </c>
      <c r="B254" s="4" t="s">
        <v>489</v>
      </c>
      <c r="C254" s="5" t="s">
        <v>498</v>
      </c>
      <c r="D254" s="4" t="s">
        <v>491</v>
      </c>
      <c r="E254" s="4" t="s">
        <v>499</v>
      </c>
      <c r="J254" s="4" t="s">
        <v>500</v>
      </c>
      <c r="N254" s="24" t="s">
        <v>501</v>
      </c>
      <c r="O254" s="4" t="s">
        <v>502</v>
      </c>
      <c r="P254" s="4">
        <v>3</v>
      </c>
      <c r="Z254" s="4">
        <v>0.208</v>
      </c>
      <c r="AB254" s="4" t="s">
        <v>503</v>
      </c>
      <c r="AC254" s="4" t="s">
        <v>492</v>
      </c>
      <c r="AD254" s="4" t="s">
        <v>504</v>
      </c>
      <c r="AE254" s="4" t="s">
        <v>505</v>
      </c>
      <c r="AF254" s="4" t="s">
        <v>506</v>
      </c>
      <c r="BI254" s="4" t="s">
        <v>309</v>
      </c>
      <c r="BN254" s="4">
        <v>1</v>
      </c>
      <c r="BS254" s="4">
        <v>4</v>
      </c>
      <c r="BU254" s="4">
        <v>180</v>
      </c>
      <c r="BV254" s="4">
        <v>1440</v>
      </c>
      <c r="BW254" s="4">
        <v>25</v>
      </c>
      <c r="CB254" s="4" t="s">
        <v>7</v>
      </c>
      <c r="CC254" s="4">
        <v>20</v>
      </c>
      <c r="CW254" s="4">
        <v>5.96464646464646</v>
      </c>
      <c r="DO254" s="4">
        <v>3</v>
      </c>
      <c r="DP254" s="4">
        <v>20</v>
      </c>
      <c r="DW254" s="27">
        <v>6.56</v>
      </c>
      <c r="DX254" s="1">
        <v>0.26</v>
      </c>
      <c r="ED254" s="1">
        <v>32.8</v>
      </c>
    </row>
    <row r="255" customHeight="1" spans="1:164">
      <c r="A255" s="28">
        <v>8</v>
      </c>
      <c r="B255" s="4" t="s">
        <v>489</v>
      </c>
      <c r="C255" s="5" t="s">
        <v>498</v>
      </c>
      <c r="D255" s="4" t="s">
        <v>491</v>
      </c>
      <c r="E255" s="4" t="s">
        <v>499</v>
      </c>
      <c r="J255" s="4" t="s">
        <v>500</v>
      </c>
      <c r="N255" s="24" t="s">
        <v>501</v>
      </c>
      <c r="O255" s="4" t="s">
        <v>502</v>
      </c>
      <c r="P255" s="4">
        <v>3</v>
      </c>
      <c r="Z255" s="4">
        <v>0.208</v>
      </c>
      <c r="AB255" s="4" t="s">
        <v>503</v>
      </c>
      <c r="AC255" s="4" t="s">
        <v>492</v>
      </c>
      <c r="AD255" s="4" t="s">
        <v>504</v>
      </c>
      <c r="AE255" s="4" t="s">
        <v>505</v>
      </c>
      <c r="AF255" s="4" t="s">
        <v>506</v>
      </c>
      <c r="BI255" s="4" t="s">
        <v>309</v>
      </c>
      <c r="BN255" s="4">
        <v>1</v>
      </c>
      <c r="BS255" s="4">
        <v>5</v>
      </c>
      <c r="BU255" s="4">
        <v>180</v>
      </c>
      <c r="BV255" s="4">
        <v>1440</v>
      </c>
      <c r="BW255" s="4">
        <v>25</v>
      </c>
      <c r="CB255" s="4" t="s">
        <v>7</v>
      </c>
      <c r="CC255" s="4">
        <v>20</v>
      </c>
      <c r="CW255" s="4">
        <v>6.0530303030303</v>
      </c>
      <c r="DO255" s="4">
        <v>3</v>
      </c>
      <c r="DP255" s="4">
        <v>20</v>
      </c>
      <c r="DW255" s="27">
        <v>7.01</v>
      </c>
      <c r="DX255" s="1">
        <v>0.2</v>
      </c>
      <c r="ED255" s="1">
        <v>35.05</v>
      </c>
    </row>
    <row r="256" customHeight="1" spans="1:164">
      <c r="A256" s="28">
        <v>8</v>
      </c>
      <c r="B256" s="4" t="s">
        <v>489</v>
      </c>
      <c r="C256" s="5" t="s">
        <v>498</v>
      </c>
      <c r="D256" s="4" t="s">
        <v>491</v>
      </c>
      <c r="E256" s="4" t="s">
        <v>499</v>
      </c>
      <c r="J256" s="4" t="s">
        <v>500</v>
      </c>
      <c r="N256" s="24" t="s">
        <v>501</v>
      </c>
      <c r="O256" s="4" t="s">
        <v>502</v>
      </c>
      <c r="P256" s="4">
        <v>3</v>
      </c>
      <c r="Z256" s="4">
        <v>0.208</v>
      </c>
      <c r="AB256" s="4" t="s">
        <v>503</v>
      </c>
      <c r="AC256" s="4" t="s">
        <v>492</v>
      </c>
      <c r="AD256" s="4" t="s">
        <v>504</v>
      </c>
      <c r="AE256" s="4" t="s">
        <v>505</v>
      </c>
      <c r="AF256" s="4" t="s">
        <v>506</v>
      </c>
      <c r="BI256" s="4" t="s">
        <v>309</v>
      </c>
      <c r="BN256" s="4">
        <v>1</v>
      </c>
      <c r="BS256" s="4">
        <v>6</v>
      </c>
      <c r="BU256" s="4">
        <v>180</v>
      </c>
      <c r="BV256" s="4">
        <v>1440</v>
      </c>
      <c r="BW256" s="4">
        <v>25</v>
      </c>
      <c r="CB256" s="4" t="s">
        <v>7</v>
      </c>
      <c r="CC256" s="4">
        <v>20</v>
      </c>
      <c r="CW256" s="4">
        <v>6.1540404040404</v>
      </c>
      <c r="DO256" s="4">
        <v>3</v>
      </c>
      <c r="DP256" s="4">
        <v>20</v>
      </c>
      <c r="DW256" s="27">
        <v>6.62</v>
      </c>
      <c r="DX256" s="1">
        <v>0.26</v>
      </c>
      <c r="ED256" s="1">
        <v>33.1</v>
      </c>
    </row>
    <row r="257" customHeight="1" spans="1:164">
      <c r="A257" s="28">
        <v>8</v>
      </c>
      <c r="B257" s="4" t="s">
        <v>489</v>
      </c>
      <c r="C257" s="5" t="s">
        <v>498</v>
      </c>
      <c r="D257" s="4" t="s">
        <v>491</v>
      </c>
      <c r="E257" s="4" t="s">
        <v>499</v>
      </c>
      <c r="J257" s="4" t="s">
        <v>500</v>
      </c>
      <c r="N257" s="24" t="s">
        <v>501</v>
      </c>
      <c r="O257" s="4" t="s">
        <v>502</v>
      </c>
      <c r="P257" s="4">
        <v>3</v>
      </c>
      <c r="Z257" s="4">
        <v>0.208</v>
      </c>
      <c r="AB257" s="4" t="s">
        <v>503</v>
      </c>
      <c r="AC257" s="4" t="s">
        <v>492</v>
      </c>
      <c r="AD257" s="4" t="s">
        <v>504</v>
      </c>
      <c r="AE257" s="4" t="s">
        <v>505</v>
      </c>
      <c r="AF257" s="4" t="s">
        <v>506</v>
      </c>
      <c r="BI257" s="4" t="s">
        <v>309</v>
      </c>
      <c r="BN257" s="4">
        <v>1</v>
      </c>
      <c r="BS257" s="4">
        <v>7</v>
      </c>
      <c r="BU257" s="4">
        <v>180</v>
      </c>
      <c r="BV257" s="4">
        <v>1440</v>
      </c>
      <c r="BW257" s="4">
        <v>25</v>
      </c>
      <c r="CB257" s="4" t="s">
        <v>7</v>
      </c>
      <c r="CC257" s="4">
        <v>20</v>
      </c>
      <c r="CW257" s="4">
        <v>6.26767676767676</v>
      </c>
      <c r="DO257" s="4">
        <v>3</v>
      </c>
      <c r="DP257" s="4">
        <v>20</v>
      </c>
      <c r="DW257" s="27">
        <v>6.58</v>
      </c>
      <c r="DX257" s="1">
        <v>0.24</v>
      </c>
      <c r="ED257" s="1">
        <v>32.9</v>
      </c>
    </row>
    <row r="258" customHeight="1" spans="1:164">
      <c r="A258" s="28">
        <v>8</v>
      </c>
      <c r="B258" s="4" t="s">
        <v>489</v>
      </c>
      <c r="C258" s="5" t="s">
        <v>498</v>
      </c>
      <c r="D258" s="4" t="s">
        <v>491</v>
      </c>
      <c r="E258" s="4" t="s">
        <v>499</v>
      </c>
      <c r="J258" s="4" t="s">
        <v>500</v>
      </c>
      <c r="N258" s="24" t="s">
        <v>501</v>
      </c>
      <c r="O258" s="4" t="s">
        <v>502</v>
      </c>
      <c r="P258" s="4">
        <v>3</v>
      </c>
      <c r="Z258" s="4">
        <v>0.208</v>
      </c>
      <c r="AB258" s="4" t="s">
        <v>503</v>
      </c>
      <c r="AC258" s="4" t="s">
        <v>492</v>
      </c>
      <c r="AD258" s="4" t="s">
        <v>504</v>
      </c>
      <c r="AE258" s="4" t="s">
        <v>505</v>
      </c>
      <c r="AF258" s="4" t="s">
        <v>506</v>
      </c>
      <c r="BI258" s="4" t="s">
        <v>309</v>
      </c>
      <c r="BN258" s="4">
        <v>1</v>
      </c>
      <c r="BS258" s="4">
        <v>2</v>
      </c>
      <c r="BU258" s="4">
        <v>180</v>
      </c>
      <c r="BV258" s="4">
        <v>1440</v>
      </c>
      <c r="BW258" s="4">
        <v>25</v>
      </c>
      <c r="CB258" s="4" t="s">
        <v>496</v>
      </c>
      <c r="CC258" s="4">
        <v>20</v>
      </c>
      <c r="CE258" s="4" t="s">
        <v>7</v>
      </c>
      <c r="CF258" s="4">
        <v>20</v>
      </c>
      <c r="CW258" s="4">
        <v>3.83080808080808</v>
      </c>
      <c r="DO258" s="4">
        <v>3</v>
      </c>
      <c r="DP258" s="4">
        <v>20</v>
      </c>
      <c r="DW258" s="27">
        <v>4.88</v>
      </c>
      <c r="DX258" s="1">
        <v>0.24</v>
      </c>
      <c r="ED258" s="1">
        <v>24.4</v>
      </c>
      <c r="FA258" s="27">
        <v>13.66</v>
      </c>
      <c r="FB258" s="1">
        <v>0.56</v>
      </c>
      <c r="FG258" s="1">
        <f t="shared" ref="FG258:FG263" si="10">(FA258/CC258*100)</f>
        <v>68.3</v>
      </c>
      <c r="FH258" s="1">
        <v>68.3</v>
      </c>
    </row>
    <row r="259" customHeight="1" spans="1:164">
      <c r="A259" s="28">
        <v>8</v>
      </c>
      <c r="B259" s="4" t="s">
        <v>489</v>
      </c>
      <c r="C259" s="5" t="s">
        <v>498</v>
      </c>
      <c r="D259" s="4" t="s">
        <v>491</v>
      </c>
      <c r="E259" s="4" t="s">
        <v>499</v>
      </c>
      <c r="J259" s="4" t="s">
        <v>500</v>
      </c>
      <c r="N259" s="24" t="s">
        <v>501</v>
      </c>
      <c r="O259" s="4" t="s">
        <v>502</v>
      </c>
      <c r="P259" s="4">
        <v>3</v>
      </c>
      <c r="Z259" s="4">
        <v>0.208</v>
      </c>
      <c r="AB259" s="4" t="s">
        <v>503</v>
      </c>
      <c r="AC259" s="4" t="s">
        <v>492</v>
      </c>
      <c r="AD259" s="4" t="s">
        <v>504</v>
      </c>
      <c r="AE259" s="4" t="s">
        <v>505</v>
      </c>
      <c r="AF259" s="4" t="s">
        <v>506</v>
      </c>
      <c r="BI259" s="4" t="s">
        <v>309</v>
      </c>
      <c r="BN259" s="4">
        <v>1</v>
      </c>
      <c r="BS259" s="4">
        <v>3</v>
      </c>
      <c r="BU259" s="4">
        <v>180</v>
      </c>
      <c r="BV259" s="4">
        <v>1440</v>
      </c>
      <c r="BW259" s="4">
        <v>25</v>
      </c>
      <c r="CB259" s="4" t="s">
        <v>496</v>
      </c>
      <c r="CC259" s="4">
        <v>20</v>
      </c>
      <c r="CE259" s="4" t="s">
        <v>7</v>
      </c>
      <c r="CF259" s="4">
        <v>20</v>
      </c>
      <c r="CW259" s="4">
        <v>4.15909090909091</v>
      </c>
      <c r="DO259" s="4">
        <v>3</v>
      </c>
      <c r="DP259" s="4">
        <v>20</v>
      </c>
      <c r="DW259" s="27">
        <v>5.64</v>
      </c>
      <c r="DX259" s="1">
        <v>0.24</v>
      </c>
      <c r="ED259" s="1">
        <v>28.2</v>
      </c>
      <c r="FA259" s="27">
        <v>14.39</v>
      </c>
      <c r="FB259" s="1">
        <v>0.2</v>
      </c>
      <c r="FG259" s="1">
        <f t="shared" si="10"/>
        <v>71.95</v>
      </c>
      <c r="FH259" s="1">
        <v>71.95</v>
      </c>
    </row>
    <row r="260" customHeight="1" spans="1:164">
      <c r="A260" s="28">
        <v>8</v>
      </c>
      <c r="B260" s="4" t="s">
        <v>489</v>
      </c>
      <c r="C260" s="5" t="s">
        <v>498</v>
      </c>
      <c r="D260" s="4" t="s">
        <v>491</v>
      </c>
      <c r="E260" s="4" t="s">
        <v>499</v>
      </c>
      <c r="J260" s="4" t="s">
        <v>500</v>
      </c>
      <c r="N260" s="24" t="s">
        <v>501</v>
      </c>
      <c r="O260" s="4" t="s">
        <v>502</v>
      </c>
      <c r="P260" s="4">
        <v>3</v>
      </c>
      <c r="Z260" s="4">
        <v>0.208</v>
      </c>
      <c r="AB260" s="4" t="s">
        <v>503</v>
      </c>
      <c r="AC260" s="4" t="s">
        <v>492</v>
      </c>
      <c r="AD260" s="4" t="s">
        <v>504</v>
      </c>
      <c r="AE260" s="4" t="s">
        <v>505</v>
      </c>
      <c r="AF260" s="4" t="s">
        <v>506</v>
      </c>
      <c r="BI260" s="4" t="s">
        <v>309</v>
      </c>
      <c r="BN260" s="4">
        <v>1</v>
      </c>
      <c r="BS260" s="4">
        <v>4</v>
      </c>
      <c r="BU260" s="4">
        <v>180</v>
      </c>
      <c r="BV260" s="4">
        <v>1440</v>
      </c>
      <c r="BW260" s="4">
        <v>25</v>
      </c>
      <c r="CB260" s="4" t="s">
        <v>496</v>
      </c>
      <c r="CC260" s="4">
        <v>20</v>
      </c>
      <c r="CE260" s="4" t="s">
        <v>7</v>
      </c>
      <c r="CF260" s="4">
        <v>20</v>
      </c>
      <c r="CW260" s="4">
        <v>5.97727272727272</v>
      </c>
      <c r="DO260" s="4">
        <v>3</v>
      </c>
      <c r="DP260" s="4">
        <v>20</v>
      </c>
      <c r="DW260" s="27">
        <v>6.73</v>
      </c>
      <c r="DX260" s="1">
        <v>0.16</v>
      </c>
      <c r="ED260" s="1">
        <v>33.65</v>
      </c>
      <c r="FA260" s="27">
        <v>14.91</v>
      </c>
      <c r="FB260" s="1">
        <v>0.28</v>
      </c>
      <c r="FG260" s="1">
        <f t="shared" si="10"/>
        <v>74.55</v>
      </c>
      <c r="FH260" s="1">
        <v>74.55</v>
      </c>
    </row>
    <row r="261" customHeight="1" spans="1:164">
      <c r="A261" s="28">
        <v>8</v>
      </c>
      <c r="B261" s="4" t="s">
        <v>489</v>
      </c>
      <c r="C261" s="5" t="s">
        <v>498</v>
      </c>
      <c r="D261" s="4" t="s">
        <v>491</v>
      </c>
      <c r="E261" s="4" t="s">
        <v>499</v>
      </c>
      <c r="J261" s="4" t="s">
        <v>500</v>
      </c>
      <c r="N261" s="24" t="s">
        <v>501</v>
      </c>
      <c r="O261" s="4" t="s">
        <v>502</v>
      </c>
      <c r="P261" s="4">
        <v>3</v>
      </c>
      <c r="Z261" s="4">
        <v>0.208</v>
      </c>
      <c r="AB261" s="4" t="s">
        <v>503</v>
      </c>
      <c r="AC261" s="4" t="s">
        <v>492</v>
      </c>
      <c r="AD261" s="4" t="s">
        <v>504</v>
      </c>
      <c r="AE261" s="4" t="s">
        <v>505</v>
      </c>
      <c r="AF261" s="4" t="s">
        <v>506</v>
      </c>
      <c r="BI261" s="4" t="s">
        <v>309</v>
      </c>
      <c r="BN261" s="4">
        <v>1</v>
      </c>
      <c r="BS261" s="4">
        <v>5</v>
      </c>
      <c r="BU261" s="4">
        <v>180</v>
      </c>
      <c r="BV261" s="4">
        <v>1440</v>
      </c>
      <c r="BW261" s="4">
        <v>25</v>
      </c>
      <c r="CB261" s="4" t="s">
        <v>496</v>
      </c>
      <c r="CC261" s="4">
        <v>20</v>
      </c>
      <c r="CE261" s="4" t="s">
        <v>7</v>
      </c>
      <c r="CF261" s="4">
        <v>20</v>
      </c>
      <c r="CW261" s="4">
        <v>6.09090909090908</v>
      </c>
      <c r="DO261" s="4">
        <v>3</v>
      </c>
      <c r="DP261" s="4">
        <v>20</v>
      </c>
      <c r="DW261" s="27">
        <v>7.05</v>
      </c>
      <c r="DX261" s="1">
        <v>0</v>
      </c>
      <c r="ED261" s="1">
        <v>35.25</v>
      </c>
      <c r="FA261" s="27">
        <v>15.03</v>
      </c>
      <c r="FB261" s="1">
        <v>0.24</v>
      </c>
      <c r="FG261" s="1">
        <f t="shared" si="10"/>
        <v>75.15</v>
      </c>
      <c r="FH261" s="1">
        <v>75.15</v>
      </c>
    </row>
    <row r="262" customHeight="1" spans="1:164">
      <c r="A262" s="28">
        <v>8</v>
      </c>
      <c r="B262" s="4" t="s">
        <v>489</v>
      </c>
      <c r="C262" s="5" t="s">
        <v>498</v>
      </c>
      <c r="D262" s="4" t="s">
        <v>491</v>
      </c>
      <c r="E262" s="4" t="s">
        <v>499</v>
      </c>
      <c r="J262" s="4" t="s">
        <v>500</v>
      </c>
      <c r="N262" s="24" t="s">
        <v>501</v>
      </c>
      <c r="O262" s="4" t="s">
        <v>502</v>
      </c>
      <c r="P262" s="4">
        <v>3</v>
      </c>
      <c r="Z262" s="4">
        <v>0.208</v>
      </c>
      <c r="AB262" s="4" t="s">
        <v>503</v>
      </c>
      <c r="AC262" s="4" t="s">
        <v>492</v>
      </c>
      <c r="AD262" s="4" t="s">
        <v>504</v>
      </c>
      <c r="AE262" s="4" t="s">
        <v>505</v>
      </c>
      <c r="AF262" s="4" t="s">
        <v>506</v>
      </c>
      <c r="BI262" s="4" t="s">
        <v>309</v>
      </c>
      <c r="BN262" s="4">
        <v>1</v>
      </c>
      <c r="BS262" s="4">
        <v>6</v>
      </c>
      <c r="BU262" s="4">
        <v>180</v>
      </c>
      <c r="BV262" s="4">
        <v>1440</v>
      </c>
      <c r="BW262" s="4">
        <v>25</v>
      </c>
      <c r="CB262" s="4" t="s">
        <v>496</v>
      </c>
      <c r="CC262" s="4">
        <v>20</v>
      </c>
      <c r="CE262" s="4" t="s">
        <v>7</v>
      </c>
      <c r="CF262" s="4">
        <v>20</v>
      </c>
      <c r="CW262" s="4">
        <v>6.17929292929292</v>
      </c>
      <c r="DO262" s="4">
        <v>3</v>
      </c>
      <c r="DP262" s="4">
        <v>20</v>
      </c>
      <c r="DW262" s="27">
        <v>6.85</v>
      </c>
      <c r="DX262" s="1">
        <v>0.16</v>
      </c>
      <c r="ED262" s="1">
        <v>34.25</v>
      </c>
      <c r="FA262" s="27">
        <v>14.95</v>
      </c>
      <c r="FB262" s="1">
        <v>0.24</v>
      </c>
      <c r="FG262" s="1">
        <f t="shared" si="10"/>
        <v>74.75</v>
      </c>
      <c r="FH262" s="1">
        <v>74.75</v>
      </c>
    </row>
    <row r="263" customHeight="1" spans="1:164">
      <c r="A263" s="28">
        <v>8</v>
      </c>
      <c r="B263" s="4" t="s">
        <v>489</v>
      </c>
      <c r="C263" s="5" t="s">
        <v>498</v>
      </c>
      <c r="D263" s="4" t="s">
        <v>491</v>
      </c>
      <c r="E263" s="4" t="s">
        <v>499</v>
      </c>
      <c r="J263" s="4" t="s">
        <v>500</v>
      </c>
      <c r="N263" s="24" t="s">
        <v>501</v>
      </c>
      <c r="O263" s="4" t="s">
        <v>502</v>
      </c>
      <c r="P263" s="4">
        <v>3</v>
      </c>
      <c r="Z263" s="4">
        <v>0.208</v>
      </c>
      <c r="AB263" s="4" t="s">
        <v>503</v>
      </c>
      <c r="AC263" s="4" t="s">
        <v>492</v>
      </c>
      <c r="AD263" s="4" t="s">
        <v>504</v>
      </c>
      <c r="AE263" s="4" t="s">
        <v>505</v>
      </c>
      <c r="AF263" s="4" t="s">
        <v>506</v>
      </c>
      <c r="BI263" s="4" t="s">
        <v>309</v>
      </c>
      <c r="BN263" s="4">
        <v>1</v>
      </c>
      <c r="BS263" s="4">
        <v>7</v>
      </c>
      <c r="BU263" s="4">
        <v>180</v>
      </c>
      <c r="BV263" s="4">
        <v>1440</v>
      </c>
      <c r="BW263" s="4">
        <v>25</v>
      </c>
      <c r="CB263" s="4" t="s">
        <v>496</v>
      </c>
      <c r="CC263" s="4">
        <v>20</v>
      </c>
      <c r="CE263" s="4" t="s">
        <v>7</v>
      </c>
      <c r="CF263" s="4">
        <v>20</v>
      </c>
      <c r="CW263" s="4">
        <v>6.29292929292929</v>
      </c>
      <c r="DO263" s="4">
        <v>3</v>
      </c>
      <c r="DP263" s="4">
        <v>20</v>
      </c>
      <c r="DW263" s="27">
        <v>6.73</v>
      </c>
      <c r="DX263" s="1">
        <v>0.08</v>
      </c>
      <c r="ED263" s="1">
        <v>33.65</v>
      </c>
      <c r="FA263" s="27">
        <v>14.79</v>
      </c>
      <c r="FB263" s="1">
        <v>0.12</v>
      </c>
      <c r="FG263" s="1">
        <f t="shared" si="10"/>
        <v>73.95</v>
      </c>
      <c r="FH263" s="1">
        <v>73.95</v>
      </c>
    </row>
    <row r="264" customHeight="1" spans="1:164">
      <c r="A264" s="28">
        <v>8</v>
      </c>
      <c r="B264" s="4" t="s">
        <v>489</v>
      </c>
      <c r="C264" s="5" t="s">
        <v>498</v>
      </c>
      <c r="D264" s="4" t="s">
        <v>491</v>
      </c>
      <c r="E264" s="4" t="s">
        <v>499</v>
      </c>
      <c r="J264" s="4" t="s">
        <v>500</v>
      </c>
      <c r="N264" s="24" t="s">
        <v>501</v>
      </c>
      <c r="O264" s="4" t="s">
        <v>502</v>
      </c>
      <c r="P264" s="4">
        <v>3</v>
      </c>
      <c r="Z264" s="4">
        <v>0.208</v>
      </c>
      <c r="AB264" s="4" t="s">
        <v>503</v>
      </c>
      <c r="AC264" s="4" t="s">
        <v>492</v>
      </c>
      <c r="AD264" s="4" t="s">
        <v>504</v>
      </c>
      <c r="AE264" s="4" t="s">
        <v>505</v>
      </c>
      <c r="AF264" s="4" t="s">
        <v>506</v>
      </c>
      <c r="AI264" s="4" t="s">
        <v>517</v>
      </c>
      <c r="AL264" s="4" t="s">
        <v>518</v>
      </c>
      <c r="AM264" s="4">
        <v>6.85</v>
      </c>
      <c r="AO264" s="4">
        <v>6.91</v>
      </c>
      <c r="AQ264" s="4" t="s">
        <v>519</v>
      </c>
      <c r="AR264" s="4">
        <v>4.49</v>
      </c>
      <c r="AS264" s="4" t="s">
        <v>319</v>
      </c>
      <c r="AT264" s="4">
        <v>0.14</v>
      </c>
      <c r="BD264" s="4" t="s">
        <v>520</v>
      </c>
      <c r="BE264" s="4" t="s">
        <v>521</v>
      </c>
      <c r="BI264" s="4" t="s">
        <v>321</v>
      </c>
      <c r="BL264" s="4">
        <v>1500</v>
      </c>
      <c r="BN264" s="4">
        <v>0</v>
      </c>
      <c r="BS264" s="4">
        <v>5.5</v>
      </c>
      <c r="BV264" s="4" t="s">
        <v>522</v>
      </c>
      <c r="BX264" s="4" t="s">
        <v>523</v>
      </c>
      <c r="BZ264" s="4">
        <v>2</v>
      </c>
      <c r="CB264" s="4" t="s">
        <v>524</v>
      </c>
      <c r="CD264" s="4">
        <v>46.79</v>
      </c>
      <c r="CE264" s="4" t="s">
        <v>525</v>
      </c>
      <c r="CG264" s="4">
        <v>25.25</v>
      </c>
      <c r="CH264" s="4" t="s">
        <v>319</v>
      </c>
      <c r="CJ264" s="4">
        <v>0.68</v>
      </c>
      <c r="CK264" s="4" t="s">
        <v>526</v>
      </c>
      <c r="CM264" s="4">
        <v>0.069</v>
      </c>
      <c r="CW264" s="4">
        <v>5.79</v>
      </c>
      <c r="DO264" s="4">
        <v>3</v>
      </c>
      <c r="DP264" s="4">
        <v>0.069</v>
      </c>
      <c r="DS264" s="27">
        <v>0.0603981264637002</v>
      </c>
      <c r="DT264" s="1">
        <v>0.00197</v>
      </c>
      <c r="ED264" s="1">
        <v>12.4664833859417</v>
      </c>
      <c r="EW264" s="27">
        <v>22.13</v>
      </c>
      <c r="EX264" s="1">
        <v>3.72</v>
      </c>
      <c r="FG264" s="1">
        <f>(CG264-EW264)/CG264*100</f>
        <v>12.3564356435644</v>
      </c>
      <c r="FH264" s="1">
        <v>12.3564356435644</v>
      </c>
    </row>
    <row r="265" customHeight="1" spans="1:164">
      <c r="A265" s="28">
        <v>8</v>
      </c>
      <c r="B265" s="4" t="s">
        <v>489</v>
      </c>
      <c r="C265" s="5" t="s">
        <v>498</v>
      </c>
      <c r="D265" s="4" t="s">
        <v>491</v>
      </c>
      <c r="E265" s="4" t="s">
        <v>499</v>
      </c>
      <c r="J265" s="4" t="s">
        <v>500</v>
      </c>
      <c r="N265" s="24" t="s">
        <v>501</v>
      </c>
      <c r="O265" s="4" t="s">
        <v>502</v>
      </c>
      <c r="P265" s="4">
        <v>3</v>
      </c>
      <c r="Z265" s="4">
        <v>0.208</v>
      </c>
      <c r="AB265" s="4" t="s">
        <v>503</v>
      </c>
      <c r="AC265" s="4" t="s">
        <v>492</v>
      </c>
      <c r="AD265" s="4" t="s">
        <v>504</v>
      </c>
      <c r="AE265" s="4" t="s">
        <v>505</v>
      </c>
      <c r="AF265" s="4" t="s">
        <v>506</v>
      </c>
      <c r="AI265" s="4" t="s">
        <v>517</v>
      </c>
      <c r="AL265" s="4" t="s">
        <v>518</v>
      </c>
      <c r="AM265" s="4">
        <v>6.85</v>
      </c>
      <c r="AO265" s="4">
        <v>6.91</v>
      </c>
      <c r="AQ265" s="4" t="s">
        <v>519</v>
      </c>
      <c r="AR265" s="4">
        <v>4.49</v>
      </c>
      <c r="AS265" s="4" t="s">
        <v>319</v>
      </c>
      <c r="AT265" s="4">
        <v>0.14</v>
      </c>
      <c r="BD265" s="4" t="s">
        <v>520</v>
      </c>
      <c r="BE265" s="4" t="s">
        <v>521</v>
      </c>
      <c r="BI265" s="4" t="s">
        <v>321</v>
      </c>
      <c r="BL265" s="4">
        <v>1500</v>
      </c>
      <c r="BN265" s="4">
        <v>1</v>
      </c>
      <c r="BS265" s="4">
        <v>5.5</v>
      </c>
      <c r="BV265" s="4" t="s">
        <v>522</v>
      </c>
      <c r="BX265" s="4" t="s">
        <v>523</v>
      </c>
      <c r="BZ265" s="4">
        <v>2</v>
      </c>
      <c r="CB265" s="4" t="s">
        <v>524</v>
      </c>
      <c r="CD265" s="4">
        <v>46.79</v>
      </c>
      <c r="CE265" s="4" t="s">
        <v>525</v>
      </c>
      <c r="CG265" s="4">
        <v>25.25</v>
      </c>
      <c r="CH265" s="4" t="s">
        <v>319</v>
      </c>
      <c r="CJ265" s="4">
        <v>0.68</v>
      </c>
      <c r="CK265" s="4" t="s">
        <v>526</v>
      </c>
      <c r="CM265" s="4">
        <v>0.069</v>
      </c>
      <c r="CW265" s="4">
        <v>6.41</v>
      </c>
      <c r="DO265" s="4">
        <v>3</v>
      </c>
      <c r="DP265" s="4">
        <v>0.069</v>
      </c>
      <c r="DQ265" s="27">
        <v>0.0603981264637002</v>
      </c>
      <c r="DR265" s="1">
        <v>0.00197</v>
      </c>
      <c r="DS265" s="27">
        <v>0.0553629976580796</v>
      </c>
      <c r="DT265" s="1">
        <v>0.00164</v>
      </c>
      <c r="ED265" s="1">
        <v>19.7637715100296</v>
      </c>
      <c r="EW265" s="27">
        <v>18.62</v>
      </c>
      <c r="EX265" s="1">
        <v>1.69</v>
      </c>
      <c r="FG265" s="1">
        <f t="shared" ref="FG265:FG279" si="11">(CG265-EW265)/CG265*100</f>
        <v>26.2574257425743</v>
      </c>
      <c r="FH265" s="1">
        <v>26.2574257425743</v>
      </c>
    </row>
    <row r="266" customHeight="1" spans="1:164">
      <c r="A266" s="28">
        <v>8</v>
      </c>
      <c r="B266" s="4" t="s">
        <v>489</v>
      </c>
      <c r="C266" s="5" t="s">
        <v>498</v>
      </c>
      <c r="D266" s="4" t="s">
        <v>491</v>
      </c>
      <c r="E266" s="4" t="s">
        <v>499</v>
      </c>
      <c r="J266" s="4" t="s">
        <v>500</v>
      </c>
      <c r="N266" s="24" t="s">
        <v>501</v>
      </c>
      <c r="O266" s="4" t="s">
        <v>502</v>
      </c>
      <c r="P266" s="4">
        <v>3</v>
      </c>
      <c r="Z266" s="4">
        <v>0.208</v>
      </c>
      <c r="AB266" s="4" t="s">
        <v>503</v>
      </c>
      <c r="AC266" s="4" t="s">
        <v>492</v>
      </c>
      <c r="AD266" s="4" t="s">
        <v>504</v>
      </c>
      <c r="AE266" s="4" t="s">
        <v>505</v>
      </c>
      <c r="AF266" s="4" t="s">
        <v>506</v>
      </c>
      <c r="AI266" s="4" t="s">
        <v>517</v>
      </c>
      <c r="AL266" s="4" t="s">
        <v>518</v>
      </c>
      <c r="AM266" s="4">
        <v>6.85</v>
      </c>
      <c r="AO266" s="4">
        <v>6.91</v>
      </c>
      <c r="AQ266" s="4" t="s">
        <v>519</v>
      </c>
      <c r="AR266" s="4">
        <v>4.49</v>
      </c>
      <c r="AS266" s="4" t="s">
        <v>319</v>
      </c>
      <c r="AT266" s="4">
        <v>0.14</v>
      </c>
      <c r="BD266" s="4" t="s">
        <v>520</v>
      </c>
      <c r="BE266" s="4" t="s">
        <v>521</v>
      </c>
      <c r="BI266" s="4" t="s">
        <v>321</v>
      </c>
      <c r="BL266" s="4">
        <v>1500</v>
      </c>
      <c r="BN266" s="4">
        <v>5</v>
      </c>
      <c r="BS266" s="4">
        <v>5.5</v>
      </c>
      <c r="BV266" s="4" t="s">
        <v>522</v>
      </c>
      <c r="BX266" s="4" t="s">
        <v>523</v>
      </c>
      <c r="BZ266" s="4">
        <v>2</v>
      </c>
      <c r="CB266" s="4" t="s">
        <v>524</v>
      </c>
      <c r="CD266" s="4">
        <v>46.79</v>
      </c>
      <c r="CE266" s="4" t="s">
        <v>525</v>
      </c>
      <c r="CG266" s="4">
        <v>25.25</v>
      </c>
      <c r="CH266" s="4" t="s">
        <v>319</v>
      </c>
      <c r="CJ266" s="4">
        <v>0.68</v>
      </c>
      <c r="CK266" s="4" t="s">
        <v>526</v>
      </c>
      <c r="CM266" s="4">
        <v>0.069</v>
      </c>
      <c r="CW266" s="4">
        <v>6.74</v>
      </c>
      <c r="DO266" s="4">
        <v>3</v>
      </c>
      <c r="DP266" s="4">
        <v>0.069</v>
      </c>
      <c r="DQ266" s="27">
        <v>0.0603981264637002</v>
      </c>
      <c r="DR266" s="1">
        <v>0.00197</v>
      </c>
      <c r="DS266" s="27">
        <v>0.0468149882903981</v>
      </c>
      <c r="DT266" s="1">
        <v>0.00098</v>
      </c>
      <c r="ED266" s="1">
        <v>32.152190883481</v>
      </c>
      <c r="EW266" s="27">
        <v>5.83</v>
      </c>
      <c r="EX266" s="1">
        <v>1.97</v>
      </c>
      <c r="FG266" s="1">
        <f t="shared" si="11"/>
        <v>76.9108910891089</v>
      </c>
      <c r="FH266" s="1">
        <v>76.9108910891089</v>
      </c>
    </row>
    <row r="267" customHeight="1" spans="1:164">
      <c r="A267" s="28">
        <v>8</v>
      </c>
      <c r="B267" s="4" t="s">
        <v>489</v>
      </c>
      <c r="C267" s="5" t="s">
        <v>498</v>
      </c>
      <c r="D267" s="4" t="s">
        <v>491</v>
      </c>
      <c r="E267" s="4" t="s">
        <v>499</v>
      </c>
      <c r="J267" s="4" t="s">
        <v>500</v>
      </c>
      <c r="N267" s="24" t="s">
        <v>501</v>
      </c>
      <c r="O267" s="4" t="s">
        <v>502</v>
      </c>
      <c r="P267" s="4">
        <v>3</v>
      </c>
      <c r="Z267" s="4">
        <v>0.208</v>
      </c>
      <c r="AB267" s="4" t="s">
        <v>503</v>
      </c>
      <c r="AC267" s="4" t="s">
        <v>492</v>
      </c>
      <c r="AD267" s="4" t="s">
        <v>504</v>
      </c>
      <c r="AE267" s="4" t="s">
        <v>505</v>
      </c>
      <c r="AF267" s="4" t="s">
        <v>506</v>
      </c>
      <c r="AI267" s="4" t="s">
        <v>517</v>
      </c>
      <c r="AL267" s="4" t="s">
        <v>518</v>
      </c>
      <c r="AM267" s="4">
        <v>6.85</v>
      </c>
      <c r="AO267" s="4">
        <v>6.91</v>
      </c>
      <c r="AQ267" s="4" t="s">
        <v>519</v>
      </c>
      <c r="AR267" s="4">
        <v>4.49</v>
      </c>
      <c r="AS267" s="4" t="s">
        <v>319</v>
      </c>
      <c r="AT267" s="4">
        <v>0.14</v>
      </c>
      <c r="BD267" s="4" t="s">
        <v>520</v>
      </c>
      <c r="BE267" s="4" t="s">
        <v>521</v>
      </c>
      <c r="BI267" s="4" t="s">
        <v>321</v>
      </c>
      <c r="BL267" s="4">
        <v>1500</v>
      </c>
      <c r="BN267" s="4">
        <v>10</v>
      </c>
      <c r="BS267" s="4">
        <v>5.5</v>
      </c>
      <c r="BV267" s="4" t="s">
        <v>522</v>
      </c>
      <c r="BX267" s="4" t="s">
        <v>523</v>
      </c>
      <c r="BZ267" s="4">
        <v>2</v>
      </c>
      <c r="CB267" s="4" t="s">
        <v>524</v>
      </c>
      <c r="CD267" s="4">
        <v>46.79</v>
      </c>
      <c r="CE267" s="4" t="s">
        <v>525</v>
      </c>
      <c r="CG267" s="4">
        <v>25.25</v>
      </c>
      <c r="CH267" s="4" t="s">
        <v>319</v>
      </c>
      <c r="CJ267" s="4">
        <v>0.68</v>
      </c>
      <c r="CK267" s="4" t="s">
        <v>526</v>
      </c>
      <c r="CM267" s="4">
        <v>0.069</v>
      </c>
      <c r="CW267" s="4">
        <v>7.12</v>
      </c>
      <c r="DO267" s="4">
        <v>3</v>
      </c>
      <c r="DP267" s="4">
        <v>0.069</v>
      </c>
      <c r="DQ267" s="27">
        <v>0.0603981264637002</v>
      </c>
      <c r="DR267" s="1">
        <v>0.00197</v>
      </c>
      <c r="DS267" s="27">
        <v>0.0389695550351288</v>
      </c>
      <c r="DT267" s="1">
        <v>0.00328</v>
      </c>
      <c r="ED267" s="1">
        <v>43.5223840070597</v>
      </c>
      <c r="EW267" s="27">
        <v>5.2</v>
      </c>
      <c r="EX267" s="1">
        <v>2.25</v>
      </c>
      <c r="FG267" s="1">
        <f t="shared" si="11"/>
        <v>79.4059405940594</v>
      </c>
      <c r="FH267" s="1">
        <v>79.4059405940594</v>
      </c>
    </row>
    <row r="268" customHeight="1" spans="1:164">
      <c r="A268" s="28">
        <v>8</v>
      </c>
      <c r="B268" s="4" t="s">
        <v>489</v>
      </c>
      <c r="C268" s="5" t="s">
        <v>498</v>
      </c>
      <c r="D268" s="4" t="s">
        <v>491</v>
      </c>
      <c r="E268" s="4" t="s">
        <v>499</v>
      </c>
      <c r="J268" s="4" t="s">
        <v>500</v>
      </c>
      <c r="N268" s="24" t="s">
        <v>501</v>
      </c>
      <c r="O268" s="4" t="s">
        <v>502</v>
      </c>
      <c r="P268" s="4">
        <v>3</v>
      </c>
      <c r="Z268" s="4">
        <v>0.208</v>
      </c>
      <c r="AB268" s="4" t="s">
        <v>503</v>
      </c>
      <c r="AC268" s="4" t="s">
        <v>492</v>
      </c>
      <c r="AD268" s="4" t="s">
        <v>504</v>
      </c>
      <c r="AE268" s="4" t="s">
        <v>505</v>
      </c>
      <c r="AF268" s="4" t="s">
        <v>506</v>
      </c>
      <c r="AI268" s="4" t="s">
        <v>517</v>
      </c>
      <c r="AL268" s="4" t="s">
        <v>518</v>
      </c>
      <c r="AM268" s="4">
        <v>6.85</v>
      </c>
      <c r="AO268" s="4">
        <v>6.91</v>
      </c>
      <c r="AQ268" s="4" t="s">
        <v>519</v>
      </c>
      <c r="AR268" s="4">
        <v>4.49</v>
      </c>
      <c r="AS268" s="4" t="s">
        <v>319</v>
      </c>
      <c r="AT268" s="4">
        <v>0.14</v>
      </c>
      <c r="BD268" s="4" t="s">
        <v>520</v>
      </c>
      <c r="BE268" s="4" t="s">
        <v>521</v>
      </c>
      <c r="BI268" s="4" t="s">
        <v>321</v>
      </c>
      <c r="BL268" s="4">
        <v>1500</v>
      </c>
      <c r="BN268" s="4">
        <v>0</v>
      </c>
      <c r="BS268" s="4">
        <v>7.5</v>
      </c>
      <c r="BV268" s="4" t="s">
        <v>522</v>
      </c>
      <c r="BX268" s="4" t="s">
        <v>523</v>
      </c>
      <c r="BZ268" s="4">
        <v>2</v>
      </c>
      <c r="CB268" s="4" t="s">
        <v>524</v>
      </c>
      <c r="CD268" s="4">
        <v>46.79</v>
      </c>
      <c r="CE268" s="4" t="s">
        <v>525</v>
      </c>
      <c r="CG268" s="4">
        <v>25.25</v>
      </c>
      <c r="CH268" s="4" t="s">
        <v>319</v>
      </c>
      <c r="CJ268" s="4">
        <v>0.68</v>
      </c>
      <c r="CK268" s="4" t="s">
        <v>526</v>
      </c>
      <c r="CM268" s="4">
        <v>0.069</v>
      </c>
      <c r="CW268" s="4">
        <v>5.81</v>
      </c>
      <c r="DO268" s="4">
        <v>3</v>
      </c>
      <c r="DP268" s="4">
        <v>0.069</v>
      </c>
      <c r="DS268" s="27">
        <v>0.0625058548009367</v>
      </c>
      <c r="DT268" s="1">
        <v>0.00443</v>
      </c>
      <c r="ED268" s="1">
        <v>9.41180463632362</v>
      </c>
      <c r="EW268" s="27">
        <v>22.34</v>
      </c>
      <c r="EX268" s="1">
        <v>1.83</v>
      </c>
      <c r="FG268" s="1">
        <f t="shared" si="11"/>
        <v>11.5247524752475</v>
      </c>
      <c r="FH268" s="1">
        <v>11.5247524752475</v>
      </c>
    </row>
    <row r="269" customHeight="1" spans="1:164">
      <c r="A269" s="28">
        <v>8</v>
      </c>
      <c r="B269" s="4" t="s">
        <v>489</v>
      </c>
      <c r="C269" s="5" t="s">
        <v>498</v>
      </c>
      <c r="D269" s="4" t="s">
        <v>491</v>
      </c>
      <c r="E269" s="4" t="s">
        <v>499</v>
      </c>
      <c r="J269" s="4" t="s">
        <v>500</v>
      </c>
      <c r="N269" s="24" t="s">
        <v>501</v>
      </c>
      <c r="O269" s="4" t="s">
        <v>502</v>
      </c>
      <c r="P269" s="4">
        <v>3</v>
      </c>
      <c r="Z269" s="4">
        <v>0.208</v>
      </c>
      <c r="AB269" s="4" t="s">
        <v>503</v>
      </c>
      <c r="AC269" s="4" t="s">
        <v>492</v>
      </c>
      <c r="AD269" s="4" t="s">
        <v>504</v>
      </c>
      <c r="AE269" s="4" t="s">
        <v>505</v>
      </c>
      <c r="AF269" s="4" t="s">
        <v>506</v>
      </c>
      <c r="AI269" s="4" t="s">
        <v>517</v>
      </c>
      <c r="AL269" s="4" t="s">
        <v>518</v>
      </c>
      <c r="AM269" s="4">
        <v>6.85</v>
      </c>
      <c r="AO269" s="4">
        <v>6.91</v>
      </c>
      <c r="AQ269" s="4" t="s">
        <v>519</v>
      </c>
      <c r="AR269" s="4">
        <v>4.49</v>
      </c>
      <c r="AS269" s="4" t="s">
        <v>319</v>
      </c>
      <c r="AT269" s="4">
        <v>0.14</v>
      </c>
      <c r="BD269" s="4" t="s">
        <v>520</v>
      </c>
      <c r="BE269" s="4" t="s">
        <v>521</v>
      </c>
      <c r="BI269" s="4" t="s">
        <v>321</v>
      </c>
      <c r="BL269" s="4">
        <v>1500</v>
      </c>
      <c r="BN269" s="4">
        <v>1</v>
      </c>
      <c r="BS269" s="4">
        <v>7.5</v>
      </c>
      <c r="BV269" s="4" t="s">
        <v>522</v>
      </c>
      <c r="BX269" s="4" t="s">
        <v>523</v>
      </c>
      <c r="BZ269" s="4">
        <v>2</v>
      </c>
      <c r="CB269" s="4" t="s">
        <v>524</v>
      </c>
      <c r="CD269" s="4">
        <v>46.79</v>
      </c>
      <c r="CE269" s="4" t="s">
        <v>525</v>
      </c>
      <c r="CG269" s="4">
        <v>25.25</v>
      </c>
      <c r="CH269" s="4" t="s">
        <v>319</v>
      </c>
      <c r="CJ269" s="4">
        <v>0.68</v>
      </c>
      <c r="CK269" s="4" t="s">
        <v>526</v>
      </c>
      <c r="CM269" s="4">
        <v>0.069</v>
      </c>
      <c r="CW269" s="4">
        <v>6.53</v>
      </c>
      <c r="DO269" s="4">
        <v>3</v>
      </c>
      <c r="DP269" s="4">
        <v>0.069</v>
      </c>
      <c r="DQ269" s="27">
        <v>0.0625058548009367</v>
      </c>
      <c r="DR269" s="1">
        <v>0.00443</v>
      </c>
      <c r="DS269" s="27">
        <v>0.0566510538641686</v>
      </c>
      <c r="DT269" s="1">
        <v>0.00115</v>
      </c>
      <c r="ED269" s="1">
        <v>17.8970233852629</v>
      </c>
      <c r="EW269" s="27">
        <v>16.72</v>
      </c>
      <c r="EX269" s="1">
        <v>0</v>
      </c>
      <c r="FG269" s="1">
        <f t="shared" si="11"/>
        <v>33.7821782178218</v>
      </c>
      <c r="FH269" s="1">
        <v>33.7821782178218</v>
      </c>
    </row>
    <row r="270" customHeight="1" spans="1:164">
      <c r="A270" s="28">
        <v>8</v>
      </c>
      <c r="B270" s="4" t="s">
        <v>489</v>
      </c>
      <c r="C270" s="5" t="s">
        <v>498</v>
      </c>
      <c r="D270" s="4" t="s">
        <v>491</v>
      </c>
      <c r="E270" s="4" t="s">
        <v>499</v>
      </c>
      <c r="J270" s="4" t="s">
        <v>500</v>
      </c>
      <c r="N270" s="24" t="s">
        <v>501</v>
      </c>
      <c r="O270" s="4" t="s">
        <v>502</v>
      </c>
      <c r="P270" s="4">
        <v>3</v>
      </c>
      <c r="Z270" s="4">
        <v>0.208</v>
      </c>
      <c r="AB270" s="4" t="s">
        <v>503</v>
      </c>
      <c r="AC270" s="4" t="s">
        <v>492</v>
      </c>
      <c r="AD270" s="4" t="s">
        <v>504</v>
      </c>
      <c r="AE270" s="4" t="s">
        <v>505</v>
      </c>
      <c r="AF270" s="4" t="s">
        <v>506</v>
      </c>
      <c r="AI270" s="4" t="s">
        <v>517</v>
      </c>
      <c r="AL270" s="4" t="s">
        <v>518</v>
      </c>
      <c r="AM270" s="4">
        <v>6.85</v>
      </c>
      <c r="AO270" s="4">
        <v>6.91</v>
      </c>
      <c r="AQ270" s="4" t="s">
        <v>519</v>
      </c>
      <c r="AR270" s="4">
        <v>4.49</v>
      </c>
      <c r="AS270" s="4" t="s">
        <v>319</v>
      </c>
      <c r="AT270" s="4">
        <v>0.14</v>
      </c>
      <c r="BD270" s="4" t="s">
        <v>520</v>
      </c>
      <c r="BE270" s="4" t="s">
        <v>521</v>
      </c>
      <c r="BI270" s="4" t="s">
        <v>321</v>
      </c>
      <c r="BL270" s="4">
        <v>1500</v>
      </c>
      <c r="BN270" s="4">
        <v>5</v>
      </c>
      <c r="BS270" s="4">
        <v>7.5</v>
      </c>
      <c r="BV270" s="4" t="s">
        <v>522</v>
      </c>
      <c r="BX270" s="4" t="s">
        <v>523</v>
      </c>
      <c r="BZ270" s="4">
        <v>2</v>
      </c>
      <c r="CB270" s="4" t="s">
        <v>524</v>
      </c>
      <c r="CD270" s="4">
        <v>46.79</v>
      </c>
      <c r="CE270" s="4" t="s">
        <v>525</v>
      </c>
      <c r="CG270" s="4">
        <v>25.25</v>
      </c>
      <c r="CH270" s="4" t="s">
        <v>319</v>
      </c>
      <c r="CJ270" s="4">
        <v>0.68</v>
      </c>
      <c r="CK270" s="4" t="s">
        <v>526</v>
      </c>
      <c r="CM270" s="4">
        <v>0.069</v>
      </c>
      <c r="CW270" s="4">
        <v>6.79</v>
      </c>
      <c r="DO270" s="4">
        <v>3</v>
      </c>
      <c r="DP270" s="4">
        <v>0.069</v>
      </c>
      <c r="DQ270" s="27">
        <v>0.0625058548009367</v>
      </c>
      <c r="DR270" s="1">
        <v>0.00443</v>
      </c>
      <c r="DS270" s="27">
        <v>0.0455269320843091</v>
      </c>
      <c r="DT270" s="1">
        <v>0.00213</v>
      </c>
      <c r="ED270" s="1">
        <v>34.0189390082477</v>
      </c>
      <c r="EW270" s="27">
        <v>9.56</v>
      </c>
      <c r="EX270" s="1">
        <v>1.62</v>
      </c>
      <c r="FG270" s="1">
        <f t="shared" si="11"/>
        <v>62.1386138613861</v>
      </c>
      <c r="FH270" s="1">
        <v>62.1386138613861</v>
      </c>
    </row>
    <row r="271" customHeight="1" spans="1:164">
      <c r="A271" s="28">
        <v>8</v>
      </c>
      <c r="B271" s="4" t="s">
        <v>489</v>
      </c>
      <c r="C271" s="5" t="s">
        <v>498</v>
      </c>
      <c r="D271" s="4" t="s">
        <v>491</v>
      </c>
      <c r="E271" s="4" t="s">
        <v>499</v>
      </c>
      <c r="J271" s="4" t="s">
        <v>500</v>
      </c>
      <c r="N271" s="24" t="s">
        <v>501</v>
      </c>
      <c r="O271" s="4" t="s">
        <v>502</v>
      </c>
      <c r="P271" s="4">
        <v>3</v>
      </c>
      <c r="Z271" s="4">
        <v>0.208</v>
      </c>
      <c r="AB271" s="4" t="s">
        <v>503</v>
      </c>
      <c r="AC271" s="4" t="s">
        <v>492</v>
      </c>
      <c r="AD271" s="4" t="s">
        <v>504</v>
      </c>
      <c r="AE271" s="4" t="s">
        <v>505</v>
      </c>
      <c r="AF271" s="4" t="s">
        <v>506</v>
      </c>
      <c r="AI271" s="4" t="s">
        <v>517</v>
      </c>
      <c r="AL271" s="4" t="s">
        <v>518</v>
      </c>
      <c r="AM271" s="4">
        <v>6.85</v>
      </c>
      <c r="AO271" s="4">
        <v>6.91</v>
      </c>
      <c r="AQ271" s="4" t="s">
        <v>519</v>
      </c>
      <c r="AR271" s="4">
        <v>4.49</v>
      </c>
      <c r="AS271" s="4" t="s">
        <v>319</v>
      </c>
      <c r="AT271" s="4">
        <v>0.14</v>
      </c>
      <c r="BD271" s="4" t="s">
        <v>520</v>
      </c>
      <c r="BE271" s="4" t="s">
        <v>521</v>
      </c>
      <c r="BI271" s="4" t="s">
        <v>321</v>
      </c>
      <c r="BL271" s="4">
        <v>1500</v>
      </c>
      <c r="BN271" s="4">
        <v>10</v>
      </c>
      <c r="BS271" s="4">
        <v>7.5</v>
      </c>
      <c r="BV271" s="4" t="s">
        <v>522</v>
      </c>
      <c r="BX271" s="4" t="s">
        <v>523</v>
      </c>
      <c r="BZ271" s="4">
        <v>2</v>
      </c>
      <c r="CB271" s="4" t="s">
        <v>524</v>
      </c>
      <c r="CD271" s="4">
        <v>46.79</v>
      </c>
      <c r="CE271" s="4" t="s">
        <v>525</v>
      </c>
      <c r="CG271" s="4">
        <v>25.25</v>
      </c>
      <c r="CH271" s="4" t="s">
        <v>319</v>
      </c>
      <c r="CJ271" s="4">
        <v>0.68</v>
      </c>
      <c r="CK271" s="4" t="s">
        <v>526</v>
      </c>
      <c r="CM271" s="4">
        <v>0.069</v>
      </c>
      <c r="CW271" s="4">
        <v>7.18</v>
      </c>
      <c r="DO271" s="4">
        <v>3</v>
      </c>
      <c r="DP271" s="4">
        <v>0.069</v>
      </c>
      <c r="DQ271" s="27">
        <v>0.0625058548009367</v>
      </c>
      <c r="DR271" s="1">
        <v>0.00443</v>
      </c>
      <c r="DS271" s="27">
        <v>0.0376814988290398</v>
      </c>
      <c r="DT271" s="1">
        <v>0.01686</v>
      </c>
      <c r="ED271" s="1">
        <v>45.3891321318264</v>
      </c>
      <c r="EW271" s="27">
        <v>8.29</v>
      </c>
      <c r="EX271" s="1">
        <v>1.9</v>
      </c>
      <c r="FG271" s="1">
        <f t="shared" si="11"/>
        <v>67.1683168316832</v>
      </c>
      <c r="FH271" s="1">
        <v>67.1683168316832</v>
      </c>
    </row>
    <row r="272" customHeight="1" spans="1:164">
      <c r="A272" s="28">
        <v>8</v>
      </c>
      <c r="B272" s="4" t="s">
        <v>489</v>
      </c>
      <c r="C272" s="5" t="s">
        <v>498</v>
      </c>
      <c r="D272" s="4" t="s">
        <v>491</v>
      </c>
      <c r="E272" s="4" t="s">
        <v>499</v>
      </c>
      <c r="J272" s="4" t="s">
        <v>500</v>
      </c>
      <c r="N272" s="24" t="s">
        <v>501</v>
      </c>
      <c r="O272" s="4" t="s">
        <v>502</v>
      </c>
      <c r="P272" s="4">
        <v>3</v>
      </c>
      <c r="Z272" s="4">
        <v>0.208</v>
      </c>
      <c r="AB272" s="4" t="s">
        <v>503</v>
      </c>
      <c r="AC272" s="4" t="s">
        <v>492</v>
      </c>
      <c r="AD272" s="4" t="s">
        <v>504</v>
      </c>
      <c r="AE272" s="4" t="s">
        <v>505</v>
      </c>
      <c r="AF272" s="4" t="s">
        <v>506</v>
      </c>
      <c r="AI272" s="4" t="s">
        <v>517</v>
      </c>
      <c r="AL272" s="4" t="s">
        <v>518</v>
      </c>
      <c r="AM272" s="4">
        <v>6.85</v>
      </c>
      <c r="AO272" s="4">
        <v>6.91</v>
      </c>
      <c r="AQ272" s="4" t="s">
        <v>519</v>
      </c>
      <c r="AR272" s="4">
        <v>4.49</v>
      </c>
      <c r="AS272" s="4" t="s">
        <v>319</v>
      </c>
      <c r="AT272" s="4">
        <v>0.14</v>
      </c>
      <c r="BD272" s="4" t="s">
        <v>520</v>
      </c>
      <c r="BE272" s="4" t="s">
        <v>521</v>
      </c>
      <c r="BI272" s="4" t="s">
        <v>321</v>
      </c>
      <c r="BL272" s="4">
        <v>1500</v>
      </c>
      <c r="BN272" s="4">
        <v>0</v>
      </c>
      <c r="BS272" s="4">
        <v>5.5</v>
      </c>
      <c r="BV272" s="4" t="s">
        <v>522</v>
      </c>
      <c r="BX272" s="4" t="s">
        <v>523</v>
      </c>
      <c r="BZ272" s="4">
        <v>2</v>
      </c>
      <c r="CB272" s="4" t="s">
        <v>524</v>
      </c>
      <c r="CD272" s="4">
        <v>173.7</v>
      </c>
      <c r="CE272" s="4" t="s">
        <v>525</v>
      </c>
      <c r="CG272" s="4">
        <v>88.63</v>
      </c>
      <c r="CH272" s="4" t="s">
        <v>319</v>
      </c>
      <c r="CJ272" s="4">
        <v>2.3</v>
      </c>
      <c r="CK272" s="4" t="s">
        <v>526</v>
      </c>
      <c r="CM272" s="4">
        <v>0.684</v>
      </c>
      <c r="CW272" s="4">
        <v>7.65</v>
      </c>
      <c r="DO272" s="4">
        <v>3</v>
      </c>
      <c r="DP272" s="4">
        <v>0.684</v>
      </c>
      <c r="DS272" s="27">
        <v>0.678220140515222</v>
      </c>
      <c r="DT272" s="1">
        <v>0.02436</v>
      </c>
      <c r="ED272" s="1">
        <v>0.845008696604986</v>
      </c>
      <c r="EW272" s="27">
        <v>65.76</v>
      </c>
      <c r="EX272" s="1">
        <v>5.48</v>
      </c>
      <c r="FG272" s="1">
        <f t="shared" si="11"/>
        <v>25.8039038700214</v>
      </c>
      <c r="FH272" s="1">
        <v>25.8039038700214</v>
      </c>
    </row>
    <row r="273" customHeight="1" spans="1:164">
      <c r="A273" s="28">
        <v>8</v>
      </c>
      <c r="B273" s="4" t="s">
        <v>489</v>
      </c>
      <c r="C273" s="5" t="s">
        <v>498</v>
      </c>
      <c r="D273" s="4" t="s">
        <v>491</v>
      </c>
      <c r="E273" s="4" t="s">
        <v>499</v>
      </c>
      <c r="J273" s="4" t="s">
        <v>500</v>
      </c>
      <c r="N273" s="24" t="s">
        <v>501</v>
      </c>
      <c r="O273" s="4" t="s">
        <v>502</v>
      </c>
      <c r="P273" s="4">
        <v>3</v>
      </c>
      <c r="Z273" s="4">
        <v>0.208</v>
      </c>
      <c r="AB273" s="4" t="s">
        <v>503</v>
      </c>
      <c r="AC273" s="4" t="s">
        <v>492</v>
      </c>
      <c r="AD273" s="4" t="s">
        <v>504</v>
      </c>
      <c r="AE273" s="4" t="s">
        <v>505</v>
      </c>
      <c r="AF273" s="4" t="s">
        <v>506</v>
      </c>
      <c r="AI273" s="4" t="s">
        <v>517</v>
      </c>
      <c r="AL273" s="4" t="s">
        <v>518</v>
      </c>
      <c r="AM273" s="4">
        <v>6.85</v>
      </c>
      <c r="AO273" s="4">
        <v>6.91</v>
      </c>
      <c r="AQ273" s="4" t="s">
        <v>519</v>
      </c>
      <c r="AR273" s="4">
        <v>4.49</v>
      </c>
      <c r="AS273" s="4" t="s">
        <v>319</v>
      </c>
      <c r="AT273" s="4">
        <v>0.14</v>
      </c>
      <c r="BD273" s="4" t="s">
        <v>520</v>
      </c>
      <c r="BE273" s="4" t="s">
        <v>521</v>
      </c>
      <c r="BI273" s="4" t="s">
        <v>321</v>
      </c>
      <c r="BL273" s="4">
        <v>1500</v>
      </c>
      <c r="BN273" s="4">
        <v>1</v>
      </c>
      <c r="BS273" s="4">
        <v>5.5</v>
      </c>
      <c r="BV273" s="4" t="s">
        <v>522</v>
      </c>
      <c r="BX273" s="4" t="s">
        <v>523</v>
      </c>
      <c r="BZ273" s="4">
        <v>2</v>
      </c>
      <c r="CB273" s="4" t="s">
        <v>524</v>
      </c>
      <c r="CD273" s="4">
        <v>173.7</v>
      </c>
      <c r="CE273" s="4" t="s">
        <v>525</v>
      </c>
      <c r="CG273" s="4">
        <v>88.63</v>
      </c>
      <c r="CH273" s="4" t="s">
        <v>319</v>
      </c>
      <c r="CJ273" s="4">
        <v>2.3</v>
      </c>
      <c r="CK273" s="4" t="s">
        <v>526</v>
      </c>
      <c r="CM273" s="4">
        <v>0.684</v>
      </c>
      <c r="CW273" s="4">
        <v>7.78</v>
      </c>
      <c r="DO273" s="4">
        <v>3</v>
      </c>
      <c r="DP273" s="4">
        <v>0.684</v>
      </c>
      <c r="DQ273" s="27">
        <v>0.678220140515222</v>
      </c>
      <c r="DR273" s="1">
        <v>0.02436</v>
      </c>
      <c r="DS273" s="27">
        <v>0.571428571428571</v>
      </c>
      <c r="DT273" s="1">
        <v>0.01499</v>
      </c>
      <c r="ED273" s="1">
        <v>16.4578111946534</v>
      </c>
      <c r="EW273" s="27">
        <v>55.22</v>
      </c>
      <c r="EX273" s="1">
        <v>5.06</v>
      </c>
      <c r="FG273" s="1">
        <f t="shared" si="11"/>
        <v>37.6960397156719</v>
      </c>
      <c r="FH273" s="1">
        <v>37.6960397156719</v>
      </c>
    </row>
    <row r="274" customHeight="1" spans="1:164">
      <c r="A274" s="28">
        <v>8</v>
      </c>
      <c r="B274" s="4" t="s">
        <v>489</v>
      </c>
      <c r="C274" s="5" t="s">
        <v>498</v>
      </c>
      <c r="D274" s="4" t="s">
        <v>491</v>
      </c>
      <c r="E274" s="4" t="s">
        <v>499</v>
      </c>
      <c r="J274" s="4" t="s">
        <v>500</v>
      </c>
      <c r="N274" s="24" t="s">
        <v>501</v>
      </c>
      <c r="O274" s="4" t="s">
        <v>502</v>
      </c>
      <c r="P274" s="4">
        <v>3</v>
      </c>
      <c r="Z274" s="4">
        <v>0.208</v>
      </c>
      <c r="AB274" s="4" t="s">
        <v>503</v>
      </c>
      <c r="AC274" s="4" t="s">
        <v>492</v>
      </c>
      <c r="AD274" s="4" t="s">
        <v>504</v>
      </c>
      <c r="AE274" s="4" t="s">
        <v>505</v>
      </c>
      <c r="AF274" s="4" t="s">
        <v>506</v>
      </c>
      <c r="AI274" s="4" t="s">
        <v>517</v>
      </c>
      <c r="AL274" s="4" t="s">
        <v>518</v>
      </c>
      <c r="AM274" s="4">
        <v>6.85</v>
      </c>
      <c r="AO274" s="4">
        <v>6.91</v>
      </c>
      <c r="AQ274" s="4" t="s">
        <v>519</v>
      </c>
      <c r="AR274" s="4">
        <v>4.49</v>
      </c>
      <c r="AS274" s="4" t="s">
        <v>319</v>
      </c>
      <c r="AT274" s="4">
        <v>0.14</v>
      </c>
      <c r="BD274" s="4" t="s">
        <v>520</v>
      </c>
      <c r="BE274" s="4" t="s">
        <v>521</v>
      </c>
      <c r="BI274" s="4" t="s">
        <v>321</v>
      </c>
      <c r="BL274" s="4">
        <v>1500</v>
      </c>
      <c r="BN274" s="4">
        <v>5</v>
      </c>
      <c r="BS274" s="4">
        <v>5.5</v>
      </c>
      <c r="BV274" s="4" t="s">
        <v>522</v>
      </c>
      <c r="BX274" s="4" t="s">
        <v>523</v>
      </c>
      <c r="BZ274" s="4">
        <v>2</v>
      </c>
      <c r="CB274" s="4" t="s">
        <v>524</v>
      </c>
      <c r="CD274" s="4">
        <v>173.7</v>
      </c>
      <c r="CE274" s="4" t="s">
        <v>525</v>
      </c>
      <c r="CG274" s="4">
        <v>88.63</v>
      </c>
      <c r="CH274" s="4" t="s">
        <v>319</v>
      </c>
      <c r="CJ274" s="4">
        <v>2.3</v>
      </c>
      <c r="CK274" s="4" t="s">
        <v>526</v>
      </c>
      <c r="CM274" s="4">
        <v>0.684</v>
      </c>
      <c r="CW274" s="4">
        <v>7.92</v>
      </c>
      <c r="DO274" s="4">
        <v>3</v>
      </c>
      <c r="DP274" s="4">
        <v>0.684</v>
      </c>
      <c r="DQ274" s="27">
        <v>0.678220140515222</v>
      </c>
      <c r="DR274" s="1">
        <v>0.02436</v>
      </c>
      <c r="DS274" s="27">
        <v>0.346604215456674</v>
      </c>
      <c r="DT274" s="1">
        <v>0.01311</v>
      </c>
      <c r="ED274" s="1">
        <v>49.3268690852816</v>
      </c>
      <c r="EW274" s="27">
        <v>37.94</v>
      </c>
      <c r="EX274" s="1">
        <v>6.96</v>
      </c>
      <c r="FG274" s="1">
        <f t="shared" si="11"/>
        <v>57.1928241001918</v>
      </c>
      <c r="FH274" s="1">
        <v>57.1928241001918</v>
      </c>
    </row>
    <row r="275" customHeight="1" spans="1:164">
      <c r="A275" s="28">
        <v>8</v>
      </c>
      <c r="B275" s="4" t="s">
        <v>489</v>
      </c>
      <c r="C275" s="5" t="s">
        <v>498</v>
      </c>
      <c r="D275" s="4" t="s">
        <v>491</v>
      </c>
      <c r="E275" s="4" t="s">
        <v>499</v>
      </c>
      <c r="J275" s="4" t="s">
        <v>500</v>
      </c>
      <c r="N275" s="24" t="s">
        <v>501</v>
      </c>
      <c r="O275" s="4" t="s">
        <v>502</v>
      </c>
      <c r="P275" s="4">
        <v>3</v>
      </c>
      <c r="Z275" s="4">
        <v>0.208</v>
      </c>
      <c r="AB275" s="4" t="s">
        <v>503</v>
      </c>
      <c r="AC275" s="4" t="s">
        <v>492</v>
      </c>
      <c r="AD275" s="4" t="s">
        <v>504</v>
      </c>
      <c r="AE275" s="4" t="s">
        <v>505</v>
      </c>
      <c r="AF275" s="4" t="s">
        <v>506</v>
      </c>
      <c r="AI275" s="4" t="s">
        <v>517</v>
      </c>
      <c r="AL275" s="4" t="s">
        <v>518</v>
      </c>
      <c r="AM275" s="4">
        <v>6.85</v>
      </c>
      <c r="AO275" s="4">
        <v>6.91</v>
      </c>
      <c r="AQ275" s="4" t="s">
        <v>519</v>
      </c>
      <c r="AR275" s="4">
        <v>4.49</v>
      </c>
      <c r="AS275" s="4" t="s">
        <v>319</v>
      </c>
      <c r="AT275" s="4">
        <v>0.14</v>
      </c>
      <c r="BD275" s="4" t="s">
        <v>520</v>
      </c>
      <c r="BE275" s="4" t="s">
        <v>521</v>
      </c>
      <c r="BI275" s="4" t="s">
        <v>321</v>
      </c>
      <c r="BL275" s="4">
        <v>1500</v>
      </c>
      <c r="BN275" s="4">
        <v>10</v>
      </c>
      <c r="BS275" s="4">
        <v>5.5</v>
      </c>
      <c r="BV275" s="4" t="s">
        <v>522</v>
      </c>
      <c r="BX275" s="4" t="s">
        <v>523</v>
      </c>
      <c r="BZ275" s="4">
        <v>2</v>
      </c>
      <c r="CB275" s="4" t="s">
        <v>524</v>
      </c>
      <c r="CD275" s="4">
        <v>173.7</v>
      </c>
      <c r="CE275" s="4" t="s">
        <v>525</v>
      </c>
      <c r="CG275" s="4">
        <v>88.63</v>
      </c>
      <c r="CH275" s="4" t="s">
        <v>319</v>
      </c>
      <c r="CJ275" s="4">
        <v>2.3</v>
      </c>
      <c r="CK275" s="4" t="s">
        <v>526</v>
      </c>
      <c r="CM275" s="4">
        <v>0.684</v>
      </c>
      <c r="CW275" s="4">
        <v>8.15</v>
      </c>
      <c r="DO275" s="4">
        <v>3</v>
      </c>
      <c r="DP275" s="4">
        <v>0.684</v>
      </c>
      <c r="DQ275" s="27">
        <v>0.678220140515222</v>
      </c>
      <c r="DR275" s="1">
        <v>0.02436</v>
      </c>
      <c r="DS275" s="27">
        <v>0.281030444964871</v>
      </c>
      <c r="DT275" s="1">
        <v>0.02623</v>
      </c>
      <c r="ED275" s="1">
        <v>58.9136776367148</v>
      </c>
      <c r="EW275" s="27">
        <v>35.41</v>
      </c>
      <c r="EX275" s="1">
        <v>4.64</v>
      </c>
      <c r="FG275" s="1">
        <f t="shared" si="11"/>
        <v>60.0473880176013</v>
      </c>
      <c r="FH275" s="1">
        <v>60.0473880176013</v>
      </c>
    </row>
    <row r="276" customHeight="1" spans="1:164">
      <c r="A276" s="28">
        <v>8</v>
      </c>
      <c r="B276" s="4" t="s">
        <v>489</v>
      </c>
      <c r="C276" s="5" t="s">
        <v>498</v>
      </c>
      <c r="D276" s="4" t="s">
        <v>491</v>
      </c>
      <c r="E276" s="4" t="s">
        <v>499</v>
      </c>
      <c r="J276" s="4" t="s">
        <v>500</v>
      </c>
      <c r="N276" s="24" t="s">
        <v>501</v>
      </c>
      <c r="O276" s="4" t="s">
        <v>502</v>
      </c>
      <c r="P276" s="4">
        <v>3</v>
      </c>
      <c r="Z276" s="4">
        <v>0.208</v>
      </c>
      <c r="AB276" s="4" t="s">
        <v>503</v>
      </c>
      <c r="AC276" s="4" t="s">
        <v>492</v>
      </c>
      <c r="AD276" s="4" t="s">
        <v>504</v>
      </c>
      <c r="AE276" s="4" t="s">
        <v>505</v>
      </c>
      <c r="AF276" s="4" t="s">
        <v>506</v>
      </c>
      <c r="AI276" s="4" t="s">
        <v>517</v>
      </c>
      <c r="AL276" s="4" t="s">
        <v>518</v>
      </c>
      <c r="AM276" s="4">
        <v>6.85</v>
      </c>
      <c r="AO276" s="4">
        <v>6.91</v>
      </c>
      <c r="AQ276" s="4" t="s">
        <v>519</v>
      </c>
      <c r="AR276" s="4">
        <v>4.49</v>
      </c>
      <c r="AS276" s="4" t="s">
        <v>319</v>
      </c>
      <c r="AT276" s="4">
        <v>0.14</v>
      </c>
      <c r="BD276" s="4" t="s">
        <v>520</v>
      </c>
      <c r="BE276" s="4" t="s">
        <v>521</v>
      </c>
      <c r="BI276" s="4" t="s">
        <v>321</v>
      </c>
      <c r="BL276" s="4">
        <v>1500</v>
      </c>
      <c r="BN276" s="4">
        <v>0</v>
      </c>
      <c r="BS276" s="4">
        <v>7.5</v>
      </c>
      <c r="BV276" s="4" t="s">
        <v>522</v>
      </c>
      <c r="BX276" s="4" t="s">
        <v>523</v>
      </c>
      <c r="BZ276" s="4">
        <v>2</v>
      </c>
      <c r="CB276" s="4" t="s">
        <v>524</v>
      </c>
      <c r="CD276" s="4">
        <v>173.7</v>
      </c>
      <c r="CE276" s="4" t="s">
        <v>525</v>
      </c>
      <c r="CG276" s="4">
        <v>88.63</v>
      </c>
      <c r="CH276" s="4" t="s">
        <v>319</v>
      </c>
      <c r="CJ276" s="4">
        <v>2.3</v>
      </c>
      <c r="CK276" s="4" t="s">
        <v>526</v>
      </c>
      <c r="CM276" s="4">
        <v>0.684</v>
      </c>
      <c r="CW276" s="4">
        <v>7.64</v>
      </c>
      <c r="DO276" s="4">
        <v>3</v>
      </c>
      <c r="DP276" s="4">
        <v>0.684</v>
      </c>
      <c r="DS276" s="27">
        <v>0.575175644028103</v>
      </c>
      <c r="DT276" s="1">
        <v>0.02061</v>
      </c>
      <c r="ED276" s="1">
        <v>15.9099935631428</v>
      </c>
      <c r="EW276" s="27">
        <v>78.41</v>
      </c>
      <c r="EX276" s="1">
        <v>8.01</v>
      </c>
      <c r="FG276" s="1">
        <f t="shared" si="11"/>
        <v>11.5310842829742</v>
      </c>
      <c r="FH276" s="1">
        <v>11.5310842829742</v>
      </c>
    </row>
    <row r="277" customHeight="1" spans="1:164">
      <c r="A277" s="28">
        <v>8</v>
      </c>
      <c r="B277" s="4" t="s">
        <v>489</v>
      </c>
      <c r="C277" s="5" t="s">
        <v>498</v>
      </c>
      <c r="D277" s="4" t="s">
        <v>491</v>
      </c>
      <c r="E277" s="4" t="s">
        <v>499</v>
      </c>
      <c r="J277" s="4" t="s">
        <v>500</v>
      </c>
      <c r="N277" s="24" t="s">
        <v>501</v>
      </c>
      <c r="O277" s="4" t="s">
        <v>502</v>
      </c>
      <c r="P277" s="4">
        <v>3</v>
      </c>
      <c r="Z277" s="4">
        <v>0.208</v>
      </c>
      <c r="AB277" s="4" t="s">
        <v>503</v>
      </c>
      <c r="AC277" s="4" t="s">
        <v>492</v>
      </c>
      <c r="AD277" s="4" t="s">
        <v>504</v>
      </c>
      <c r="AE277" s="4" t="s">
        <v>505</v>
      </c>
      <c r="AF277" s="4" t="s">
        <v>506</v>
      </c>
      <c r="AI277" s="4" t="s">
        <v>517</v>
      </c>
      <c r="AL277" s="4" t="s">
        <v>518</v>
      </c>
      <c r="AM277" s="4">
        <v>6.85</v>
      </c>
      <c r="AO277" s="4">
        <v>6.91</v>
      </c>
      <c r="AQ277" s="4" t="s">
        <v>519</v>
      </c>
      <c r="AR277" s="4">
        <v>4.49</v>
      </c>
      <c r="AS277" s="4" t="s">
        <v>319</v>
      </c>
      <c r="AT277" s="4">
        <v>0.14</v>
      </c>
      <c r="BD277" s="4" t="s">
        <v>520</v>
      </c>
      <c r="BE277" s="4" t="s">
        <v>521</v>
      </c>
      <c r="BI277" s="4" t="s">
        <v>321</v>
      </c>
      <c r="BL277" s="4">
        <v>1500</v>
      </c>
      <c r="BN277" s="4">
        <v>1</v>
      </c>
      <c r="BS277" s="4">
        <v>7.5</v>
      </c>
      <c r="BV277" s="4" t="s">
        <v>522</v>
      </c>
      <c r="BX277" s="4" t="s">
        <v>523</v>
      </c>
      <c r="BZ277" s="4">
        <v>2</v>
      </c>
      <c r="CB277" s="4" t="s">
        <v>524</v>
      </c>
      <c r="CD277" s="4">
        <v>173.7</v>
      </c>
      <c r="CE277" s="4" t="s">
        <v>525</v>
      </c>
      <c r="CG277" s="4">
        <v>88.63</v>
      </c>
      <c r="CH277" s="4" t="s">
        <v>319</v>
      </c>
      <c r="CJ277" s="4">
        <v>2.3</v>
      </c>
      <c r="CK277" s="4" t="s">
        <v>526</v>
      </c>
      <c r="CM277" s="4">
        <v>0.684</v>
      </c>
      <c r="CW277" s="4">
        <v>7.81</v>
      </c>
      <c r="DO277" s="4">
        <v>3</v>
      </c>
      <c r="DP277" s="4">
        <v>0.684</v>
      </c>
      <c r="DQ277" s="27">
        <v>0.575175644028103</v>
      </c>
      <c r="DR277" s="1">
        <v>0.02061</v>
      </c>
      <c r="DS277" s="27">
        <v>0.48711943793911</v>
      </c>
      <c r="DT277" s="1">
        <v>0.01311</v>
      </c>
      <c r="ED277" s="1">
        <v>28.7837079036389</v>
      </c>
      <c r="EW277" s="27">
        <v>56.49</v>
      </c>
      <c r="EX277" s="1">
        <v>5.06</v>
      </c>
      <c r="FG277" s="1">
        <f t="shared" si="11"/>
        <v>36.2631163263003</v>
      </c>
      <c r="FH277" s="1">
        <v>36.2631163263003</v>
      </c>
    </row>
    <row r="278" customHeight="1" spans="1:164">
      <c r="A278" s="28">
        <v>8</v>
      </c>
      <c r="B278" s="4" t="s">
        <v>489</v>
      </c>
      <c r="C278" s="5" t="s">
        <v>498</v>
      </c>
      <c r="D278" s="4" t="s">
        <v>491</v>
      </c>
      <c r="E278" s="4" t="s">
        <v>499</v>
      </c>
      <c r="J278" s="4" t="s">
        <v>500</v>
      </c>
      <c r="N278" s="24" t="s">
        <v>501</v>
      </c>
      <c r="O278" s="4" t="s">
        <v>502</v>
      </c>
      <c r="P278" s="4">
        <v>3</v>
      </c>
      <c r="Z278" s="4">
        <v>0.208</v>
      </c>
      <c r="AB278" s="4" t="s">
        <v>503</v>
      </c>
      <c r="AC278" s="4" t="s">
        <v>492</v>
      </c>
      <c r="AD278" s="4" t="s">
        <v>504</v>
      </c>
      <c r="AE278" s="4" t="s">
        <v>505</v>
      </c>
      <c r="AF278" s="4" t="s">
        <v>506</v>
      </c>
      <c r="AI278" s="4" t="s">
        <v>517</v>
      </c>
      <c r="AL278" s="4" t="s">
        <v>518</v>
      </c>
      <c r="AM278" s="4">
        <v>6.85</v>
      </c>
      <c r="AO278" s="4">
        <v>6.91</v>
      </c>
      <c r="AQ278" s="4" t="s">
        <v>519</v>
      </c>
      <c r="AR278" s="4">
        <v>4.49</v>
      </c>
      <c r="AS278" s="4" t="s">
        <v>319</v>
      </c>
      <c r="AT278" s="4">
        <v>0.14</v>
      </c>
      <c r="BD278" s="4" t="s">
        <v>520</v>
      </c>
      <c r="BE278" s="4" t="s">
        <v>521</v>
      </c>
      <c r="BI278" s="4" t="s">
        <v>321</v>
      </c>
      <c r="BL278" s="4">
        <v>1500</v>
      </c>
      <c r="BN278" s="4">
        <v>5</v>
      </c>
      <c r="BS278" s="4">
        <v>7.5</v>
      </c>
      <c r="BV278" s="4" t="s">
        <v>522</v>
      </c>
      <c r="BX278" s="4" t="s">
        <v>523</v>
      </c>
      <c r="BZ278" s="4">
        <v>2</v>
      </c>
      <c r="CB278" s="4" t="s">
        <v>524</v>
      </c>
      <c r="CD278" s="4">
        <v>173.7</v>
      </c>
      <c r="CE278" s="4" t="s">
        <v>525</v>
      </c>
      <c r="CG278" s="4">
        <v>88.63</v>
      </c>
      <c r="CH278" s="4" t="s">
        <v>319</v>
      </c>
      <c r="CJ278" s="4">
        <v>2.3</v>
      </c>
      <c r="CK278" s="4" t="s">
        <v>526</v>
      </c>
      <c r="CM278" s="4">
        <v>0.684</v>
      </c>
      <c r="CW278" s="4">
        <v>7.94</v>
      </c>
      <c r="DO278" s="4">
        <v>3</v>
      </c>
      <c r="DP278" s="4">
        <v>0.684</v>
      </c>
      <c r="DQ278" s="27">
        <v>0.575175644028103</v>
      </c>
      <c r="DR278" s="1">
        <v>0.02061</v>
      </c>
      <c r="DS278" s="27">
        <v>0.372833723653395</v>
      </c>
      <c r="DT278" s="1">
        <v>0.01499</v>
      </c>
      <c r="ED278" s="1">
        <v>45.4921456647083</v>
      </c>
      <c r="EW278" s="27">
        <v>41.73</v>
      </c>
      <c r="EX278" s="1">
        <v>2.32</v>
      </c>
      <c r="FG278" s="1">
        <f t="shared" si="11"/>
        <v>52.9166196547444</v>
      </c>
      <c r="FH278" s="1">
        <v>52.9166196547444</v>
      </c>
    </row>
    <row r="279" customHeight="1" spans="1:164">
      <c r="A279" s="28">
        <v>8</v>
      </c>
      <c r="B279" s="4" t="s">
        <v>489</v>
      </c>
      <c r="C279" s="5" t="s">
        <v>498</v>
      </c>
      <c r="D279" s="4" t="s">
        <v>491</v>
      </c>
      <c r="E279" s="4" t="s">
        <v>499</v>
      </c>
      <c r="J279" s="4" t="s">
        <v>500</v>
      </c>
      <c r="N279" s="24" t="s">
        <v>501</v>
      </c>
      <c r="O279" s="4" t="s">
        <v>502</v>
      </c>
      <c r="P279" s="4">
        <v>3</v>
      </c>
      <c r="Z279" s="4">
        <v>0.208</v>
      </c>
      <c r="AB279" s="4" t="s">
        <v>503</v>
      </c>
      <c r="AC279" s="4" t="s">
        <v>492</v>
      </c>
      <c r="AD279" s="4" t="s">
        <v>504</v>
      </c>
      <c r="AE279" s="4" t="s">
        <v>505</v>
      </c>
      <c r="AF279" s="4" t="s">
        <v>506</v>
      </c>
      <c r="AI279" s="4" t="s">
        <v>517</v>
      </c>
      <c r="AL279" s="4" t="s">
        <v>518</v>
      </c>
      <c r="AM279" s="4">
        <v>6.85</v>
      </c>
      <c r="AO279" s="4">
        <v>6.91</v>
      </c>
      <c r="AQ279" s="4" t="s">
        <v>519</v>
      </c>
      <c r="AR279" s="4">
        <v>4.49</v>
      </c>
      <c r="AS279" s="4" t="s">
        <v>319</v>
      </c>
      <c r="AT279" s="4">
        <v>0.14</v>
      </c>
      <c r="BD279" s="4" t="s">
        <v>520</v>
      </c>
      <c r="BE279" s="4" t="s">
        <v>521</v>
      </c>
      <c r="BI279" s="4" t="s">
        <v>321</v>
      </c>
      <c r="BL279" s="4">
        <v>1500</v>
      </c>
      <c r="BN279" s="4">
        <v>10</v>
      </c>
      <c r="BS279" s="4">
        <v>7.5</v>
      </c>
      <c r="BV279" s="4" t="s">
        <v>522</v>
      </c>
      <c r="BX279" s="4" t="s">
        <v>523</v>
      </c>
      <c r="BZ279" s="4">
        <v>2</v>
      </c>
      <c r="CB279" s="4" t="s">
        <v>524</v>
      </c>
      <c r="CD279" s="4">
        <v>173.7</v>
      </c>
      <c r="CE279" s="4" t="s">
        <v>525</v>
      </c>
      <c r="CG279" s="4">
        <v>88.63</v>
      </c>
      <c r="CH279" s="4" t="s">
        <v>319</v>
      </c>
      <c r="CJ279" s="4">
        <v>2.3</v>
      </c>
      <c r="CK279" s="4" t="s">
        <v>526</v>
      </c>
      <c r="CM279" s="4">
        <v>0.684</v>
      </c>
      <c r="CW279" s="4">
        <v>8.13</v>
      </c>
      <c r="DO279" s="4">
        <v>3</v>
      </c>
      <c r="DP279" s="4">
        <v>0.684</v>
      </c>
      <c r="DQ279" s="27">
        <v>0.575175644028103</v>
      </c>
      <c r="DR279" s="1">
        <v>0.02061</v>
      </c>
      <c r="DS279" s="27">
        <v>0.279156908665105</v>
      </c>
      <c r="ED279" s="1">
        <v>59.18758645247</v>
      </c>
      <c r="EW279" s="27">
        <v>35.62</v>
      </c>
      <c r="EX279" s="1">
        <v>3.79</v>
      </c>
      <c r="FG279" s="1">
        <f t="shared" si="11"/>
        <v>59.8104479295949</v>
      </c>
      <c r="FH279" s="1">
        <v>59.8104479295949</v>
      </c>
    </row>
    <row r="280" customHeight="1" spans="1:164">
      <c r="A280" s="28">
        <v>8</v>
      </c>
      <c r="B280" s="4" t="s">
        <v>489</v>
      </c>
      <c r="C280" s="5" t="s">
        <v>498</v>
      </c>
      <c r="D280" s="4" t="s">
        <v>491</v>
      </c>
      <c r="E280" s="4" t="s">
        <v>499</v>
      </c>
      <c r="J280" s="4" t="s">
        <v>500</v>
      </c>
      <c r="N280" s="24" t="s">
        <v>501</v>
      </c>
      <c r="O280" s="4" t="s">
        <v>502</v>
      </c>
      <c r="P280" s="4">
        <v>3</v>
      </c>
      <c r="Z280" s="4">
        <v>0.208</v>
      </c>
      <c r="AB280" s="4" t="s">
        <v>503</v>
      </c>
      <c r="AC280" s="4" t="s">
        <v>492</v>
      </c>
      <c r="AD280" s="4" t="s">
        <v>504</v>
      </c>
      <c r="AE280" s="4" t="s">
        <v>505</v>
      </c>
      <c r="AF280" s="4" t="s">
        <v>506</v>
      </c>
      <c r="AI280" s="4" t="s">
        <v>517</v>
      </c>
      <c r="AL280" s="4" t="s">
        <v>518</v>
      </c>
      <c r="AM280" s="4">
        <v>6.85</v>
      </c>
      <c r="AO280" s="4">
        <v>6.91</v>
      </c>
      <c r="AQ280" s="4" t="s">
        <v>519</v>
      </c>
      <c r="AR280" s="4">
        <v>4.49</v>
      </c>
      <c r="AS280" s="4" t="s">
        <v>319</v>
      </c>
      <c r="AT280" s="4">
        <v>0.14</v>
      </c>
      <c r="BI280" s="1" t="s">
        <v>321</v>
      </c>
      <c r="BL280" s="1">
        <v>1500</v>
      </c>
      <c r="BP280" s="1">
        <v>0</v>
      </c>
      <c r="BS280" s="1">
        <v>5.5</v>
      </c>
      <c r="CB280" s="4" t="s">
        <v>524</v>
      </c>
      <c r="CD280" s="4">
        <v>46.79</v>
      </c>
      <c r="CE280" s="4" t="s">
        <v>525</v>
      </c>
      <c r="CG280" s="4">
        <v>25.25</v>
      </c>
      <c r="CH280" s="4" t="s">
        <v>319</v>
      </c>
      <c r="CJ280" s="4">
        <v>0.68</v>
      </c>
      <c r="CK280" s="4" t="s">
        <v>526</v>
      </c>
      <c r="CM280" s="4">
        <v>0.069</v>
      </c>
      <c r="DO280" s="4">
        <v>3</v>
      </c>
      <c r="DP280" s="4">
        <v>0.069</v>
      </c>
      <c r="DS280" s="4"/>
      <c r="EW280" s="4"/>
    </row>
    <row r="281" customHeight="1" spans="1:164">
      <c r="A281" s="28">
        <v>8</v>
      </c>
      <c r="B281" s="4" t="s">
        <v>489</v>
      </c>
      <c r="C281" s="5" t="s">
        <v>498</v>
      </c>
      <c r="D281" s="4" t="s">
        <v>491</v>
      </c>
      <c r="E281" s="4" t="s">
        <v>499</v>
      </c>
      <c r="J281" s="4" t="s">
        <v>500</v>
      </c>
      <c r="N281" s="24" t="s">
        <v>501</v>
      </c>
      <c r="O281" s="4" t="s">
        <v>502</v>
      </c>
      <c r="P281" s="4">
        <v>3</v>
      </c>
      <c r="Z281" s="4">
        <v>0.208</v>
      </c>
      <c r="AB281" s="4" t="s">
        <v>503</v>
      </c>
      <c r="AC281" s="4" t="s">
        <v>492</v>
      </c>
      <c r="AD281" s="4" t="s">
        <v>504</v>
      </c>
      <c r="AE281" s="4" t="s">
        <v>505</v>
      </c>
      <c r="AF281" s="4" t="s">
        <v>506</v>
      </c>
      <c r="AI281" s="4" t="s">
        <v>517</v>
      </c>
      <c r="AL281" s="4" t="s">
        <v>518</v>
      </c>
      <c r="AM281" s="4">
        <v>6.85</v>
      </c>
      <c r="AO281" s="4">
        <v>6.91</v>
      </c>
      <c r="AQ281" s="4" t="s">
        <v>519</v>
      </c>
      <c r="AR281" s="4">
        <v>4.49</v>
      </c>
      <c r="AS281" s="4" t="s">
        <v>319</v>
      </c>
      <c r="AT281" s="4">
        <v>0.14</v>
      </c>
      <c r="BI281" s="1" t="s">
        <v>321</v>
      </c>
      <c r="BL281" s="1">
        <v>1500</v>
      </c>
      <c r="BP281" s="1">
        <v>0.1</v>
      </c>
      <c r="BS281" s="1">
        <v>5.5</v>
      </c>
      <c r="CB281" s="4" t="s">
        <v>524</v>
      </c>
      <c r="CD281" s="4">
        <v>46.79</v>
      </c>
      <c r="CE281" s="4" t="s">
        <v>525</v>
      </c>
      <c r="CG281" s="4">
        <v>25.25</v>
      </c>
      <c r="CH281" s="4" t="s">
        <v>319</v>
      </c>
      <c r="CJ281" s="4">
        <v>0.68</v>
      </c>
      <c r="CK281" s="4" t="s">
        <v>526</v>
      </c>
      <c r="CM281" s="4">
        <v>0.069</v>
      </c>
      <c r="DO281" s="4">
        <v>3</v>
      </c>
      <c r="DP281" s="4">
        <v>0.069</v>
      </c>
      <c r="DS281" s="4"/>
      <c r="EW281" s="4"/>
    </row>
    <row r="282" customHeight="1" spans="1:164">
      <c r="A282" s="28">
        <v>8</v>
      </c>
      <c r="B282" s="4" t="s">
        <v>489</v>
      </c>
      <c r="C282" s="5" t="s">
        <v>498</v>
      </c>
      <c r="D282" s="4" t="s">
        <v>491</v>
      </c>
      <c r="E282" s="4" t="s">
        <v>499</v>
      </c>
      <c r="J282" s="4" t="s">
        <v>500</v>
      </c>
      <c r="N282" s="24" t="s">
        <v>501</v>
      </c>
      <c r="O282" s="4" t="s">
        <v>502</v>
      </c>
      <c r="P282" s="4">
        <v>3</v>
      </c>
      <c r="Z282" s="4">
        <v>0.208</v>
      </c>
      <c r="AB282" s="4" t="s">
        <v>503</v>
      </c>
      <c r="AC282" s="4" t="s">
        <v>492</v>
      </c>
      <c r="AD282" s="4" t="s">
        <v>504</v>
      </c>
      <c r="AE282" s="4" t="s">
        <v>505</v>
      </c>
      <c r="AF282" s="4" t="s">
        <v>506</v>
      </c>
      <c r="AI282" s="4" t="s">
        <v>517</v>
      </c>
      <c r="AL282" s="4" t="s">
        <v>518</v>
      </c>
      <c r="AM282" s="4">
        <v>6.85</v>
      </c>
      <c r="AO282" s="4">
        <v>6.91</v>
      </c>
      <c r="AQ282" s="4" t="s">
        <v>519</v>
      </c>
      <c r="AR282" s="4">
        <v>4.49</v>
      </c>
      <c r="AS282" s="4" t="s">
        <v>319</v>
      </c>
      <c r="AT282" s="4">
        <v>0.14</v>
      </c>
      <c r="BI282" s="1" t="s">
        <v>321</v>
      </c>
      <c r="BL282" s="1">
        <v>1500</v>
      </c>
      <c r="BP282" s="1">
        <v>0.5</v>
      </c>
      <c r="BS282" s="1">
        <v>5.5</v>
      </c>
      <c r="CB282" s="4" t="s">
        <v>524</v>
      </c>
      <c r="CD282" s="4">
        <v>46.79</v>
      </c>
      <c r="CE282" s="4" t="s">
        <v>525</v>
      </c>
      <c r="CG282" s="4">
        <v>25.25</v>
      </c>
      <c r="CH282" s="4" t="s">
        <v>319</v>
      </c>
      <c r="CJ282" s="4">
        <v>0.68</v>
      </c>
      <c r="CK282" s="4" t="s">
        <v>526</v>
      </c>
      <c r="CM282" s="4">
        <v>0.069</v>
      </c>
      <c r="DO282" s="4">
        <v>3</v>
      </c>
      <c r="DP282" s="4">
        <v>0.069</v>
      </c>
      <c r="DS282" s="4"/>
      <c r="EW282" s="4"/>
    </row>
    <row r="283" customHeight="1" spans="1:164">
      <c r="A283" s="28">
        <v>8</v>
      </c>
      <c r="B283" s="4" t="s">
        <v>489</v>
      </c>
      <c r="C283" s="5" t="s">
        <v>498</v>
      </c>
      <c r="D283" s="4" t="s">
        <v>491</v>
      </c>
      <c r="E283" s="4" t="s">
        <v>499</v>
      </c>
      <c r="J283" s="4" t="s">
        <v>500</v>
      </c>
      <c r="N283" s="24" t="s">
        <v>501</v>
      </c>
      <c r="O283" s="4" t="s">
        <v>502</v>
      </c>
      <c r="P283" s="4">
        <v>3</v>
      </c>
      <c r="Z283" s="4">
        <v>0.208</v>
      </c>
      <c r="AB283" s="4" t="s">
        <v>503</v>
      </c>
      <c r="AC283" s="4" t="s">
        <v>492</v>
      </c>
      <c r="AD283" s="4" t="s">
        <v>504</v>
      </c>
      <c r="AE283" s="4" t="s">
        <v>505</v>
      </c>
      <c r="AF283" s="4" t="s">
        <v>506</v>
      </c>
      <c r="AI283" s="4" t="s">
        <v>517</v>
      </c>
      <c r="AL283" s="4" t="s">
        <v>518</v>
      </c>
      <c r="AM283" s="4">
        <v>6.85</v>
      </c>
      <c r="AO283" s="4">
        <v>6.91</v>
      </c>
      <c r="AQ283" s="4" t="s">
        <v>519</v>
      </c>
      <c r="AR283" s="4">
        <v>4.49</v>
      </c>
      <c r="AS283" s="4" t="s">
        <v>319</v>
      </c>
      <c r="AT283" s="4">
        <v>0.14</v>
      </c>
      <c r="BI283" s="1" t="s">
        <v>321</v>
      </c>
      <c r="BL283" s="1">
        <v>1500</v>
      </c>
      <c r="BP283" s="1">
        <v>1</v>
      </c>
      <c r="BS283" s="1">
        <v>5.5</v>
      </c>
      <c r="CB283" s="4" t="s">
        <v>524</v>
      </c>
      <c r="CD283" s="4">
        <v>46.79</v>
      </c>
      <c r="CE283" s="4" t="s">
        <v>525</v>
      </c>
      <c r="CG283" s="4">
        <v>25.25</v>
      </c>
      <c r="CH283" s="4" t="s">
        <v>319</v>
      </c>
      <c r="CJ283" s="4">
        <v>0.68</v>
      </c>
      <c r="CK283" s="4" t="s">
        <v>526</v>
      </c>
      <c r="CM283" s="4">
        <v>0.069</v>
      </c>
      <c r="DO283" s="4">
        <v>3</v>
      </c>
      <c r="DP283" s="4">
        <v>0.069</v>
      </c>
      <c r="DS283" s="4"/>
      <c r="EW283" s="4"/>
    </row>
    <row r="284" customHeight="1" spans="1:164">
      <c r="A284" s="28">
        <v>8</v>
      </c>
      <c r="B284" s="4" t="s">
        <v>489</v>
      </c>
      <c r="C284" s="5" t="s">
        <v>498</v>
      </c>
      <c r="D284" s="4" t="s">
        <v>491</v>
      </c>
      <c r="E284" s="4" t="s">
        <v>499</v>
      </c>
      <c r="J284" s="4" t="s">
        <v>500</v>
      </c>
      <c r="N284" s="24" t="s">
        <v>501</v>
      </c>
      <c r="O284" s="4" t="s">
        <v>502</v>
      </c>
      <c r="P284" s="4">
        <v>3</v>
      </c>
      <c r="Z284" s="4">
        <v>0.208</v>
      </c>
      <c r="AB284" s="4" t="s">
        <v>503</v>
      </c>
      <c r="AC284" s="4" t="s">
        <v>492</v>
      </c>
      <c r="AD284" s="4" t="s">
        <v>504</v>
      </c>
      <c r="AE284" s="4" t="s">
        <v>505</v>
      </c>
      <c r="AF284" s="4" t="s">
        <v>506</v>
      </c>
      <c r="AI284" s="4" t="s">
        <v>517</v>
      </c>
      <c r="AL284" s="4" t="s">
        <v>518</v>
      </c>
      <c r="AM284" s="4">
        <v>6.85</v>
      </c>
      <c r="AO284" s="4">
        <v>6.91</v>
      </c>
      <c r="AQ284" s="4" t="s">
        <v>519</v>
      </c>
      <c r="AR284" s="4">
        <v>4.49</v>
      </c>
      <c r="AS284" s="4" t="s">
        <v>319</v>
      </c>
      <c r="AT284" s="4">
        <v>0.14</v>
      </c>
      <c r="BI284" s="1" t="s">
        <v>321</v>
      </c>
      <c r="BL284" s="1">
        <v>1500</v>
      </c>
      <c r="BP284" s="1">
        <v>0</v>
      </c>
      <c r="BS284" s="1">
        <v>7.5</v>
      </c>
      <c r="CB284" s="4" t="s">
        <v>524</v>
      </c>
      <c r="CD284" s="4">
        <v>46.79</v>
      </c>
      <c r="CE284" s="4" t="s">
        <v>525</v>
      </c>
      <c r="CG284" s="4">
        <v>25.25</v>
      </c>
      <c r="CH284" s="4" t="s">
        <v>319</v>
      </c>
      <c r="CJ284" s="4">
        <v>0.68</v>
      </c>
      <c r="CK284" s="4" t="s">
        <v>526</v>
      </c>
      <c r="CM284" s="4">
        <v>0.069</v>
      </c>
      <c r="DO284" s="4">
        <v>3</v>
      </c>
      <c r="DP284" s="4">
        <v>0.069</v>
      </c>
      <c r="DS284" s="4"/>
      <c r="EW284" s="4"/>
    </row>
    <row r="285" customHeight="1" spans="1:164">
      <c r="A285" s="28">
        <v>8</v>
      </c>
      <c r="B285" s="4" t="s">
        <v>489</v>
      </c>
      <c r="C285" s="5" t="s">
        <v>498</v>
      </c>
      <c r="D285" s="4" t="s">
        <v>491</v>
      </c>
      <c r="E285" s="4" t="s">
        <v>499</v>
      </c>
      <c r="J285" s="4" t="s">
        <v>500</v>
      </c>
      <c r="N285" s="24" t="s">
        <v>501</v>
      </c>
      <c r="O285" s="4" t="s">
        <v>502</v>
      </c>
      <c r="P285" s="4">
        <v>3</v>
      </c>
      <c r="Z285" s="4">
        <v>0.208</v>
      </c>
      <c r="AB285" s="4" t="s">
        <v>503</v>
      </c>
      <c r="AC285" s="4" t="s">
        <v>492</v>
      </c>
      <c r="AD285" s="4" t="s">
        <v>504</v>
      </c>
      <c r="AE285" s="4" t="s">
        <v>505</v>
      </c>
      <c r="AF285" s="4" t="s">
        <v>506</v>
      </c>
      <c r="AI285" s="4" t="s">
        <v>517</v>
      </c>
      <c r="AL285" s="4" t="s">
        <v>518</v>
      </c>
      <c r="AM285" s="4">
        <v>6.85</v>
      </c>
      <c r="AO285" s="4">
        <v>6.91</v>
      </c>
      <c r="AQ285" s="4" t="s">
        <v>519</v>
      </c>
      <c r="AR285" s="4">
        <v>4.49</v>
      </c>
      <c r="AS285" s="4" t="s">
        <v>319</v>
      </c>
      <c r="AT285" s="4">
        <v>0.14</v>
      </c>
      <c r="BI285" s="1" t="s">
        <v>321</v>
      </c>
      <c r="BL285" s="1">
        <v>1500</v>
      </c>
      <c r="BP285" s="1">
        <v>0.1</v>
      </c>
      <c r="BS285" s="1">
        <v>7.5</v>
      </c>
      <c r="CB285" s="4" t="s">
        <v>524</v>
      </c>
      <c r="CD285" s="4">
        <v>46.79</v>
      </c>
      <c r="CE285" s="4" t="s">
        <v>525</v>
      </c>
      <c r="CG285" s="4">
        <v>25.25</v>
      </c>
      <c r="CH285" s="4" t="s">
        <v>319</v>
      </c>
      <c r="CJ285" s="4">
        <v>0.68</v>
      </c>
      <c r="CK285" s="4" t="s">
        <v>526</v>
      </c>
      <c r="CM285" s="4">
        <v>0.069</v>
      </c>
      <c r="DO285" s="4">
        <v>3</v>
      </c>
      <c r="DP285" s="4">
        <v>0.069</v>
      </c>
      <c r="DS285" s="4"/>
      <c r="EW285" s="4"/>
    </row>
    <row r="286" customHeight="1" spans="1:164">
      <c r="A286" s="28">
        <v>8</v>
      </c>
      <c r="B286" s="4" t="s">
        <v>489</v>
      </c>
      <c r="C286" s="5" t="s">
        <v>498</v>
      </c>
      <c r="D286" s="4" t="s">
        <v>491</v>
      </c>
      <c r="E286" s="4" t="s">
        <v>499</v>
      </c>
      <c r="J286" s="4" t="s">
        <v>500</v>
      </c>
      <c r="N286" s="24" t="s">
        <v>501</v>
      </c>
      <c r="O286" s="4" t="s">
        <v>502</v>
      </c>
      <c r="P286" s="4">
        <v>3</v>
      </c>
      <c r="Z286" s="4">
        <v>0.208</v>
      </c>
      <c r="AB286" s="4" t="s">
        <v>503</v>
      </c>
      <c r="AC286" s="4" t="s">
        <v>492</v>
      </c>
      <c r="AD286" s="4" t="s">
        <v>504</v>
      </c>
      <c r="AE286" s="4" t="s">
        <v>505</v>
      </c>
      <c r="AF286" s="4" t="s">
        <v>506</v>
      </c>
      <c r="AI286" s="4" t="s">
        <v>517</v>
      </c>
      <c r="AL286" s="4" t="s">
        <v>518</v>
      </c>
      <c r="AM286" s="4">
        <v>6.85</v>
      </c>
      <c r="AO286" s="4">
        <v>6.91</v>
      </c>
      <c r="AQ286" s="4" t="s">
        <v>519</v>
      </c>
      <c r="AR286" s="4">
        <v>4.49</v>
      </c>
      <c r="AS286" s="4" t="s">
        <v>319</v>
      </c>
      <c r="AT286" s="4">
        <v>0.14</v>
      </c>
      <c r="BI286" s="1" t="s">
        <v>321</v>
      </c>
      <c r="BL286" s="1">
        <v>1500</v>
      </c>
      <c r="BP286" s="1">
        <v>0.5</v>
      </c>
      <c r="BS286" s="1">
        <v>7.5</v>
      </c>
      <c r="CB286" s="4" t="s">
        <v>524</v>
      </c>
      <c r="CD286" s="4">
        <v>46.79</v>
      </c>
      <c r="CE286" s="4" t="s">
        <v>525</v>
      </c>
      <c r="CG286" s="4">
        <v>25.25</v>
      </c>
      <c r="CH286" s="4" t="s">
        <v>319</v>
      </c>
      <c r="CJ286" s="4">
        <v>0.68</v>
      </c>
      <c r="CK286" s="4" t="s">
        <v>526</v>
      </c>
      <c r="CM286" s="4">
        <v>0.069</v>
      </c>
      <c r="DO286" s="4">
        <v>3</v>
      </c>
      <c r="DP286" s="4">
        <v>0.069</v>
      </c>
      <c r="DS286" s="4"/>
      <c r="EW286" s="4"/>
    </row>
    <row r="287" customHeight="1" spans="1:164">
      <c r="A287" s="28">
        <v>8</v>
      </c>
      <c r="B287" s="4" t="s">
        <v>489</v>
      </c>
      <c r="C287" s="5" t="s">
        <v>498</v>
      </c>
      <c r="D287" s="4" t="s">
        <v>491</v>
      </c>
      <c r="E287" s="4" t="s">
        <v>499</v>
      </c>
      <c r="J287" s="4" t="s">
        <v>500</v>
      </c>
      <c r="N287" s="24" t="s">
        <v>501</v>
      </c>
      <c r="O287" s="4" t="s">
        <v>502</v>
      </c>
      <c r="P287" s="4">
        <v>3</v>
      </c>
      <c r="Z287" s="4">
        <v>0.208</v>
      </c>
      <c r="AB287" s="4" t="s">
        <v>503</v>
      </c>
      <c r="AC287" s="4" t="s">
        <v>492</v>
      </c>
      <c r="AD287" s="4" t="s">
        <v>504</v>
      </c>
      <c r="AE287" s="4" t="s">
        <v>505</v>
      </c>
      <c r="AF287" s="4" t="s">
        <v>506</v>
      </c>
      <c r="AI287" s="4" t="s">
        <v>517</v>
      </c>
      <c r="AL287" s="4" t="s">
        <v>518</v>
      </c>
      <c r="AM287" s="4">
        <v>6.85</v>
      </c>
      <c r="AO287" s="4">
        <v>6.91</v>
      </c>
      <c r="AQ287" s="4" t="s">
        <v>519</v>
      </c>
      <c r="AR287" s="4">
        <v>4.49</v>
      </c>
      <c r="AS287" s="4" t="s">
        <v>319</v>
      </c>
      <c r="AT287" s="4">
        <v>0.14</v>
      </c>
      <c r="BI287" s="1" t="s">
        <v>321</v>
      </c>
      <c r="BL287" s="1">
        <v>1500</v>
      </c>
      <c r="BP287" s="1">
        <v>1</v>
      </c>
      <c r="BS287" s="1">
        <v>7.5</v>
      </c>
      <c r="CB287" s="4" t="s">
        <v>524</v>
      </c>
      <c r="CD287" s="4">
        <v>46.79</v>
      </c>
      <c r="CE287" s="4" t="s">
        <v>525</v>
      </c>
      <c r="CG287" s="4">
        <v>25.25</v>
      </c>
      <c r="CH287" s="4" t="s">
        <v>319</v>
      </c>
      <c r="CJ287" s="4">
        <v>0.68</v>
      </c>
      <c r="CK287" s="4" t="s">
        <v>526</v>
      </c>
      <c r="CM287" s="4">
        <v>0.069</v>
      </c>
      <c r="DO287" s="4">
        <v>3</v>
      </c>
      <c r="DP287" s="4">
        <v>0.069</v>
      </c>
      <c r="DS287" s="4"/>
      <c r="EW287" s="4"/>
    </row>
    <row r="288" customHeight="1" spans="1:164">
      <c r="A288" s="28">
        <v>8</v>
      </c>
      <c r="B288" s="4" t="s">
        <v>489</v>
      </c>
      <c r="C288" s="5" t="s">
        <v>498</v>
      </c>
      <c r="D288" s="4" t="s">
        <v>491</v>
      </c>
      <c r="E288" s="4" t="s">
        <v>499</v>
      </c>
      <c r="J288" s="4" t="s">
        <v>500</v>
      </c>
      <c r="N288" s="24" t="s">
        <v>501</v>
      </c>
      <c r="O288" s="4" t="s">
        <v>502</v>
      </c>
      <c r="P288" s="4">
        <v>3</v>
      </c>
      <c r="Z288" s="4">
        <v>0.208</v>
      </c>
      <c r="AB288" s="4" t="s">
        <v>503</v>
      </c>
      <c r="AC288" s="4" t="s">
        <v>492</v>
      </c>
      <c r="AD288" s="4" t="s">
        <v>504</v>
      </c>
      <c r="AE288" s="4" t="s">
        <v>505</v>
      </c>
      <c r="AF288" s="4" t="s">
        <v>506</v>
      </c>
      <c r="AI288" s="4" t="s">
        <v>517</v>
      </c>
      <c r="AL288" s="4" t="s">
        <v>518</v>
      </c>
      <c r="AM288" s="4">
        <v>6.85</v>
      </c>
      <c r="AO288" s="4">
        <v>6.91</v>
      </c>
      <c r="AQ288" s="4" t="s">
        <v>519</v>
      </c>
      <c r="AR288" s="4">
        <v>4.49</v>
      </c>
      <c r="AS288" s="4" t="s">
        <v>319</v>
      </c>
      <c r="AT288" s="4">
        <v>0.14</v>
      </c>
      <c r="BI288" s="1" t="s">
        <v>321</v>
      </c>
      <c r="BL288" s="1">
        <v>1500</v>
      </c>
      <c r="BP288" s="1">
        <v>0</v>
      </c>
      <c r="BS288" s="1">
        <v>5.5</v>
      </c>
      <c r="CB288" s="4" t="s">
        <v>524</v>
      </c>
      <c r="CD288" s="4">
        <v>173.7</v>
      </c>
      <c r="CE288" s="4" t="s">
        <v>525</v>
      </c>
      <c r="CG288" s="4">
        <v>88.63</v>
      </c>
      <c r="CH288" s="4" t="s">
        <v>319</v>
      </c>
      <c r="CJ288" s="4">
        <v>2.3</v>
      </c>
      <c r="CK288" s="4" t="s">
        <v>526</v>
      </c>
      <c r="CM288" s="4">
        <v>0.684</v>
      </c>
      <c r="DO288" s="4">
        <v>3</v>
      </c>
      <c r="DP288" s="4">
        <v>0.684</v>
      </c>
      <c r="DS288" s="4"/>
      <c r="EW288" s="4"/>
    </row>
    <row r="289" customHeight="1" spans="1:164">
      <c r="A289" s="28">
        <v>8</v>
      </c>
      <c r="B289" s="4" t="s">
        <v>489</v>
      </c>
      <c r="C289" s="5" t="s">
        <v>498</v>
      </c>
      <c r="D289" s="4" t="s">
        <v>491</v>
      </c>
      <c r="E289" s="4" t="s">
        <v>499</v>
      </c>
      <c r="J289" s="4" t="s">
        <v>500</v>
      </c>
      <c r="N289" s="24" t="s">
        <v>501</v>
      </c>
      <c r="O289" s="4" t="s">
        <v>502</v>
      </c>
      <c r="P289" s="4">
        <v>3</v>
      </c>
      <c r="Z289" s="4">
        <v>0.208</v>
      </c>
      <c r="AB289" s="4" t="s">
        <v>503</v>
      </c>
      <c r="AC289" s="4" t="s">
        <v>492</v>
      </c>
      <c r="AD289" s="4" t="s">
        <v>504</v>
      </c>
      <c r="AE289" s="4" t="s">
        <v>505</v>
      </c>
      <c r="AF289" s="4" t="s">
        <v>506</v>
      </c>
      <c r="AI289" s="4" t="s">
        <v>517</v>
      </c>
      <c r="AL289" s="4" t="s">
        <v>518</v>
      </c>
      <c r="AM289" s="4">
        <v>6.85</v>
      </c>
      <c r="AO289" s="4">
        <v>6.91</v>
      </c>
      <c r="AQ289" s="4" t="s">
        <v>519</v>
      </c>
      <c r="AR289" s="4">
        <v>4.49</v>
      </c>
      <c r="AS289" s="4" t="s">
        <v>319</v>
      </c>
      <c r="AT289" s="4">
        <v>0.14</v>
      </c>
      <c r="BI289" s="1" t="s">
        <v>321</v>
      </c>
      <c r="BL289" s="1">
        <v>1500</v>
      </c>
      <c r="BP289" s="1">
        <v>0.1</v>
      </c>
      <c r="BS289" s="1">
        <v>5.5</v>
      </c>
      <c r="CB289" s="4" t="s">
        <v>524</v>
      </c>
      <c r="CD289" s="4">
        <v>173.7</v>
      </c>
      <c r="CE289" s="4" t="s">
        <v>525</v>
      </c>
      <c r="CG289" s="4">
        <v>88.63</v>
      </c>
      <c r="CH289" s="4" t="s">
        <v>319</v>
      </c>
      <c r="CJ289" s="4">
        <v>2.3</v>
      </c>
      <c r="CK289" s="4" t="s">
        <v>526</v>
      </c>
      <c r="CM289" s="4">
        <v>0.684</v>
      </c>
      <c r="DO289" s="4">
        <v>3</v>
      </c>
      <c r="DP289" s="4">
        <v>0.684</v>
      </c>
      <c r="DS289" s="4"/>
      <c r="EW289" s="4"/>
    </row>
    <row r="290" customHeight="1" spans="1:164">
      <c r="A290" s="28">
        <v>8</v>
      </c>
      <c r="B290" s="4" t="s">
        <v>489</v>
      </c>
      <c r="C290" s="5" t="s">
        <v>498</v>
      </c>
      <c r="D290" s="4" t="s">
        <v>491</v>
      </c>
      <c r="E290" s="4" t="s">
        <v>499</v>
      </c>
      <c r="J290" s="4" t="s">
        <v>500</v>
      </c>
      <c r="N290" s="24" t="s">
        <v>501</v>
      </c>
      <c r="O290" s="4" t="s">
        <v>502</v>
      </c>
      <c r="P290" s="4">
        <v>3</v>
      </c>
      <c r="Z290" s="4">
        <v>0.208</v>
      </c>
      <c r="AB290" s="4" t="s">
        <v>503</v>
      </c>
      <c r="AC290" s="4" t="s">
        <v>492</v>
      </c>
      <c r="AD290" s="4" t="s">
        <v>504</v>
      </c>
      <c r="AE290" s="4" t="s">
        <v>505</v>
      </c>
      <c r="AF290" s="4" t="s">
        <v>506</v>
      </c>
      <c r="AI290" s="4" t="s">
        <v>517</v>
      </c>
      <c r="AL290" s="4" t="s">
        <v>518</v>
      </c>
      <c r="AM290" s="4">
        <v>6.85</v>
      </c>
      <c r="AO290" s="4">
        <v>6.91</v>
      </c>
      <c r="AQ290" s="4" t="s">
        <v>519</v>
      </c>
      <c r="AR290" s="4">
        <v>4.49</v>
      </c>
      <c r="AS290" s="4" t="s">
        <v>319</v>
      </c>
      <c r="AT290" s="4">
        <v>0.14</v>
      </c>
      <c r="BI290" s="1" t="s">
        <v>321</v>
      </c>
      <c r="BL290" s="1">
        <v>1500</v>
      </c>
      <c r="BP290" s="1">
        <v>0.5</v>
      </c>
      <c r="BS290" s="1">
        <v>5.5</v>
      </c>
      <c r="CB290" s="4" t="s">
        <v>524</v>
      </c>
      <c r="CD290" s="4">
        <v>173.7</v>
      </c>
      <c r="CE290" s="4" t="s">
        <v>525</v>
      </c>
      <c r="CG290" s="4">
        <v>88.63</v>
      </c>
      <c r="CH290" s="4" t="s">
        <v>319</v>
      </c>
      <c r="CJ290" s="4">
        <v>2.3</v>
      </c>
      <c r="CK290" s="4" t="s">
        <v>526</v>
      </c>
      <c r="CM290" s="4">
        <v>0.684</v>
      </c>
      <c r="DO290" s="4">
        <v>3</v>
      </c>
      <c r="DP290" s="4">
        <v>0.684</v>
      </c>
      <c r="DS290" s="4"/>
      <c r="EW290" s="4"/>
    </row>
    <row r="291" customHeight="1" spans="1:164">
      <c r="A291" s="28">
        <v>8</v>
      </c>
      <c r="B291" s="4" t="s">
        <v>489</v>
      </c>
      <c r="C291" s="5" t="s">
        <v>498</v>
      </c>
      <c r="D291" s="4" t="s">
        <v>491</v>
      </c>
      <c r="E291" s="4" t="s">
        <v>499</v>
      </c>
      <c r="J291" s="4" t="s">
        <v>500</v>
      </c>
      <c r="N291" s="24" t="s">
        <v>501</v>
      </c>
      <c r="O291" s="4" t="s">
        <v>502</v>
      </c>
      <c r="P291" s="4">
        <v>3</v>
      </c>
      <c r="Z291" s="4">
        <v>0.208</v>
      </c>
      <c r="AB291" s="4" t="s">
        <v>503</v>
      </c>
      <c r="AC291" s="4" t="s">
        <v>492</v>
      </c>
      <c r="AD291" s="4" t="s">
        <v>504</v>
      </c>
      <c r="AE291" s="4" t="s">
        <v>505</v>
      </c>
      <c r="AF291" s="4" t="s">
        <v>506</v>
      </c>
      <c r="AI291" s="4" t="s">
        <v>517</v>
      </c>
      <c r="AL291" s="4" t="s">
        <v>518</v>
      </c>
      <c r="AM291" s="4">
        <v>6.85</v>
      </c>
      <c r="AO291" s="4">
        <v>6.91</v>
      </c>
      <c r="AQ291" s="4" t="s">
        <v>519</v>
      </c>
      <c r="AR291" s="4">
        <v>4.49</v>
      </c>
      <c r="AS291" s="4" t="s">
        <v>319</v>
      </c>
      <c r="AT291" s="4">
        <v>0.14</v>
      </c>
      <c r="BI291" s="1" t="s">
        <v>321</v>
      </c>
      <c r="BL291" s="1">
        <v>1500</v>
      </c>
      <c r="BP291" s="1">
        <v>1</v>
      </c>
      <c r="BS291" s="1">
        <v>5.5</v>
      </c>
      <c r="CB291" s="4" t="s">
        <v>524</v>
      </c>
      <c r="CD291" s="4">
        <v>173.7</v>
      </c>
      <c r="CE291" s="4" t="s">
        <v>525</v>
      </c>
      <c r="CG291" s="4">
        <v>88.63</v>
      </c>
      <c r="CH291" s="4" t="s">
        <v>319</v>
      </c>
      <c r="CJ291" s="4">
        <v>2.3</v>
      </c>
      <c r="CK291" s="4" t="s">
        <v>526</v>
      </c>
      <c r="CM291" s="4">
        <v>0.684</v>
      </c>
      <c r="DO291" s="4">
        <v>3</v>
      </c>
      <c r="DP291" s="4">
        <v>0.684</v>
      </c>
      <c r="DS291" s="4"/>
      <c r="EW291" s="4"/>
    </row>
    <row r="292" customHeight="1" spans="1:164">
      <c r="A292" s="28">
        <v>8</v>
      </c>
      <c r="B292" s="4" t="s">
        <v>489</v>
      </c>
      <c r="C292" s="5" t="s">
        <v>498</v>
      </c>
      <c r="D292" s="4" t="s">
        <v>491</v>
      </c>
      <c r="E292" s="4" t="s">
        <v>499</v>
      </c>
      <c r="J292" s="4" t="s">
        <v>500</v>
      </c>
      <c r="N292" s="24" t="s">
        <v>501</v>
      </c>
      <c r="O292" s="4" t="s">
        <v>502</v>
      </c>
      <c r="P292" s="4">
        <v>3</v>
      </c>
      <c r="Z292" s="4">
        <v>0.208</v>
      </c>
      <c r="AB292" s="4" t="s">
        <v>503</v>
      </c>
      <c r="AC292" s="4" t="s">
        <v>492</v>
      </c>
      <c r="AD292" s="4" t="s">
        <v>504</v>
      </c>
      <c r="AE292" s="4" t="s">
        <v>505</v>
      </c>
      <c r="AF292" s="4" t="s">
        <v>506</v>
      </c>
      <c r="AI292" s="4" t="s">
        <v>517</v>
      </c>
      <c r="AL292" s="4" t="s">
        <v>518</v>
      </c>
      <c r="AM292" s="4">
        <v>6.85</v>
      </c>
      <c r="AO292" s="4">
        <v>6.91</v>
      </c>
      <c r="AQ292" s="4" t="s">
        <v>519</v>
      </c>
      <c r="AR292" s="4">
        <v>4.49</v>
      </c>
      <c r="AS292" s="4" t="s">
        <v>319</v>
      </c>
      <c r="AT292" s="4">
        <v>0.14</v>
      </c>
      <c r="BI292" s="1" t="s">
        <v>321</v>
      </c>
      <c r="BL292" s="1">
        <v>1500</v>
      </c>
      <c r="BP292" s="1">
        <v>0</v>
      </c>
      <c r="BS292" s="1">
        <v>7.5</v>
      </c>
      <c r="CB292" s="4" t="s">
        <v>524</v>
      </c>
      <c r="CD292" s="4">
        <v>173.7</v>
      </c>
      <c r="CE292" s="4" t="s">
        <v>525</v>
      </c>
      <c r="CG292" s="4">
        <v>88.63</v>
      </c>
      <c r="CH292" s="4" t="s">
        <v>319</v>
      </c>
      <c r="CJ292" s="4">
        <v>2.3</v>
      </c>
      <c r="CK292" s="4" t="s">
        <v>526</v>
      </c>
      <c r="CM292" s="4">
        <v>0.684</v>
      </c>
      <c r="DO292" s="4">
        <v>3</v>
      </c>
      <c r="DP292" s="4">
        <v>0.684</v>
      </c>
      <c r="DS292" s="4"/>
      <c r="EW292" s="4"/>
    </row>
    <row r="293" customHeight="1" spans="1:164">
      <c r="A293" s="28">
        <v>8</v>
      </c>
      <c r="B293" s="4" t="s">
        <v>489</v>
      </c>
      <c r="C293" s="5" t="s">
        <v>498</v>
      </c>
      <c r="D293" s="4" t="s">
        <v>491</v>
      </c>
      <c r="E293" s="4" t="s">
        <v>499</v>
      </c>
      <c r="J293" s="4" t="s">
        <v>500</v>
      </c>
      <c r="N293" s="24" t="s">
        <v>501</v>
      </c>
      <c r="O293" s="4" t="s">
        <v>502</v>
      </c>
      <c r="P293" s="4">
        <v>3</v>
      </c>
      <c r="Z293" s="4">
        <v>0.208</v>
      </c>
      <c r="AB293" s="4" t="s">
        <v>503</v>
      </c>
      <c r="AC293" s="4" t="s">
        <v>492</v>
      </c>
      <c r="AD293" s="4" t="s">
        <v>504</v>
      </c>
      <c r="AE293" s="4" t="s">
        <v>505</v>
      </c>
      <c r="AF293" s="4" t="s">
        <v>506</v>
      </c>
      <c r="AI293" s="4" t="s">
        <v>517</v>
      </c>
      <c r="AL293" s="4" t="s">
        <v>518</v>
      </c>
      <c r="AM293" s="4">
        <v>6.85</v>
      </c>
      <c r="AO293" s="4">
        <v>6.91</v>
      </c>
      <c r="AQ293" s="4" t="s">
        <v>519</v>
      </c>
      <c r="AR293" s="4">
        <v>4.49</v>
      </c>
      <c r="AS293" s="4" t="s">
        <v>319</v>
      </c>
      <c r="AT293" s="4">
        <v>0.14</v>
      </c>
      <c r="BI293" s="1" t="s">
        <v>321</v>
      </c>
      <c r="BL293" s="1">
        <v>1500</v>
      </c>
      <c r="BP293" s="1">
        <v>0.1</v>
      </c>
      <c r="BS293" s="1">
        <v>7.5</v>
      </c>
      <c r="CB293" s="4" t="s">
        <v>524</v>
      </c>
      <c r="CD293" s="4">
        <v>173.7</v>
      </c>
      <c r="CE293" s="4" t="s">
        <v>525</v>
      </c>
      <c r="CG293" s="4">
        <v>88.63</v>
      </c>
      <c r="CH293" s="4" t="s">
        <v>319</v>
      </c>
      <c r="CJ293" s="4">
        <v>2.3</v>
      </c>
      <c r="CK293" s="4" t="s">
        <v>526</v>
      </c>
      <c r="CM293" s="4">
        <v>0.684</v>
      </c>
      <c r="DO293" s="4">
        <v>3</v>
      </c>
      <c r="DP293" s="4">
        <v>0.684</v>
      </c>
      <c r="DS293" s="4"/>
      <c r="EW293" s="4"/>
    </row>
    <row r="294" customHeight="1" spans="1:164">
      <c r="A294" s="28">
        <v>8</v>
      </c>
      <c r="B294" s="4" t="s">
        <v>489</v>
      </c>
      <c r="C294" s="5" t="s">
        <v>498</v>
      </c>
      <c r="D294" s="4" t="s">
        <v>491</v>
      </c>
      <c r="E294" s="4" t="s">
        <v>499</v>
      </c>
      <c r="J294" s="4" t="s">
        <v>500</v>
      </c>
      <c r="N294" s="24" t="s">
        <v>501</v>
      </c>
      <c r="O294" s="4" t="s">
        <v>502</v>
      </c>
      <c r="P294" s="4">
        <v>3</v>
      </c>
      <c r="Z294" s="4">
        <v>0.208</v>
      </c>
      <c r="AB294" s="4" t="s">
        <v>503</v>
      </c>
      <c r="AC294" s="4" t="s">
        <v>492</v>
      </c>
      <c r="AD294" s="4" t="s">
        <v>504</v>
      </c>
      <c r="AE294" s="4" t="s">
        <v>505</v>
      </c>
      <c r="AF294" s="4" t="s">
        <v>506</v>
      </c>
      <c r="AI294" s="4" t="s">
        <v>517</v>
      </c>
      <c r="AL294" s="4" t="s">
        <v>518</v>
      </c>
      <c r="AM294" s="4">
        <v>6.85</v>
      </c>
      <c r="AO294" s="4">
        <v>6.91</v>
      </c>
      <c r="AQ294" s="4" t="s">
        <v>519</v>
      </c>
      <c r="AR294" s="4">
        <v>4.49</v>
      </c>
      <c r="AS294" s="4" t="s">
        <v>319</v>
      </c>
      <c r="AT294" s="4">
        <v>0.14</v>
      </c>
      <c r="BI294" s="1" t="s">
        <v>321</v>
      </c>
      <c r="BL294" s="1">
        <v>1500</v>
      </c>
      <c r="BP294" s="1">
        <v>0.5</v>
      </c>
      <c r="BS294" s="1">
        <v>7.5</v>
      </c>
      <c r="CB294" s="4" t="s">
        <v>524</v>
      </c>
      <c r="CD294" s="4">
        <v>173.7</v>
      </c>
      <c r="CE294" s="4" t="s">
        <v>525</v>
      </c>
      <c r="CG294" s="4">
        <v>88.63</v>
      </c>
      <c r="CH294" s="4" t="s">
        <v>319</v>
      </c>
      <c r="CJ294" s="4">
        <v>2.3</v>
      </c>
      <c r="CK294" s="4" t="s">
        <v>526</v>
      </c>
      <c r="CM294" s="4">
        <v>0.684</v>
      </c>
      <c r="DO294" s="4">
        <v>3</v>
      </c>
      <c r="DP294" s="4">
        <v>0.684</v>
      </c>
      <c r="DS294" s="4"/>
      <c r="EW294" s="4"/>
    </row>
    <row r="295" customHeight="1" spans="1:164">
      <c r="A295" s="28">
        <v>8</v>
      </c>
      <c r="B295" s="4" t="s">
        <v>489</v>
      </c>
      <c r="C295" s="5" t="s">
        <v>498</v>
      </c>
      <c r="D295" s="4" t="s">
        <v>491</v>
      </c>
      <c r="E295" s="4" t="s">
        <v>499</v>
      </c>
      <c r="J295" s="4" t="s">
        <v>500</v>
      </c>
      <c r="N295" s="24" t="s">
        <v>501</v>
      </c>
      <c r="O295" s="4" t="s">
        <v>502</v>
      </c>
      <c r="P295" s="4">
        <v>3</v>
      </c>
      <c r="Z295" s="4">
        <v>0.208</v>
      </c>
      <c r="AB295" s="4" t="s">
        <v>503</v>
      </c>
      <c r="AC295" s="4" t="s">
        <v>492</v>
      </c>
      <c r="AD295" s="4" t="s">
        <v>504</v>
      </c>
      <c r="AE295" s="4" t="s">
        <v>505</v>
      </c>
      <c r="AF295" s="4" t="s">
        <v>506</v>
      </c>
      <c r="AI295" s="4" t="s">
        <v>517</v>
      </c>
      <c r="AL295" s="4" t="s">
        <v>518</v>
      </c>
      <c r="AM295" s="4">
        <v>6.85</v>
      </c>
      <c r="AO295" s="4">
        <v>6.91</v>
      </c>
      <c r="AQ295" s="4" t="s">
        <v>519</v>
      </c>
      <c r="AR295" s="4">
        <v>4.49</v>
      </c>
      <c r="AS295" s="4" t="s">
        <v>319</v>
      </c>
      <c r="AT295" s="4">
        <v>0.14</v>
      </c>
      <c r="BI295" s="1" t="s">
        <v>321</v>
      </c>
      <c r="BL295" s="1">
        <v>1500</v>
      </c>
      <c r="BP295" s="1">
        <v>1</v>
      </c>
      <c r="BS295" s="1">
        <v>7.5</v>
      </c>
      <c r="CB295" s="4" t="s">
        <v>524</v>
      </c>
      <c r="CD295" s="4">
        <v>173.7</v>
      </c>
      <c r="CE295" s="4" t="s">
        <v>525</v>
      </c>
      <c r="CG295" s="4">
        <v>88.63</v>
      </c>
      <c r="CH295" s="4" t="s">
        <v>319</v>
      </c>
      <c r="CJ295" s="4">
        <v>2.3</v>
      </c>
      <c r="CK295" s="4" t="s">
        <v>526</v>
      </c>
      <c r="CM295" s="4">
        <v>0.684</v>
      </c>
      <c r="DO295" s="4">
        <v>3</v>
      </c>
      <c r="DP295" s="4">
        <v>0.684</v>
      </c>
      <c r="DS295" s="4"/>
      <c r="EW295" s="4"/>
    </row>
    <row r="296" customHeight="1" spans="1:164">
      <c r="A296" s="3">
        <v>9</v>
      </c>
      <c r="B296" s="4" t="s">
        <v>527</v>
      </c>
      <c r="C296" s="5" t="s">
        <v>528</v>
      </c>
      <c r="D296" s="4" t="s">
        <v>529</v>
      </c>
      <c r="E296" s="4" t="s">
        <v>530</v>
      </c>
      <c r="H296" s="4" t="s">
        <v>328</v>
      </c>
      <c r="I296" s="4" t="s">
        <v>531</v>
      </c>
      <c r="N296" s="4" t="s">
        <v>532</v>
      </c>
      <c r="O296" s="24" t="s">
        <v>367</v>
      </c>
      <c r="R296" s="4" t="s">
        <v>533</v>
      </c>
      <c r="S296" s="4" t="s">
        <v>304</v>
      </c>
      <c r="T296" s="4">
        <v>220.1</v>
      </c>
      <c r="U296" s="4">
        <v>0.218</v>
      </c>
      <c r="V296" s="4">
        <v>3.961</v>
      </c>
      <c r="AA296" s="4" t="s">
        <v>534</v>
      </c>
      <c r="BV296" s="4">
        <v>120</v>
      </c>
      <c r="CB296" s="4" t="s">
        <v>496</v>
      </c>
      <c r="CC296" s="4" t="s">
        <v>535</v>
      </c>
      <c r="CV296" s="4">
        <v>100</v>
      </c>
      <c r="DB296" s="4" t="s">
        <v>430</v>
      </c>
      <c r="DE296" s="4">
        <v>265.3</v>
      </c>
      <c r="DO296" s="4">
        <v>3</v>
      </c>
      <c r="FA296" s="4">
        <v>265.3</v>
      </c>
    </row>
    <row r="297" customHeight="1" spans="1:164">
      <c r="A297" s="3">
        <v>9</v>
      </c>
      <c r="B297" s="4" t="s">
        <v>527</v>
      </c>
      <c r="C297" s="5" t="s">
        <v>528</v>
      </c>
      <c r="D297" s="4" t="s">
        <v>529</v>
      </c>
      <c r="E297" s="4" t="s">
        <v>530</v>
      </c>
      <c r="H297" s="4" t="s">
        <v>328</v>
      </c>
      <c r="I297" s="4" t="s">
        <v>531</v>
      </c>
      <c r="N297" s="4" t="s">
        <v>532</v>
      </c>
      <c r="O297" s="24" t="s">
        <v>367</v>
      </c>
      <c r="R297" s="4" t="s">
        <v>533</v>
      </c>
      <c r="S297" s="4" t="s">
        <v>304</v>
      </c>
      <c r="T297" s="4">
        <v>220.1</v>
      </c>
      <c r="U297" s="4">
        <v>0.218</v>
      </c>
      <c r="V297" s="4">
        <v>3.961</v>
      </c>
      <c r="AA297" s="4" t="s">
        <v>534</v>
      </c>
      <c r="BV297" s="4">
        <v>120</v>
      </c>
      <c r="CB297" s="4" t="s">
        <v>7</v>
      </c>
      <c r="CC297" s="4" t="s">
        <v>535</v>
      </c>
      <c r="CV297" s="4">
        <v>10</v>
      </c>
      <c r="DB297" s="4" t="s">
        <v>430</v>
      </c>
      <c r="DE297" s="4">
        <v>320.7</v>
      </c>
      <c r="DO297" s="4">
        <v>3</v>
      </c>
      <c r="DW297" s="29">
        <v>320.7</v>
      </c>
    </row>
    <row r="298" customHeight="1" spans="1:164">
      <c r="A298" s="3">
        <v>9</v>
      </c>
      <c r="B298" s="4" t="s">
        <v>527</v>
      </c>
      <c r="C298" s="5" t="s">
        <v>528</v>
      </c>
      <c r="D298" s="4" t="s">
        <v>529</v>
      </c>
      <c r="E298" s="4" t="s">
        <v>530</v>
      </c>
      <c r="H298" s="4" t="s">
        <v>328</v>
      </c>
      <c r="I298" s="4" t="s">
        <v>531</v>
      </c>
      <c r="N298" s="4" t="s">
        <v>532</v>
      </c>
      <c r="O298" s="24" t="s">
        <v>367</v>
      </c>
      <c r="R298" s="4" t="s">
        <v>533</v>
      </c>
      <c r="S298" s="4" t="s">
        <v>304</v>
      </c>
      <c r="T298" s="4">
        <v>220.1</v>
      </c>
      <c r="U298" s="4">
        <v>0.218</v>
      </c>
      <c r="V298" s="4">
        <v>3.961</v>
      </c>
      <c r="AA298" s="4" t="s">
        <v>534</v>
      </c>
      <c r="CB298" s="4" t="s">
        <v>496</v>
      </c>
      <c r="CC298" s="4" t="s">
        <v>535</v>
      </c>
      <c r="CE298" s="4" t="s">
        <v>7</v>
      </c>
      <c r="CF298" s="4" t="s">
        <v>535</v>
      </c>
      <c r="DB298" s="4" t="s">
        <v>312</v>
      </c>
      <c r="DE298" s="4">
        <v>165.08</v>
      </c>
      <c r="DG298" s="4">
        <v>268.69</v>
      </c>
      <c r="DO298" s="4">
        <v>3</v>
      </c>
      <c r="DW298" s="29">
        <v>269</v>
      </c>
      <c r="FA298" s="4">
        <v>165.08</v>
      </c>
    </row>
    <row r="299" customHeight="1" spans="1:164">
      <c r="A299" s="3">
        <v>9</v>
      </c>
      <c r="B299" s="4" t="s">
        <v>527</v>
      </c>
      <c r="C299" s="5" t="s">
        <v>528</v>
      </c>
      <c r="D299" s="4" t="s">
        <v>529</v>
      </c>
      <c r="E299" s="4" t="s">
        <v>530</v>
      </c>
      <c r="H299" s="4" t="s">
        <v>328</v>
      </c>
      <c r="I299" s="4" t="s">
        <v>531</v>
      </c>
      <c r="N299" s="4" t="s">
        <v>532</v>
      </c>
      <c r="O299" s="24" t="s">
        <v>367</v>
      </c>
      <c r="R299" s="4" t="s">
        <v>533</v>
      </c>
      <c r="S299" s="4" t="s">
        <v>304</v>
      </c>
      <c r="T299" s="4">
        <v>220.1</v>
      </c>
      <c r="U299" s="4">
        <v>0.218</v>
      </c>
      <c r="V299" s="4">
        <v>3.961</v>
      </c>
      <c r="AA299" s="4" t="s">
        <v>534</v>
      </c>
      <c r="BI299" s="4" t="s">
        <v>309</v>
      </c>
      <c r="BN299" s="4">
        <v>1</v>
      </c>
      <c r="BS299" s="4">
        <v>4.5</v>
      </c>
      <c r="BU299" s="4">
        <v>170</v>
      </c>
      <c r="BV299" s="4" t="s">
        <v>376</v>
      </c>
      <c r="BW299" s="4">
        <v>25</v>
      </c>
      <c r="CB299" s="4" t="s">
        <v>496</v>
      </c>
      <c r="CC299" s="4">
        <v>60</v>
      </c>
      <c r="CE299" s="4" t="s">
        <v>7</v>
      </c>
      <c r="CF299" s="4">
        <v>60</v>
      </c>
      <c r="CV299" s="4">
        <v>100</v>
      </c>
      <c r="DO299" s="4">
        <v>3</v>
      </c>
      <c r="DP299" s="4">
        <v>60</v>
      </c>
    </row>
    <row r="300" customHeight="1" spans="1:164">
      <c r="A300" s="3">
        <v>9</v>
      </c>
      <c r="B300" s="4" t="s">
        <v>527</v>
      </c>
      <c r="C300" s="5" t="s">
        <v>528</v>
      </c>
      <c r="D300" s="4" t="s">
        <v>529</v>
      </c>
      <c r="E300" s="4" t="s">
        <v>530</v>
      </c>
      <c r="H300" s="4" t="s">
        <v>328</v>
      </c>
      <c r="I300" s="4" t="s">
        <v>531</v>
      </c>
      <c r="N300" s="4" t="s">
        <v>532</v>
      </c>
      <c r="O300" s="24" t="s">
        <v>367</v>
      </c>
      <c r="R300" s="4" t="s">
        <v>533</v>
      </c>
      <c r="S300" s="4" t="s">
        <v>304</v>
      </c>
      <c r="T300" s="4">
        <v>220.1</v>
      </c>
      <c r="U300" s="4">
        <v>0.218</v>
      </c>
      <c r="V300" s="4">
        <v>3.961</v>
      </c>
      <c r="AA300" s="4" t="s">
        <v>534</v>
      </c>
      <c r="BI300" s="4" t="s">
        <v>309</v>
      </c>
      <c r="BN300" s="4">
        <v>1</v>
      </c>
      <c r="BS300" s="4">
        <v>4.5</v>
      </c>
      <c r="BU300" s="4">
        <v>170</v>
      </c>
      <c r="BV300" s="4">
        <v>120</v>
      </c>
      <c r="BW300" s="4">
        <v>25</v>
      </c>
      <c r="CB300" s="4" t="s">
        <v>496</v>
      </c>
      <c r="CC300" s="4">
        <v>60</v>
      </c>
      <c r="CE300" s="4" t="s">
        <v>7</v>
      </c>
      <c r="CF300" s="4">
        <v>60</v>
      </c>
      <c r="CR300" s="4" t="s">
        <v>512</v>
      </c>
      <c r="CS300" s="4">
        <v>0</v>
      </c>
      <c r="DO300" s="4">
        <v>3</v>
      </c>
      <c r="DP300" s="4">
        <v>60</v>
      </c>
      <c r="EA300" s="27">
        <v>98.08</v>
      </c>
      <c r="EB300" s="1">
        <v>0.19</v>
      </c>
      <c r="ED300" s="27">
        <v>98.08</v>
      </c>
      <c r="FE300" s="27">
        <v>100</v>
      </c>
      <c r="FF300" s="1">
        <v>0.19</v>
      </c>
      <c r="FH300" s="27">
        <v>100</v>
      </c>
    </row>
    <row r="301" customHeight="1" spans="1:164">
      <c r="A301" s="3">
        <v>9</v>
      </c>
      <c r="B301" s="4" t="s">
        <v>527</v>
      </c>
      <c r="C301" s="5" t="s">
        <v>528</v>
      </c>
      <c r="D301" s="4" t="s">
        <v>529</v>
      </c>
      <c r="E301" s="4" t="s">
        <v>530</v>
      </c>
      <c r="H301" s="4" t="s">
        <v>328</v>
      </c>
      <c r="I301" s="4" t="s">
        <v>531</v>
      </c>
      <c r="N301" s="4" t="s">
        <v>532</v>
      </c>
      <c r="O301" s="24" t="s">
        <v>367</v>
      </c>
      <c r="R301" s="4" t="s">
        <v>533</v>
      </c>
      <c r="S301" s="4" t="s">
        <v>304</v>
      </c>
      <c r="T301" s="4">
        <v>220.1</v>
      </c>
      <c r="U301" s="4">
        <v>0.218</v>
      </c>
      <c r="V301" s="4">
        <v>3.961</v>
      </c>
      <c r="AA301" s="4" t="s">
        <v>534</v>
      </c>
      <c r="BI301" s="4" t="s">
        <v>309</v>
      </c>
      <c r="BN301" s="4">
        <v>1</v>
      </c>
      <c r="BS301" s="4">
        <v>4.5</v>
      </c>
      <c r="BU301" s="4">
        <v>170</v>
      </c>
      <c r="BV301" s="4">
        <v>120</v>
      </c>
      <c r="BW301" s="4">
        <v>25</v>
      </c>
      <c r="CB301" s="4" t="s">
        <v>496</v>
      </c>
      <c r="CC301" s="4">
        <v>60</v>
      </c>
      <c r="CE301" s="4" t="s">
        <v>7</v>
      </c>
      <c r="CF301" s="4">
        <v>60</v>
      </c>
      <c r="CR301" s="4" t="s">
        <v>536</v>
      </c>
      <c r="CS301" s="4">
        <v>60</v>
      </c>
      <c r="DO301" s="4">
        <v>3</v>
      </c>
      <c r="DP301" s="4">
        <v>60</v>
      </c>
      <c r="EA301" s="27">
        <v>66.28</v>
      </c>
      <c r="EB301" s="1">
        <v>1.92</v>
      </c>
      <c r="ED301" s="27">
        <v>66.28</v>
      </c>
      <c r="FE301" s="27">
        <v>99.62</v>
      </c>
      <c r="FF301" s="1">
        <v>0.19</v>
      </c>
      <c r="FH301" s="27">
        <v>99.62</v>
      </c>
    </row>
    <row r="302" customHeight="1" spans="1:164">
      <c r="A302" s="3">
        <v>9</v>
      </c>
      <c r="B302" s="4" t="s">
        <v>527</v>
      </c>
      <c r="C302" s="5" t="s">
        <v>528</v>
      </c>
      <c r="D302" s="4" t="s">
        <v>529</v>
      </c>
      <c r="E302" s="4" t="s">
        <v>530</v>
      </c>
      <c r="H302" s="4" t="s">
        <v>328</v>
      </c>
      <c r="I302" s="4" t="s">
        <v>531</v>
      </c>
      <c r="N302" s="4" t="s">
        <v>532</v>
      </c>
      <c r="O302" s="24" t="s">
        <v>367</v>
      </c>
      <c r="R302" s="4" t="s">
        <v>533</v>
      </c>
      <c r="S302" s="4" t="s">
        <v>304</v>
      </c>
      <c r="T302" s="4">
        <v>220.1</v>
      </c>
      <c r="U302" s="4">
        <v>0.218</v>
      </c>
      <c r="V302" s="4">
        <v>3.961</v>
      </c>
      <c r="AA302" s="4" t="s">
        <v>534</v>
      </c>
      <c r="BI302" s="4" t="s">
        <v>309</v>
      </c>
      <c r="BN302" s="4">
        <v>1</v>
      </c>
      <c r="BS302" s="4">
        <v>4.5</v>
      </c>
      <c r="BU302" s="4">
        <v>170</v>
      </c>
      <c r="BV302" s="4">
        <v>120</v>
      </c>
      <c r="BW302" s="4">
        <v>25</v>
      </c>
      <c r="CB302" s="4" t="s">
        <v>496</v>
      </c>
      <c r="CC302" s="4">
        <v>60</v>
      </c>
      <c r="CE302" s="4" t="s">
        <v>7</v>
      </c>
      <c r="CF302" s="4">
        <v>60</v>
      </c>
      <c r="CR302" s="4" t="s">
        <v>537</v>
      </c>
      <c r="CS302" s="4">
        <v>60</v>
      </c>
      <c r="DO302" s="4">
        <v>3</v>
      </c>
      <c r="DP302" s="4">
        <v>60</v>
      </c>
      <c r="EA302" s="27">
        <v>80.08</v>
      </c>
      <c r="EB302" s="1">
        <v>1.54</v>
      </c>
      <c r="ED302" s="27">
        <v>80.08</v>
      </c>
      <c r="FE302" s="27">
        <v>99.43</v>
      </c>
      <c r="FF302" s="1">
        <v>0.19</v>
      </c>
      <c r="FH302" s="27">
        <v>99.43</v>
      </c>
    </row>
    <row r="303" customHeight="1" spans="1:164">
      <c r="A303" s="3">
        <v>9</v>
      </c>
      <c r="B303" s="4" t="s">
        <v>527</v>
      </c>
      <c r="C303" s="5" t="s">
        <v>528</v>
      </c>
      <c r="D303" s="4" t="s">
        <v>529</v>
      </c>
      <c r="E303" s="4" t="s">
        <v>530</v>
      </c>
      <c r="H303" s="4" t="s">
        <v>328</v>
      </c>
      <c r="I303" s="4" t="s">
        <v>531</v>
      </c>
      <c r="N303" s="4" t="s">
        <v>532</v>
      </c>
      <c r="O303" s="24" t="s">
        <v>367</v>
      </c>
      <c r="R303" s="4" t="s">
        <v>533</v>
      </c>
      <c r="S303" s="4" t="s">
        <v>304</v>
      </c>
      <c r="T303" s="4">
        <v>220.1</v>
      </c>
      <c r="U303" s="4">
        <v>0.218</v>
      </c>
      <c r="V303" s="4">
        <v>3.961</v>
      </c>
      <c r="AA303" s="4" t="s">
        <v>534</v>
      </c>
      <c r="BI303" s="4" t="s">
        <v>309</v>
      </c>
      <c r="BN303" s="4">
        <v>1</v>
      </c>
      <c r="BS303" s="4">
        <v>4.5</v>
      </c>
      <c r="BU303" s="4">
        <v>170</v>
      </c>
      <c r="BV303" s="4">
        <v>120</v>
      </c>
      <c r="BW303" s="4">
        <v>25</v>
      </c>
      <c r="CB303" s="4" t="s">
        <v>496</v>
      </c>
      <c r="CC303" s="4">
        <v>60</v>
      </c>
      <c r="CE303" s="4" t="s">
        <v>7</v>
      </c>
      <c r="CF303" s="4">
        <v>60</v>
      </c>
      <c r="CR303" s="4" t="s">
        <v>538</v>
      </c>
      <c r="CS303" s="4">
        <v>60</v>
      </c>
      <c r="DO303" s="4">
        <v>3</v>
      </c>
      <c r="DP303" s="4">
        <v>60</v>
      </c>
      <c r="EA303" s="27">
        <v>83.91</v>
      </c>
      <c r="EB303" s="1">
        <v>1.92</v>
      </c>
      <c r="ED303" s="27">
        <v>83.91</v>
      </c>
      <c r="FE303" s="27">
        <v>99.62</v>
      </c>
      <c r="FF303" s="1">
        <v>0.19</v>
      </c>
      <c r="FH303" s="27">
        <v>99.62</v>
      </c>
    </row>
    <row r="304" customHeight="1" spans="1:164">
      <c r="A304" s="3">
        <v>9</v>
      </c>
      <c r="B304" s="4" t="s">
        <v>527</v>
      </c>
      <c r="C304" s="5" t="s">
        <v>528</v>
      </c>
      <c r="D304" s="4" t="s">
        <v>529</v>
      </c>
      <c r="E304" s="4" t="s">
        <v>530</v>
      </c>
      <c r="H304" s="4" t="s">
        <v>328</v>
      </c>
      <c r="I304" s="4" t="s">
        <v>531</v>
      </c>
      <c r="N304" s="4" t="s">
        <v>532</v>
      </c>
      <c r="O304" s="24" t="s">
        <v>367</v>
      </c>
      <c r="R304" s="4" t="s">
        <v>533</v>
      </c>
      <c r="S304" s="4" t="s">
        <v>304</v>
      </c>
      <c r="T304" s="4">
        <v>220.1</v>
      </c>
      <c r="U304" s="4">
        <v>0.218</v>
      </c>
      <c r="V304" s="4">
        <v>3.961</v>
      </c>
      <c r="AA304" s="4" t="s">
        <v>534</v>
      </c>
      <c r="BI304" s="4" t="s">
        <v>309</v>
      </c>
      <c r="BN304" s="4">
        <v>1</v>
      </c>
      <c r="BS304" s="4">
        <v>4.5</v>
      </c>
      <c r="BU304" s="4">
        <v>170</v>
      </c>
      <c r="BV304" s="4">
        <v>120</v>
      </c>
      <c r="BW304" s="4">
        <v>25</v>
      </c>
      <c r="CB304" s="4" t="s">
        <v>496</v>
      </c>
      <c r="CC304" s="4">
        <v>60</v>
      </c>
      <c r="CE304" s="4" t="s">
        <v>7</v>
      </c>
      <c r="CF304" s="4">
        <v>60</v>
      </c>
      <c r="CR304" s="4" t="s">
        <v>539</v>
      </c>
      <c r="CS304" s="4">
        <v>60</v>
      </c>
      <c r="DO304" s="4">
        <v>3</v>
      </c>
      <c r="DP304" s="4">
        <v>60</v>
      </c>
      <c r="EA304" s="27">
        <v>95.02</v>
      </c>
      <c r="EB304" s="1">
        <v>0.19</v>
      </c>
      <c r="ED304" s="27">
        <v>95.02</v>
      </c>
      <c r="FE304" s="27">
        <v>95.79</v>
      </c>
      <c r="FF304" s="1">
        <v>0.19</v>
      </c>
      <c r="FH304" s="27">
        <v>95.79</v>
      </c>
    </row>
    <row r="305" customHeight="1" spans="1:271">
      <c r="A305" s="3">
        <v>9</v>
      </c>
      <c r="B305" s="4" t="s">
        <v>527</v>
      </c>
      <c r="C305" s="5" t="s">
        <v>528</v>
      </c>
      <c r="D305" s="4" t="s">
        <v>529</v>
      </c>
      <c r="E305" s="4" t="s">
        <v>530</v>
      </c>
      <c r="H305" s="4" t="s">
        <v>328</v>
      </c>
      <c r="I305" s="4" t="s">
        <v>531</v>
      </c>
      <c r="N305" s="4" t="s">
        <v>532</v>
      </c>
      <c r="O305" s="24" t="s">
        <v>367</v>
      </c>
      <c r="R305" s="4" t="s">
        <v>533</v>
      </c>
      <c r="S305" s="4" t="s">
        <v>304</v>
      </c>
      <c r="T305" s="4">
        <v>220.1</v>
      </c>
      <c r="U305" s="4">
        <v>0.218</v>
      </c>
      <c r="V305" s="4">
        <v>3.961</v>
      </c>
      <c r="AA305" s="4" t="s">
        <v>534</v>
      </c>
      <c r="BI305" s="4" t="s">
        <v>309</v>
      </c>
      <c r="BN305" s="4">
        <v>1</v>
      </c>
      <c r="BS305" s="4">
        <v>4.5</v>
      </c>
      <c r="BU305" s="4">
        <v>170</v>
      </c>
      <c r="BV305" s="4">
        <v>120</v>
      </c>
      <c r="BW305" s="4">
        <v>25</v>
      </c>
      <c r="CB305" s="4" t="s">
        <v>496</v>
      </c>
      <c r="CC305" s="4">
        <v>60</v>
      </c>
      <c r="CE305" s="4" t="s">
        <v>7</v>
      </c>
      <c r="CF305" s="4">
        <v>60</v>
      </c>
      <c r="CR305" s="4" t="s">
        <v>540</v>
      </c>
      <c r="CS305" s="4">
        <v>60</v>
      </c>
      <c r="DO305" s="4">
        <v>3</v>
      </c>
      <c r="DP305" s="4">
        <v>60</v>
      </c>
      <c r="EA305" s="1">
        <v>97.7</v>
      </c>
      <c r="EB305" s="1">
        <v>0.19</v>
      </c>
      <c r="ED305" s="1">
        <v>97.7</v>
      </c>
      <c r="FE305" s="27">
        <v>97.7</v>
      </c>
      <c r="FF305" s="1">
        <v>0.38</v>
      </c>
      <c r="FH305" s="27">
        <v>97.7</v>
      </c>
    </row>
    <row r="306" customHeight="1" spans="1:271">
      <c r="A306" s="3">
        <v>9</v>
      </c>
      <c r="B306" s="4" t="s">
        <v>527</v>
      </c>
      <c r="C306" s="5" t="s">
        <v>528</v>
      </c>
      <c r="D306" s="4" t="s">
        <v>529</v>
      </c>
      <c r="E306" s="4" t="s">
        <v>530</v>
      </c>
      <c r="H306" s="4" t="s">
        <v>328</v>
      </c>
      <c r="I306" s="4" t="s">
        <v>531</v>
      </c>
      <c r="N306" s="4" t="s">
        <v>532</v>
      </c>
      <c r="O306" s="24" t="s">
        <v>367</v>
      </c>
      <c r="R306" s="4" t="s">
        <v>533</v>
      </c>
      <c r="S306" s="4" t="s">
        <v>304</v>
      </c>
      <c r="T306" s="4">
        <v>220.1</v>
      </c>
      <c r="U306" s="4">
        <v>0.218</v>
      </c>
      <c r="V306" s="4">
        <v>3.961</v>
      </c>
      <c r="AA306" s="4" t="s">
        <v>534</v>
      </c>
      <c r="BI306" s="4" t="s">
        <v>309</v>
      </c>
      <c r="BN306" s="4">
        <v>1</v>
      </c>
      <c r="BS306" s="4">
        <v>4.5</v>
      </c>
      <c r="BU306" s="4">
        <v>170</v>
      </c>
      <c r="BV306" s="4">
        <v>120</v>
      </c>
      <c r="BW306" s="4">
        <v>25</v>
      </c>
      <c r="CB306" s="4" t="s">
        <v>496</v>
      </c>
      <c r="CC306" s="4">
        <v>60</v>
      </c>
      <c r="CE306" s="4" t="s">
        <v>7</v>
      </c>
      <c r="CF306" s="4">
        <v>60</v>
      </c>
      <c r="CR306" s="4" t="s">
        <v>541</v>
      </c>
      <c r="CS306" s="4">
        <v>60</v>
      </c>
      <c r="DO306" s="4">
        <v>3</v>
      </c>
      <c r="DP306" s="4">
        <v>60</v>
      </c>
      <c r="EA306" s="1">
        <v>93.87</v>
      </c>
      <c r="EB306" s="1">
        <v>0.77</v>
      </c>
      <c r="ED306" s="1">
        <v>93.87</v>
      </c>
      <c r="FE306" s="27">
        <v>87.93</v>
      </c>
      <c r="FF306" s="1">
        <v>0.19</v>
      </c>
      <c r="FH306" s="27">
        <v>87.93</v>
      </c>
    </row>
    <row r="307" customHeight="1" spans="1:271">
      <c r="A307" s="3">
        <v>9</v>
      </c>
      <c r="B307" s="4" t="s">
        <v>527</v>
      </c>
      <c r="C307" s="5" t="s">
        <v>528</v>
      </c>
      <c r="D307" s="4" t="s">
        <v>529</v>
      </c>
      <c r="E307" s="4" t="s">
        <v>530</v>
      </c>
      <c r="H307" s="4" t="s">
        <v>328</v>
      </c>
      <c r="I307" s="4" t="s">
        <v>531</v>
      </c>
      <c r="N307" s="4" t="s">
        <v>532</v>
      </c>
      <c r="O307" s="24" t="s">
        <v>367</v>
      </c>
      <c r="R307" s="4" t="s">
        <v>533</v>
      </c>
      <c r="S307" s="4" t="s">
        <v>304</v>
      </c>
      <c r="T307" s="4">
        <v>220.1</v>
      </c>
      <c r="U307" s="4">
        <v>0.218</v>
      </c>
      <c r="V307" s="4">
        <v>3.961</v>
      </c>
      <c r="AA307" s="4" t="s">
        <v>534</v>
      </c>
      <c r="BI307" s="4" t="s">
        <v>309</v>
      </c>
      <c r="BN307" s="4">
        <v>1</v>
      </c>
      <c r="BS307" s="4">
        <v>4.5</v>
      </c>
      <c r="BU307" s="4">
        <v>170</v>
      </c>
      <c r="BV307" s="4">
        <v>120</v>
      </c>
      <c r="BW307" s="4">
        <v>25</v>
      </c>
      <c r="CB307" s="4" t="s">
        <v>496</v>
      </c>
      <c r="CC307" s="4">
        <v>60</v>
      </c>
      <c r="CE307" s="4" t="s">
        <v>7</v>
      </c>
      <c r="CF307" s="4">
        <v>60</v>
      </c>
      <c r="CR307" s="4" t="s">
        <v>542</v>
      </c>
      <c r="CS307" s="4">
        <v>60</v>
      </c>
      <c r="DO307" s="4">
        <v>3</v>
      </c>
      <c r="DP307" s="4">
        <v>60</v>
      </c>
      <c r="EA307" s="1">
        <v>93.1</v>
      </c>
      <c r="EB307" s="1">
        <v>3.84</v>
      </c>
      <c r="ED307" s="1">
        <v>93.1</v>
      </c>
      <c r="FE307" s="27">
        <v>80.08</v>
      </c>
      <c r="FF307" s="1">
        <v>0.96</v>
      </c>
      <c r="FH307" s="27">
        <v>80.08</v>
      </c>
    </row>
    <row r="308" customHeight="1" spans="1:271">
      <c r="A308" s="3">
        <v>9</v>
      </c>
      <c r="B308" s="4" t="s">
        <v>527</v>
      </c>
      <c r="C308" s="5" t="s">
        <v>528</v>
      </c>
      <c r="D308" s="4" t="s">
        <v>529</v>
      </c>
      <c r="E308" s="4" t="s">
        <v>530</v>
      </c>
      <c r="H308" s="4" t="s">
        <v>328</v>
      </c>
      <c r="I308" s="4" t="s">
        <v>531</v>
      </c>
      <c r="N308" s="4" t="s">
        <v>532</v>
      </c>
      <c r="O308" s="24" t="s">
        <v>367</v>
      </c>
      <c r="R308" s="4" t="s">
        <v>533</v>
      </c>
      <c r="S308" s="4" t="s">
        <v>304</v>
      </c>
      <c r="T308" s="4">
        <v>220.1</v>
      </c>
      <c r="U308" s="4">
        <v>0.218</v>
      </c>
      <c r="V308" s="4">
        <v>3.961</v>
      </c>
      <c r="AA308" s="4" t="s">
        <v>534</v>
      </c>
      <c r="BI308" s="4" t="s">
        <v>309</v>
      </c>
      <c r="BN308" s="4">
        <v>1</v>
      </c>
      <c r="BS308" s="4">
        <v>2</v>
      </c>
      <c r="BU308" s="4">
        <v>170</v>
      </c>
      <c r="BV308" s="4">
        <v>120</v>
      </c>
      <c r="BW308" s="4">
        <v>25</v>
      </c>
      <c r="CB308" s="4" t="s">
        <v>496</v>
      </c>
      <c r="CC308" s="4">
        <v>80</v>
      </c>
      <c r="CE308" s="4" t="s">
        <v>7</v>
      </c>
      <c r="CF308" s="4">
        <v>80</v>
      </c>
      <c r="DO308" s="4">
        <v>3</v>
      </c>
      <c r="DP308" s="4">
        <v>80</v>
      </c>
      <c r="DW308" s="1">
        <v>31.14</v>
      </c>
      <c r="DX308" s="1">
        <v>1.28</v>
      </c>
      <c r="EA308" s="1">
        <v>48.12</v>
      </c>
      <c r="EB308" s="1">
        <v>1.71</v>
      </c>
      <c r="ED308" s="1">
        <v>48.12</v>
      </c>
      <c r="FA308" s="27">
        <v>78.58</v>
      </c>
      <c r="FB308" s="32">
        <v>0.18</v>
      </c>
      <c r="FE308" s="27">
        <v>99.98</v>
      </c>
      <c r="FF308" s="1">
        <v>1.3</v>
      </c>
      <c r="FH308" s="27">
        <v>99.98</v>
      </c>
    </row>
    <row r="309" customHeight="1" spans="1:271">
      <c r="A309" s="3">
        <v>9</v>
      </c>
      <c r="B309" s="4" t="s">
        <v>527</v>
      </c>
      <c r="C309" s="5" t="s">
        <v>528</v>
      </c>
      <c r="D309" s="4" t="s">
        <v>529</v>
      </c>
      <c r="E309" s="4" t="s">
        <v>530</v>
      </c>
      <c r="H309" s="4" t="s">
        <v>328</v>
      </c>
      <c r="I309" s="4" t="s">
        <v>531</v>
      </c>
      <c r="N309" s="4" t="s">
        <v>532</v>
      </c>
      <c r="O309" s="24" t="s">
        <v>367</v>
      </c>
      <c r="R309" s="4" t="s">
        <v>533</v>
      </c>
      <c r="S309" s="4" t="s">
        <v>304</v>
      </c>
      <c r="T309" s="4">
        <v>220.1</v>
      </c>
      <c r="U309" s="4">
        <v>0.218</v>
      </c>
      <c r="V309" s="4">
        <v>3.961</v>
      </c>
      <c r="AA309" s="4" t="s">
        <v>534</v>
      </c>
      <c r="BI309" s="4" t="s">
        <v>309</v>
      </c>
      <c r="BN309" s="4">
        <v>1</v>
      </c>
      <c r="BS309" s="4">
        <v>3</v>
      </c>
      <c r="BU309" s="4">
        <v>170</v>
      </c>
      <c r="BV309" s="4">
        <v>120</v>
      </c>
      <c r="BW309" s="4">
        <v>25</v>
      </c>
      <c r="CB309" s="4" t="s">
        <v>496</v>
      </c>
      <c r="CC309" s="4">
        <v>80</v>
      </c>
      <c r="CE309" s="4" t="s">
        <v>7</v>
      </c>
      <c r="CF309" s="4">
        <v>80</v>
      </c>
      <c r="DO309" s="4">
        <v>3</v>
      </c>
      <c r="DP309" s="4">
        <v>80</v>
      </c>
      <c r="DW309" s="1">
        <v>68.82</v>
      </c>
      <c r="DX309" s="1">
        <v>0.48</v>
      </c>
      <c r="EA309" s="1">
        <v>98.22</v>
      </c>
      <c r="EB309" s="1">
        <v>1.5</v>
      </c>
      <c r="ED309" s="1">
        <v>98.22</v>
      </c>
      <c r="FA309" s="27">
        <v>81.42</v>
      </c>
      <c r="FB309" s="32">
        <v>0.18</v>
      </c>
      <c r="FE309" s="27">
        <v>99.8</v>
      </c>
      <c r="FF309" s="1">
        <v>1.3</v>
      </c>
      <c r="FH309" s="27">
        <v>99.8</v>
      </c>
    </row>
    <row r="310" customHeight="1" spans="1:271">
      <c r="A310" s="3">
        <v>9</v>
      </c>
      <c r="B310" s="4" t="s">
        <v>527</v>
      </c>
      <c r="C310" s="5" t="s">
        <v>528</v>
      </c>
      <c r="D310" s="4" t="s">
        <v>529</v>
      </c>
      <c r="E310" s="4" t="s">
        <v>530</v>
      </c>
      <c r="H310" s="4" t="s">
        <v>328</v>
      </c>
      <c r="I310" s="4" t="s">
        <v>531</v>
      </c>
      <c r="N310" s="4" t="s">
        <v>532</v>
      </c>
      <c r="O310" s="24" t="s">
        <v>367</v>
      </c>
      <c r="R310" s="4" t="s">
        <v>533</v>
      </c>
      <c r="S310" s="4" t="s">
        <v>304</v>
      </c>
      <c r="T310" s="4">
        <v>220.1</v>
      </c>
      <c r="U310" s="4">
        <v>0.218</v>
      </c>
      <c r="V310" s="4">
        <v>3.961</v>
      </c>
      <c r="AA310" s="4" t="s">
        <v>534</v>
      </c>
      <c r="BI310" s="4" t="s">
        <v>309</v>
      </c>
      <c r="BN310" s="4">
        <v>1</v>
      </c>
      <c r="BS310" s="4">
        <v>4</v>
      </c>
      <c r="BU310" s="4">
        <v>170</v>
      </c>
      <c r="BV310" s="4">
        <v>120</v>
      </c>
      <c r="BW310" s="4">
        <v>25</v>
      </c>
      <c r="CB310" s="4" t="s">
        <v>496</v>
      </c>
      <c r="CC310" s="4">
        <v>80</v>
      </c>
      <c r="CE310" s="4" t="s">
        <v>7</v>
      </c>
      <c r="CF310" s="4">
        <v>80</v>
      </c>
      <c r="DO310" s="4">
        <v>3</v>
      </c>
      <c r="DP310" s="4">
        <v>80</v>
      </c>
      <c r="DW310" s="1">
        <v>73.13</v>
      </c>
      <c r="DX310" s="1">
        <v>0.48</v>
      </c>
      <c r="EA310" s="1">
        <v>96.94</v>
      </c>
      <c r="EB310" s="1">
        <v>1.28</v>
      </c>
      <c r="ED310" s="1">
        <v>96.94</v>
      </c>
      <c r="FA310" s="27">
        <v>70.97</v>
      </c>
      <c r="FB310" s="32">
        <v>0.71</v>
      </c>
      <c r="FE310" s="27">
        <v>85.88</v>
      </c>
      <c r="FF310" s="1">
        <v>1.3</v>
      </c>
      <c r="FH310" s="27">
        <v>85.88</v>
      </c>
    </row>
    <row r="311" customHeight="1" spans="1:271">
      <c r="A311" s="3">
        <v>9</v>
      </c>
      <c r="B311" s="4" t="s">
        <v>527</v>
      </c>
      <c r="C311" s="5" t="s">
        <v>528</v>
      </c>
      <c r="D311" s="4" t="s">
        <v>529</v>
      </c>
      <c r="E311" s="4" t="s">
        <v>530</v>
      </c>
      <c r="H311" s="4" t="s">
        <v>328</v>
      </c>
      <c r="I311" s="4" t="s">
        <v>531</v>
      </c>
      <c r="N311" s="4" t="s">
        <v>532</v>
      </c>
      <c r="O311" s="24" t="s">
        <v>367</v>
      </c>
      <c r="R311" s="4" t="s">
        <v>533</v>
      </c>
      <c r="S311" s="4" t="s">
        <v>304</v>
      </c>
      <c r="T311" s="4">
        <v>220.1</v>
      </c>
      <c r="U311" s="4">
        <v>0.218</v>
      </c>
      <c r="V311" s="4">
        <v>3.961</v>
      </c>
      <c r="AA311" s="4" t="s">
        <v>534</v>
      </c>
      <c r="BI311" s="4" t="s">
        <v>309</v>
      </c>
      <c r="BN311" s="4">
        <v>1</v>
      </c>
      <c r="BS311" s="4">
        <v>5</v>
      </c>
      <c r="BU311" s="4">
        <v>170</v>
      </c>
      <c r="BV311" s="4">
        <v>120</v>
      </c>
      <c r="BW311" s="4">
        <v>25</v>
      </c>
      <c r="CB311" s="4" t="s">
        <v>496</v>
      </c>
      <c r="CC311" s="4">
        <v>80</v>
      </c>
      <c r="CE311" s="4" t="s">
        <v>7</v>
      </c>
      <c r="CF311" s="4">
        <v>80</v>
      </c>
      <c r="DO311" s="4">
        <v>3</v>
      </c>
      <c r="DP311" s="4">
        <v>80</v>
      </c>
      <c r="DW311" s="1">
        <v>71.22</v>
      </c>
      <c r="DX311" s="1">
        <v>0.64</v>
      </c>
      <c r="EA311" s="1">
        <v>95.44</v>
      </c>
      <c r="EB311" s="1">
        <v>1.07</v>
      </c>
      <c r="ED311" s="1">
        <v>95.44</v>
      </c>
      <c r="FA311" s="27">
        <v>65.49</v>
      </c>
      <c r="FB311" s="32">
        <v>1.06</v>
      </c>
      <c r="FE311" s="27">
        <v>78.65</v>
      </c>
      <c r="FF311" s="1">
        <v>1.48</v>
      </c>
      <c r="FH311" s="27">
        <v>78.65</v>
      </c>
    </row>
    <row r="312" customHeight="1" spans="1:271">
      <c r="A312" s="3">
        <v>9</v>
      </c>
      <c r="B312" s="4" t="s">
        <v>527</v>
      </c>
      <c r="C312" s="5" t="s">
        <v>528</v>
      </c>
      <c r="D312" s="4" t="s">
        <v>529</v>
      </c>
      <c r="E312" s="4" t="s">
        <v>530</v>
      </c>
      <c r="H312" s="4" t="s">
        <v>328</v>
      </c>
      <c r="I312" s="4" t="s">
        <v>531</v>
      </c>
      <c r="N312" s="4" t="s">
        <v>532</v>
      </c>
      <c r="O312" s="24" t="s">
        <v>367</v>
      </c>
      <c r="R312" s="4" t="s">
        <v>533</v>
      </c>
      <c r="S312" s="4" t="s">
        <v>304</v>
      </c>
      <c r="T312" s="4">
        <v>220.1</v>
      </c>
      <c r="U312" s="4">
        <v>0.218</v>
      </c>
      <c r="V312" s="4">
        <v>3.961</v>
      </c>
      <c r="AA312" s="4" t="s">
        <v>534</v>
      </c>
      <c r="BI312" s="4" t="s">
        <v>309</v>
      </c>
      <c r="BN312" s="4">
        <v>1</v>
      </c>
      <c r="BS312" s="4">
        <v>6</v>
      </c>
      <c r="BU312" s="4">
        <v>170</v>
      </c>
      <c r="BV312" s="4">
        <v>120</v>
      </c>
      <c r="BW312" s="4">
        <v>25</v>
      </c>
      <c r="CB312" s="4" t="s">
        <v>496</v>
      </c>
      <c r="CC312" s="4">
        <v>80</v>
      </c>
      <c r="CE312" s="4" t="s">
        <v>7</v>
      </c>
      <c r="CF312" s="4">
        <v>80</v>
      </c>
      <c r="DO312" s="4">
        <v>3</v>
      </c>
      <c r="DP312" s="4">
        <v>80</v>
      </c>
      <c r="DW312" s="1">
        <v>68.02</v>
      </c>
      <c r="DX312" s="1">
        <v>0.48</v>
      </c>
      <c r="EA312" s="1">
        <v>97.15</v>
      </c>
      <c r="EB312" s="1">
        <v>1.5</v>
      </c>
      <c r="ED312" s="1">
        <v>97.15</v>
      </c>
      <c r="FA312" s="27">
        <v>57.35</v>
      </c>
      <c r="FB312" s="32">
        <v>0.88</v>
      </c>
      <c r="FE312" s="27">
        <v>79.94</v>
      </c>
      <c r="FF312" s="1">
        <v>1.11</v>
      </c>
      <c r="FH312" s="27">
        <v>79.94</v>
      </c>
    </row>
    <row r="313" customHeight="1" spans="1:271">
      <c r="A313" s="3">
        <v>9</v>
      </c>
      <c r="B313" s="4" t="s">
        <v>527</v>
      </c>
      <c r="C313" s="5" t="s">
        <v>528</v>
      </c>
      <c r="D313" s="4" t="s">
        <v>529</v>
      </c>
      <c r="E313" s="4" t="s">
        <v>530</v>
      </c>
      <c r="H313" s="4" t="s">
        <v>328</v>
      </c>
      <c r="I313" s="4" t="s">
        <v>531</v>
      </c>
      <c r="N313" s="4" t="s">
        <v>532</v>
      </c>
      <c r="O313" s="24" t="s">
        <v>367</v>
      </c>
      <c r="R313" s="4" t="s">
        <v>533</v>
      </c>
      <c r="S313" s="4" t="s">
        <v>304</v>
      </c>
      <c r="T313" s="4">
        <v>220.1</v>
      </c>
      <c r="U313" s="4">
        <v>0.218</v>
      </c>
      <c r="V313" s="4">
        <v>3.961</v>
      </c>
      <c r="AA313" s="4" t="s">
        <v>534</v>
      </c>
      <c r="DO313" s="4">
        <v>3</v>
      </c>
    </row>
    <row r="314" customHeight="1" spans="1:271">
      <c r="A314" s="3">
        <v>9</v>
      </c>
      <c r="B314" s="4" t="s">
        <v>527</v>
      </c>
      <c r="C314" s="5" t="s">
        <v>528</v>
      </c>
      <c r="D314" s="4" t="s">
        <v>529</v>
      </c>
      <c r="E314" s="4" t="s">
        <v>530</v>
      </c>
      <c r="H314" s="4" t="s">
        <v>328</v>
      </c>
      <c r="I314" s="4" t="s">
        <v>531</v>
      </c>
      <c r="N314" s="4" t="s">
        <v>532</v>
      </c>
      <c r="O314" s="24" t="s">
        <v>367</v>
      </c>
      <c r="R314" s="4" t="s">
        <v>533</v>
      </c>
      <c r="S314" s="4" t="s">
        <v>304</v>
      </c>
      <c r="T314" s="4">
        <v>220.1</v>
      </c>
      <c r="U314" s="4">
        <v>0.218</v>
      </c>
      <c r="V314" s="4">
        <v>3.961</v>
      </c>
      <c r="AA314" s="4" t="s">
        <v>534</v>
      </c>
      <c r="AH314" s="4" t="s">
        <v>543</v>
      </c>
      <c r="AI314" s="4" t="s">
        <v>544</v>
      </c>
      <c r="AJ314" s="4" t="s">
        <v>545</v>
      </c>
      <c r="AK314" s="4" t="s">
        <v>546</v>
      </c>
      <c r="AM314" s="4">
        <v>8.18</v>
      </c>
      <c r="AN314" s="4">
        <v>15.96</v>
      </c>
      <c r="AO314" s="4">
        <v>4.775</v>
      </c>
      <c r="AP314" s="4">
        <v>281.12</v>
      </c>
      <c r="AQ314" s="4" t="s">
        <v>519</v>
      </c>
      <c r="AR314" s="4">
        <v>178.75</v>
      </c>
      <c r="AS314" s="4" t="s">
        <v>319</v>
      </c>
      <c r="AT314" s="4">
        <v>8.12</v>
      </c>
      <c r="BC314" s="4" t="s">
        <v>547</v>
      </c>
      <c r="BI314" s="4" t="s">
        <v>321</v>
      </c>
      <c r="BL314" s="4">
        <v>50</v>
      </c>
      <c r="BP314" s="4">
        <v>0</v>
      </c>
      <c r="BV314" s="4" t="s">
        <v>522</v>
      </c>
      <c r="BX314" s="4" t="s">
        <v>548</v>
      </c>
      <c r="CB314" s="4" t="s">
        <v>438</v>
      </c>
      <c r="CE314" s="4" t="s">
        <v>435</v>
      </c>
      <c r="DO314" s="4">
        <v>3</v>
      </c>
      <c r="DS314" s="27" t="s">
        <v>549</v>
      </c>
      <c r="ED314" s="1">
        <v>0</v>
      </c>
      <c r="FJ314" s="1">
        <v>4.74</v>
      </c>
      <c r="FL314" s="27" t="s">
        <v>550</v>
      </c>
      <c r="FM314" s="1">
        <v>0.056</v>
      </c>
      <c r="FV314" s="1" t="e">
        <f>(FJ314-FL314)/FJ314*100</f>
        <v>#VALUE!</v>
      </c>
      <c r="FW314" s="1">
        <v>0</v>
      </c>
      <c r="JJ314" s="1" t="s">
        <v>551</v>
      </c>
      <c r="JK314" s="1" t="s">
        <v>552</v>
      </c>
    </row>
    <row r="315" customHeight="1" spans="1:271">
      <c r="A315" s="3">
        <v>9</v>
      </c>
      <c r="B315" s="4" t="s">
        <v>527</v>
      </c>
      <c r="C315" s="5" t="s">
        <v>528</v>
      </c>
      <c r="D315" s="4" t="s">
        <v>529</v>
      </c>
      <c r="E315" s="4" t="s">
        <v>530</v>
      </c>
      <c r="H315" s="4" t="s">
        <v>328</v>
      </c>
      <c r="I315" s="4" t="s">
        <v>531</v>
      </c>
      <c r="N315" s="4" t="s">
        <v>532</v>
      </c>
      <c r="O315" s="24" t="s">
        <v>367</v>
      </c>
      <c r="R315" s="4" t="s">
        <v>533</v>
      </c>
      <c r="S315" s="4" t="s">
        <v>304</v>
      </c>
      <c r="T315" s="4">
        <v>220.1</v>
      </c>
      <c r="U315" s="4">
        <v>0.218</v>
      </c>
      <c r="V315" s="4">
        <v>3.961</v>
      </c>
      <c r="AA315" s="4" t="s">
        <v>534</v>
      </c>
      <c r="AH315" s="4" t="s">
        <v>543</v>
      </c>
      <c r="AI315" s="4" t="s">
        <v>544</v>
      </c>
      <c r="AJ315" s="4" t="s">
        <v>545</v>
      </c>
      <c r="AK315" s="4" t="s">
        <v>546</v>
      </c>
      <c r="AM315" s="4">
        <v>8.18</v>
      </c>
      <c r="AN315" s="4">
        <v>15.96</v>
      </c>
      <c r="AO315" s="4">
        <v>4.775</v>
      </c>
      <c r="AP315" s="4">
        <v>281.12</v>
      </c>
      <c r="AQ315" s="4" t="s">
        <v>519</v>
      </c>
      <c r="AR315" s="4">
        <v>178.75</v>
      </c>
      <c r="AS315" s="4" t="s">
        <v>319</v>
      </c>
      <c r="AT315" s="4">
        <v>8.12</v>
      </c>
      <c r="BC315" s="4" t="s">
        <v>547</v>
      </c>
      <c r="BI315" s="4" t="s">
        <v>321</v>
      </c>
      <c r="BL315" s="4">
        <v>50</v>
      </c>
      <c r="BP315" s="4">
        <v>1</v>
      </c>
      <c r="BV315" s="4" t="s">
        <v>522</v>
      </c>
      <c r="BX315" s="4" t="s">
        <v>548</v>
      </c>
      <c r="CB315" s="4" t="s">
        <v>438</v>
      </c>
      <c r="CE315" s="4" t="s">
        <v>435</v>
      </c>
      <c r="DO315" s="4">
        <v>3</v>
      </c>
      <c r="DQ315" s="1">
        <v>0.21</v>
      </c>
      <c r="DS315" s="27">
        <v>0.13</v>
      </c>
      <c r="DT315" s="1">
        <v>0.0031</v>
      </c>
      <c r="ED315" s="1">
        <v>38.0952380952381</v>
      </c>
      <c r="FJ315" s="1">
        <v>4.74</v>
      </c>
      <c r="FL315" s="27">
        <v>1.63</v>
      </c>
      <c r="FM315" s="1">
        <v>0.028</v>
      </c>
      <c r="FV315" s="1">
        <f t="shared" ref="FV315:FV321" si="12">(FJ315-FL315)/FJ315*100</f>
        <v>65.6118143459916</v>
      </c>
      <c r="FW315" s="1">
        <v>65.6118143459916</v>
      </c>
      <c r="JJ315" s="1" t="s">
        <v>551</v>
      </c>
      <c r="JK315" s="1" t="s">
        <v>552</v>
      </c>
    </row>
    <row r="316" customHeight="1" spans="1:271">
      <c r="A316" s="3">
        <v>9</v>
      </c>
      <c r="B316" s="4" t="s">
        <v>527</v>
      </c>
      <c r="C316" s="5" t="s">
        <v>528</v>
      </c>
      <c r="D316" s="4" t="s">
        <v>529</v>
      </c>
      <c r="E316" s="4" t="s">
        <v>530</v>
      </c>
      <c r="H316" s="4" t="s">
        <v>328</v>
      </c>
      <c r="I316" s="4" t="s">
        <v>531</v>
      </c>
      <c r="N316" s="4" t="s">
        <v>532</v>
      </c>
      <c r="O316" s="24" t="s">
        <v>367</v>
      </c>
      <c r="R316" s="4" t="s">
        <v>533</v>
      </c>
      <c r="S316" s="4" t="s">
        <v>304</v>
      </c>
      <c r="T316" s="4">
        <v>220.1</v>
      </c>
      <c r="U316" s="4">
        <v>0.218</v>
      </c>
      <c r="V316" s="4">
        <v>3.961</v>
      </c>
      <c r="AA316" s="4" t="s">
        <v>534</v>
      </c>
      <c r="AH316" s="4" t="s">
        <v>543</v>
      </c>
      <c r="AI316" s="4" t="s">
        <v>544</v>
      </c>
      <c r="AJ316" s="4" t="s">
        <v>545</v>
      </c>
      <c r="AK316" s="4" t="s">
        <v>546</v>
      </c>
      <c r="AM316" s="4">
        <v>8.18</v>
      </c>
      <c r="AN316" s="4">
        <v>15.96</v>
      </c>
      <c r="AO316" s="4">
        <v>4.775</v>
      </c>
      <c r="AP316" s="4">
        <v>281.12</v>
      </c>
      <c r="AQ316" s="4" t="s">
        <v>519</v>
      </c>
      <c r="AR316" s="4">
        <v>178.75</v>
      </c>
      <c r="AS316" s="4" t="s">
        <v>319</v>
      </c>
      <c r="AT316" s="4">
        <v>8.12</v>
      </c>
      <c r="BC316" s="4" t="s">
        <v>547</v>
      </c>
      <c r="BI316" s="4" t="s">
        <v>321</v>
      </c>
      <c r="BL316" s="4">
        <v>50</v>
      </c>
      <c r="BP316" s="4">
        <v>3</v>
      </c>
      <c r="BV316" s="4" t="s">
        <v>522</v>
      </c>
      <c r="BX316" s="4" t="s">
        <v>548</v>
      </c>
      <c r="CB316" s="4" t="s">
        <v>438</v>
      </c>
      <c r="CE316" s="4" t="s">
        <v>435</v>
      </c>
      <c r="DO316" s="4">
        <v>3</v>
      </c>
      <c r="DQ316" s="1">
        <v>0.21</v>
      </c>
      <c r="DS316" s="27">
        <v>0.06</v>
      </c>
      <c r="ED316" s="1">
        <v>71.4285714285714</v>
      </c>
      <c r="FJ316" s="1">
        <v>4.74</v>
      </c>
      <c r="FL316" s="27">
        <v>1.12</v>
      </c>
      <c r="FM316" s="1">
        <v>0.084</v>
      </c>
      <c r="FV316" s="1">
        <f t="shared" si="12"/>
        <v>76.3713080168776</v>
      </c>
      <c r="FW316" s="1">
        <v>76.3713080168776</v>
      </c>
      <c r="JJ316" s="1" t="s">
        <v>551</v>
      </c>
      <c r="JK316" s="1" t="s">
        <v>552</v>
      </c>
    </row>
    <row r="317" customHeight="1" spans="1:271">
      <c r="A317" s="3">
        <v>9</v>
      </c>
      <c r="B317" s="4" t="s">
        <v>527</v>
      </c>
      <c r="C317" s="5" t="s">
        <v>528</v>
      </c>
      <c r="D317" s="4" t="s">
        <v>529</v>
      </c>
      <c r="E317" s="4" t="s">
        <v>530</v>
      </c>
      <c r="H317" s="4" t="s">
        <v>328</v>
      </c>
      <c r="I317" s="4" t="s">
        <v>531</v>
      </c>
      <c r="N317" s="4" t="s">
        <v>532</v>
      </c>
      <c r="O317" s="24" t="s">
        <v>367</v>
      </c>
      <c r="R317" s="4" t="s">
        <v>533</v>
      </c>
      <c r="S317" s="4" t="s">
        <v>304</v>
      </c>
      <c r="T317" s="4">
        <v>220.1</v>
      </c>
      <c r="U317" s="4">
        <v>0.218</v>
      </c>
      <c r="V317" s="4">
        <v>3.961</v>
      </c>
      <c r="AA317" s="4" t="s">
        <v>534</v>
      </c>
      <c r="AH317" s="4" t="s">
        <v>543</v>
      </c>
      <c r="AI317" s="4" t="s">
        <v>544</v>
      </c>
      <c r="AJ317" s="4" t="s">
        <v>545</v>
      </c>
      <c r="AK317" s="4" t="s">
        <v>546</v>
      </c>
      <c r="AM317" s="4">
        <v>8.18</v>
      </c>
      <c r="AN317" s="4">
        <v>15.96</v>
      </c>
      <c r="AO317" s="4">
        <v>4.775</v>
      </c>
      <c r="AP317" s="4">
        <v>281.12</v>
      </c>
      <c r="AQ317" s="4" t="s">
        <v>519</v>
      </c>
      <c r="AR317" s="4">
        <v>178.75</v>
      </c>
      <c r="AS317" s="4" t="s">
        <v>319</v>
      </c>
      <c r="AT317" s="4">
        <v>8.12</v>
      </c>
      <c r="BC317" s="4" t="s">
        <v>547</v>
      </c>
      <c r="BI317" s="4" t="s">
        <v>321</v>
      </c>
      <c r="BL317" s="4">
        <v>50</v>
      </c>
      <c r="BP317" s="4">
        <v>5</v>
      </c>
      <c r="BV317" s="4" t="s">
        <v>522</v>
      </c>
      <c r="BX317" s="4" t="s">
        <v>548</v>
      </c>
      <c r="CB317" s="4" t="s">
        <v>438</v>
      </c>
      <c r="CE317" s="4" t="s">
        <v>435</v>
      </c>
      <c r="DO317" s="4">
        <v>3</v>
      </c>
      <c r="DQ317" s="1">
        <v>0.21</v>
      </c>
      <c r="DS317" s="27">
        <v>0.04</v>
      </c>
      <c r="ED317" s="1">
        <v>80.9523809523809</v>
      </c>
      <c r="FJ317" s="1">
        <v>4.74</v>
      </c>
      <c r="FL317" s="27">
        <v>0.64</v>
      </c>
      <c r="FM317" s="1">
        <v>0.084</v>
      </c>
      <c r="FV317" s="1">
        <f t="shared" si="12"/>
        <v>86.4978902953587</v>
      </c>
      <c r="FW317" s="1">
        <v>86.4978902953587</v>
      </c>
      <c r="JJ317" s="1" t="s">
        <v>551</v>
      </c>
      <c r="JK317" s="1" t="s">
        <v>552</v>
      </c>
    </row>
    <row r="318" customHeight="1" spans="1:271">
      <c r="A318" s="3">
        <v>9</v>
      </c>
      <c r="B318" s="4" t="s">
        <v>527</v>
      </c>
      <c r="C318" s="5" t="s">
        <v>528</v>
      </c>
      <c r="D318" s="4" t="s">
        <v>529</v>
      </c>
      <c r="E318" s="4" t="s">
        <v>530</v>
      </c>
      <c r="H318" s="4" t="s">
        <v>328</v>
      </c>
      <c r="I318" s="4" t="s">
        <v>531</v>
      </c>
      <c r="N318" s="4" t="s">
        <v>532</v>
      </c>
      <c r="O318" s="24" t="s">
        <v>367</v>
      </c>
      <c r="R318" s="4" t="s">
        <v>533</v>
      </c>
      <c r="S318" s="4" t="s">
        <v>304</v>
      </c>
      <c r="T318" s="4">
        <v>220.1</v>
      </c>
      <c r="U318" s="4">
        <v>0.218</v>
      </c>
      <c r="V318" s="4">
        <v>3.961</v>
      </c>
      <c r="AA318" s="4" t="s">
        <v>534</v>
      </c>
      <c r="AH318" s="4" t="s">
        <v>346</v>
      </c>
      <c r="AI318" s="4" t="s">
        <v>553</v>
      </c>
      <c r="AJ318" s="4" t="s">
        <v>554</v>
      </c>
      <c r="AK318" s="4" t="s">
        <v>555</v>
      </c>
      <c r="AM318" s="4">
        <v>6.51</v>
      </c>
      <c r="AN318" s="4">
        <v>13.68</v>
      </c>
      <c r="AO318" s="4">
        <v>0.169</v>
      </c>
      <c r="AP318" s="4">
        <v>143.45</v>
      </c>
      <c r="AQ318" s="4" t="s">
        <v>519</v>
      </c>
      <c r="AR318" s="4">
        <v>325.76</v>
      </c>
      <c r="AS318" s="4" t="s">
        <v>319</v>
      </c>
      <c r="AT318" s="4">
        <v>11.96</v>
      </c>
      <c r="BC318" s="4" t="s">
        <v>547</v>
      </c>
      <c r="BI318" s="4" t="s">
        <v>321</v>
      </c>
      <c r="BL318" s="4">
        <v>50</v>
      </c>
      <c r="BP318" s="4">
        <v>0</v>
      </c>
      <c r="BV318" s="4" t="s">
        <v>522</v>
      </c>
      <c r="BX318" s="4" t="s">
        <v>548</v>
      </c>
      <c r="CB318" s="4" t="s">
        <v>438</v>
      </c>
      <c r="CE318" s="4" t="s">
        <v>435</v>
      </c>
      <c r="DO318" s="4">
        <v>3</v>
      </c>
      <c r="DS318" s="27">
        <v>2.66</v>
      </c>
      <c r="DT318" s="1">
        <v>1.73</v>
      </c>
      <c r="ED318" s="1">
        <v>0</v>
      </c>
      <c r="FJ318" s="1">
        <v>23.33</v>
      </c>
      <c r="FL318" s="27">
        <v>23.33</v>
      </c>
      <c r="FM318" s="1">
        <v>16.71</v>
      </c>
      <c r="FV318" s="1">
        <f t="shared" si="12"/>
        <v>0</v>
      </c>
      <c r="FW318" s="1">
        <v>0</v>
      </c>
      <c r="JJ318" s="1" t="s">
        <v>551</v>
      </c>
      <c r="JK318" s="1" t="s">
        <v>552</v>
      </c>
    </row>
    <row r="319" customHeight="1" spans="1:271">
      <c r="A319" s="3">
        <v>9</v>
      </c>
      <c r="B319" s="4" t="s">
        <v>527</v>
      </c>
      <c r="C319" s="5" t="s">
        <v>528</v>
      </c>
      <c r="D319" s="4" t="s">
        <v>529</v>
      </c>
      <c r="E319" s="4" t="s">
        <v>530</v>
      </c>
      <c r="H319" s="4" t="s">
        <v>328</v>
      </c>
      <c r="I319" s="4" t="s">
        <v>531</v>
      </c>
      <c r="N319" s="4" t="s">
        <v>532</v>
      </c>
      <c r="O319" s="24" t="s">
        <v>367</v>
      </c>
      <c r="R319" s="4" t="s">
        <v>533</v>
      </c>
      <c r="S319" s="4" t="s">
        <v>304</v>
      </c>
      <c r="T319" s="4">
        <v>220.1</v>
      </c>
      <c r="U319" s="4">
        <v>0.218</v>
      </c>
      <c r="V319" s="4">
        <v>3.961</v>
      </c>
      <c r="AA319" s="4" t="s">
        <v>534</v>
      </c>
      <c r="AH319" s="4" t="s">
        <v>346</v>
      </c>
      <c r="AI319" s="4" t="s">
        <v>553</v>
      </c>
      <c r="AJ319" s="4" t="s">
        <v>554</v>
      </c>
      <c r="AK319" s="4" t="s">
        <v>555</v>
      </c>
      <c r="AM319" s="4">
        <v>6.51</v>
      </c>
      <c r="AN319" s="4">
        <v>13.68</v>
      </c>
      <c r="AO319" s="4">
        <v>0.169</v>
      </c>
      <c r="AP319" s="4">
        <v>143.45</v>
      </c>
      <c r="AQ319" s="4" t="s">
        <v>519</v>
      </c>
      <c r="AR319" s="4">
        <v>325.76</v>
      </c>
      <c r="AS319" s="4" t="s">
        <v>319</v>
      </c>
      <c r="AT319" s="4">
        <v>11.96</v>
      </c>
      <c r="BC319" s="4" t="s">
        <v>547</v>
      </c>
      <c r="BI319" s="4" t="s">
        <v>321</v>
      </c>
      <c r="BL319" s="4">
        <v>50</v>
      </c>
      <c r="BP319" s="4">
        <v>1</v>
      </c>
      <c r="BV319" s="4" t="s">
        <v>522</v>
      </c>
      <c r="BX319" s="4" t="s">
        <v>548</v>
      </c>
      <c r="CB319" s="4" t="s">
        <v>438</v>
      </c>
      <c r="CE319" s="4" t="s">
        <v>435</v>
      </c>
      <c r="DO319" s="4">
        <v>3</v>
      </c>
      <c r="DQ319" s="1">
        <v>2.66</v>
      </c>
      <c r="DR319" s="1">
        <v>1.73</v>
      </c>
      <c r="DS319" s="27">
        <v>0.92</v>
      </c>
      <c r="DT319" s="1">
        <v>0.95</v>
      </c>
      <c r="ED319" s="1">
        <v>65.4135338345865</v>
      </c>
      <c r="FJ319" s="1">
        <v>23.33</v>
      </c>
      <c r="FL319" s="27">
        <v>5.83</v>
      </c>
      <c r="FM319" s="1">
        <v>3.25</v>
      </c>
      <c r="FV319" s="1">
        <f t="shared" si="12"/>
        <v>75.0107158165452</v>
      </c>
      <c r="FW319" s="1">
        <v>75.0107158165452</v>
      </c>
      <c r="JJ319" s="1" t="s">
        <v>551</v>
      </c>
      <c r="JK319" s="1" t="s">
        <v>552</v>
      </c>
    </row>
    <row r="320" customHeight="1" spans="1:271">
      <c r="A320" s="3">
        <v>9</v>
      </c>
      <c r="B320" s="4" t="s">
        <v>527</v>
      </c>
      <c r="C320" s="5" t="s">
        <v>528</v>
      </c>
      <c r="D320" s="4" t="s">
        <v>529</v>
      </c>
      <c r="E320" s="4" t="s">
        <v>530</v>
      </c>
      <c r="H320" s="4" t="s">
        <v>328</v>
      </c>
      <c r="I320" s="4" t="s">
        <v>531</v>
      </c>
      <c r="N320" s="4" t="s">
        <v>532</v>
      </c>
      <c r="O320" s="24" t="s">
        <v>367</v>
      </c>
      <c r="R320" s="4" t="s">
        <v>533</v>
      </c>
      <c r="S320" s="4" t="s">
        <v>304</v>
      </c>
      <c r="T320" s="4">
        <v>220.1</v>
      </c>
      <c r="U320" s="4">
        <v>0.218</v>
      </c>
      <c r="V320" s="4">
        <v>3.961</v>
      </c>
      <c r="AA320" s="4" t="s">
        <v>534</v>
      </c>
      <c r="AH320" s="4" t="s">
        <v>346</v>
      </c>
      <c r="AI320" s="4" t="s">
        <v>553</v>
      </c>
      <c r="AJ320" s="4" t="s">
        <v>554</v>
      </c>
      <c r="AK320" s="4" t="s">
        <v>555</v>
      </c>
      <c r="AM320" s="4">
        <v>6.51</v>
      </c>
      <c r="AN320" s="4">
        <v>13.68</v>
      </c>
      <c r="AO320" s="4">
        <v>0.169</v>
      </c>
      <c r="AP320" s="4">
        <v>143.45</v>
      </c>
      <c r="AQ320" s="4" t="s">
        <v>519</v>
      </c>
      <c r="AR320" s="4">
        <v>325.76</v>
      </c>
      <c r="AS320" s="4" t="s">
        <v>319</v>
      </c>
      <c r="AT320" s="4">
        <v>11.96</v>
      </c>
      <c r="BC320" s="4" t="s">
        <v>547</v>
      </c>
      <c r="BI320" s="4" t="s">
        <v>321</v>
      </c>
      <c r="BL320" s="4">
        <v>50</v>
      </c>
      <c r="BP320" s="4">
        <v>3</v>
      </c>
      <c r="BV320" s="4" t="s">
        <v>522</v>
      </c>
      <c r="BX320" s="4" t="s">
        <v>548</v>
      </c>
      <c r="CB320" s="4" t="s">
        <v>438</v>
      </c>
      <c r="CE320" s="4" t="s">
        <v>435</v>
      </c>
      <c r="DO320" s="4">
        <v>3</v>
      </c>
      <c r="DQ320" s="1">
        <v>2.66</v>
      </c>
      <c r="DR320" s="1">
        <v>1.73</v>
      </c>
      <c r="DS320" s="27">
        <v>0.52</v>
      </c>
      <c r="DT320" s="1">
        <v>0.53</v>
      </c>
      <c r="ED320" s="1">
        <v>80.4511278195489</v>
      </c>
      <c r="FJ320" s="1">
        <v>23.33</v>
      </c>
      <c r="FL320" s="27">
        <v>2.13</v>
      </c>
      <c r="FM320" s="1">
        <v>1.35</v>
      </c>
      <c r="FV320" s="1">
        <f t="shared" si="12"/>
        <v>90.8701243034719</v>
      </c>
      <c r="FW320" s="1">
        <v>90.8701243034719</v>
      </c>
      <c r="JJ320" s="1" t="s">
        <v>551</v>
      </c>
      <c r="JK320" s="1" t="s">
        <v>552</v>
      </c>
    </row>
    <row r="321" customHeight="1" spans="1:271">
      <c r="A321" s="3">
        <v>9</v>
      </c>
      <c r="B321" s="4" t="s">
        <v>527</v>
      </c>
      <c r="C321" s="5" t="s">
        <v>528</v>
      </c>
      <c r="D321" s="4" t="s">
        <v>529</v>
      </c>
      <c r="E321" s="4" t="s">
        <v>530</v>
      </c>
      <c r="H321" s="4" t="s">
        <v>328</v>
      </c>
      <c r="I321" s="4" t="s">
        <v>531</v>
      </c>
      <c r="N321" s="4" t="s">
        <v>532</v>
      </c>
      <c r="O321" s="24" t="s">
        <v>367</v>
      </c>
      <c r="R321" s="4" t="s">
        <v>533</v>
      </c>
      <c r="S321" s="4" t="s">
        <v>304</v>
      </c>
      <c r="T321" s="4">
        <v>220.1</v>
      </c>
      <c r="U321" s="4">
        <v>0.218</v>
      </c>
      <c r="V321" s="4">
        <v>3.961</v>
      </c>
      <c r="AA321" s="4" t="s">
        <v>534</v>
      </c>
      <c r="AH321" s="4" t="s">
        <v>346</v>
      </c>
      <c r="AI321" s="4" t="s">
        <v>553</v>
      </c>
      <c r="AJ321" s="4" t="s">
        <v>554</v>
      </c>
      <c r="AK321" s="4" t="s">
        <v>555</v>
      </c>
      <c r="AM321" s="4">
        <v>6.51</v>
      </c>
      <c r="AN321" s="4">
        <v>13.68</v>
      </c>
      <c r="AO321" s="4">
        <v>0.169</v>
      </c>
      <c r="AP321" s="4">
        <v>143.45</v>
      </c>
      <c r="AQ321" s="4" t="s">
        <v>519</v>
      </c>
      <c r="AR321" s="4">
        <v>325.76</v>
      </c>
      <c r="AS321" s="4" t="s">
        <v>319</v>
      </c>
      <c r="AT321" s="4">
        <v>11.96</v>
      </c>
      <c r="BC321" s="4" t="s">
        <v>547</v>
      </c>
      <c r="BI321" s="4" t="s">
        <v>321</v>
      </c>
      <c r="BL321" s="4">
        <v>50</v>
      </c>
      <c r="BP321" s="4">
        <v>5</v>
      </c>
      <c r="BV321" s="4" t="s">
        <v>522</v>
      </c>
      <c r="BX321" s="4" t="s">
        <v>548</v>
      </c>
      <c r="CB321" s="4" t="s">
        <v>438</v>
      </c>
      <c r="CE321" s="4" t="s">
        <v>435</v>
      </c>
      <c r="DO321" s="4">
        <v>3</v>
      </c>
      <c r="DQ321" s="1">
        <v>2.66</v>
      </c>
      <c r="DR321" s="1">
        <v>1.73</v>
      </c>
      <c r="DS321" s="27">
        <v>0.15</v>
      </c>
      <c r="DT321" s="1">
        <v>0.17</v>
      </c>
      <c r="ED321" s="1">
        <v>94.3609022556391</v>
      </c>
      <c r="FJ321" s="1">
        <v>23.33</v>
      </c>
      <c r="FL321" s="27">
        <v>0.79</v>
      </c>
      <c r="FM321" s="1">
        <v>0.56</v>
      </c>
      <c r="FV321" s="1">
        <f t="shared" si="12"/>
        <v>96.6138019717102</v>
      </c>
      <c r="FW321" s="1">
        <v>96.6138019717102</v>
      </c>
      <c r="JJ321" s="1" t="s">
        <v>551</v>
      </c>
      <c r="JK321" s="1" t="s">
        <v>552</v>
      </c>
    </row>
    <row r="322" customHeight="1" spans="1:271">
      <c r="A322" s="3">
        <v>9</v>
      </c>
      <c r="B322" s="4" t="s">
        <v>527</v>
      </c>
      <c r="C322" s="5" t="s">
        <v>528</v>
      </c>
      <c r="D322" s="4" t="s">
        <v>529</v>
      </c>
      <c r="E322" s="4" t="s">
        <v>530</v>
      </c>
      <c r="H322" s="4" t="s">
        <v>328</v>
      </c>
      <c r="I322" s="4" t="s">
        <v>531</v>
      </c>
      <c r="N322" s="4" t="s">
        <v>532</v>
      </c>
      <c r="O322" s="24" t="s">
        <v>367</v>
      </c>
      <c r="R322" s="4" t="s">
        <v>533</v>
      </c>
      <c r="S322" s="4" t="s">
        <v>304</v>
      </c>
      <c r="T322" s="4">
        <v>220.1</v>
      </c>
      <c r="U322" s="4">
        <v>0.218</v>
      </c>
      <c r="V322" s="4">
        <v>3.961</v>
      </c>
      <c r="AA322" s="4" t="s">
        <v>534</v>
      </c>
      <c r="AH322" s="4" t="s">
        <v>543</v>
      </c>
      <c r="AI322" s="4" t="s">
        <v>544</v>
      </c>
      <c r="AJ322" s="4" t="s">
        <v>545</v>
      </c>
      <c r="AK322" s="4" t="s">
        <v>546</v>
      </c>
      <c r="AM322" s="4">
        <v>8.18</v>
      </c>
      <c r="AN322" s="4">
        <v>15.96</v>
      </c>
      <c r="AO322" s="4">
        <v>4.775</v>
      </c>
      <c r="AP322" s="4">
        <v>281.12</v>
      </c>
      <c r="AQ322" s="4" t="s">
        <v>519</v>
      </c>
      <c r="AR322" s="4">
        <v>178.75</v>
      </c>
      <c r="AS322" s="4" t="s">
        <v>319</v>
      </c>
      <c r="AT322" s="4">
        <v>8.12</v>
      </c>
      <c r="BC322" s="4" t="s">
        <v>547</v>
      </c>
      <c r="DO322" s="4">
        <v>3</v>
      </c>
    </row>
    <row r="323" customHeight="1" spans="1:271">
      <c r="A323" s="3">
        <v>9</v>
      </c>
      <c r="B323" s="4" t="s">
        <v>527</v>
      </c>
      <c r="C323" s="5" t="s">
        <v>528</v>
      </c>
      <c r="D323" s="4" t="s">
        <v>529</v>
      </c>
      <c r="E323" s="4" t="s">
        <v>530</v>
      </c>
      <c r="H323" s="4" t="s">
        <v>328</v>
      </c>
      <c r="I323" s="4" t="s">
        <v>531</v>
      </c>
      <c r="N323" s="4" t="s">
        <v>532</v>
      </c>
      <c r="O323" s="24" t="s">
        <v>367</v>
      </c>
      <c r="R323" s="4" t="s">
        <v>533</v>
      </c>
      <c r="S323" s="4" t="s">
        <v>304</v>
      </c>
      <c r="T323" s="4">
        <v>220.1</v>
      </c>
      <c r="U323" s="4">
        <v>0.218</v>
      </c>
      <c r="V323" s="4">
        <v>3.961</v>
      </c>
      <c r="AA323" s="4" t="s">
        <v>534</v>
      </c>
      <c r="AH323" s="4" t="s">
        <v>346</v>
      </c>
      <c r="AI323" s="4" t="s">
        <v>553</v>
      </c>
      <c r="AJ323" s="4" t="s">
        <v>554</v>
      </c>
      <c r="AK323" s="4" t="s">
        <v>555</v>
      </c>
      <c r="AM323" s="4">
        <v>6.51</v>
      </c>
      <c r="AN323" s="4">
        <v>13.68</v>
      </c>
      <c r="AO323" s="4">
        <v>0.169</v>
      </c>
      <c r="AP323" s="4">
        <v>143.45</v>
      </c>
      <c r="AQ323" s="4" t="s">
        <v>519</v>
      </c>
      <c r="AR323" s="4">
        <v>325.76</v>
      </c>
      <c r="AS323" s="4" t="s">
        <v>319</v>
      </c>
      <c r="AT323" s="4">
        <v>11.96</v>
      </c>
      <c r="BC323" s="4" t="s">
        <v>547</v>
      </c>
      <c r="DO323" s="4">
        <v>3</v>
      </c>
    </row>
    <row r="324" customHeight="1" spans="1:271">
      <c r="A324" s="3">
        <v>9</v>
      </c>
      <c r="B324" s="4" t="s">
        <v>527</v>
      </c>
      <c r="C324" s="5" t="s">
        <v>528</v>
      </c>
      <c r="D324" s="4" t="s">
        <v>529</v>
      </c>
      <c r="E324" s="4" t="s">
        <v>530</v>
      </c>
      <c r="H324" s="4" t="s">
        <v>328</v>
      </c>
      <c r="I324" s="4" t="s">
        <v>531</v>
      </c>
      <c r="N324" s="4" t="s">
        <v>532</v>
      </c>
      <c r="O324" s="24" t="s">
        <v>367</v>
      </c>
      <c r="R324" s="4" t="s">
        <v>533</v>
      </c>
      <c r="S324" s="4" t="s">
        <v>304</v>
      </c>
      <c r="T324" s="4">
        <v>220.1</v>
      </c>
      <c r="U324" s="4">
        <v>0.218</v>
      </c>
      <c r="V324" s="4">
        <v>3.961</v>
      </c>
      <c r="AA324" s="4" t="s">
        <v>534</v>
      </c>
      <c r="AH324" s="4" t="s">
        <v>346</v>
      </c>
      <c r="AI324" s="4" t="s">
        <v>553</v>
      </c>
      <c r="AJ324" s="4" t="s">
        <v>554</v>
      </c>
      <c r="AK324" s="4" t="s">
        <v>555</v>
      </c>
      <c r="AM324" s="4">
        <v>6.51</v>
      </c>
      <c r="AN324" s="4">
        <v>13.68</v>
      </c>
      <c r="AO324" s="4">
        <v>0.169</v>
      </c>
      <c r="AP324" s="4">
        <v>143.45</v>
      </c>
      <c r="AQ324" s="4" t="s">
        <v>519</v>
      </c>
      <c r="AR324" s="4">
        <v>325.76</v>
      </c>
      <c r="AS324" s="4" t="s">
        <v>319</v>
      </c>
      <c r="AT324" s="4">
        <v>11.96</v>
      </c>
      <c r="BC324" s="4" t="s">
        <v>547</v>
      </c>
      <c r="BI324" s="1" t="s">
        <v>321</v>
      </c>
      <c r="BL324" s="1">
        <v>3000</v>
      </c>
      <c r="BP324" s="1">
        <v>0</v>
      </c>
      <c r="BV324" s="4" t="s">
        <v>556</v>
      </c>
      <c r="BX324" s="4" t="s">
        <v>557</v>
      </c>
      <c r="DO324" s="4">
        <v>3</v>
      </c>
    </row>
    <row r="325" customHeight="1" spans="1:271">
      <c r="A325" s="3">
        <v>9</v>
      </c>
      <c r="B325" s="4" t="s">
        <v>527</v>
      </c>
      <c r="C325" s="5" t="s">
        <v>528</v>
      </c>
      <c r="D325" s="4" t="s">
        <v>529</v>
      </c>
      <c r="E325" s="4" t="s">
        <v>530</v>
      </c>
      <c r="H325" s="4" t="s">
        <v>328</v>
      </c>
      <c r="I325" s="4" t="s">
        <v>531</v>
      </c>
      <c r="N325" s="4" t="s">
        <v>532</v>
      </c>
      <c r="O325" s="24" t="s">
        <v>367</v>
      </c>
      <c r="R325" s="4" t="s">
        <v>533</v>
      </c>
      <c r="S325" s="4" t="s">
        <v>304</v>
      </c>
      <c r="T325" s="4">
        <v>220.1</v>
      </c>
      <c r="U325" s="4">
        <v>0.218</v>
      </c>
      <c r="V325" s="4">
        <v>3.961</v>
      </c>
      <c r="AA325" s="4" t="s">
        <v>534</v>
      </c>
      <c r="AH325" s="4" t="s">
        <v>346</v>
      </c>
      <c r="AI325" s="4" t="s">
        <v>553</v>
      </c>
      <c r="AJ325" s="4" t="s">
        <v>554</v>
      </c>
      <c r="AK325" s="4" t="s">
        <v>555</v>
      </c>
      <c r="AM325" s="4">
        <v>6.51</v>
      </c>
      <c r="AN325" s="4">
        <v>13.68</v>
      </c>
      <c r="AO325" s="4">
        <v>0.169</v>
      </c>
      <c r="AP325" s="4">
        <v>143.45</v>
      </c>
      <c r="AQ325" s="4" t="s">
        <v>519</v>
      </c>
      <c r="AR325" s="4">
        <v>325.76</v>
      </c>
      <c r="AS325" s="4" t="s">
        <v>319</v>
      </c>
      <c r="AT325" s="4">
        <v>11.96</v>
      </c>
      <c r="BC325" s="4" t="s">
        <v>547</v>
      </c>
      <c r="BI325" s="1" t="s">
        <v>321</v>
      </c>
      <c r="BL325" s="1">
        <v>3000</v>
      </c>
      <c r="BP325" s="1">
        <v>0.5</v>
      </c>
      <c r="BV325" s="4" t="s">
        <v>556</v>
      </c>
      <c r="BX325" s="4" t="s">
        <v>557</v>
      </c>
      <c r="DO325" s="4">
        <v>3</v>
      </c>
    </row>
    <row r="326" customHeight="1" spans="1:271">
      <c r="A326" s="3">
        <v>9</v>
      </c>
      <c r="B326" s="4" t="s">
        <v>527</v>
      </c>
      <c r="C326" s="5" t="s">
        <v>528</v>
      </c>
      <c r="D326" s="4" t="s">
        <v>529</v>
      </c>
      <c r="E326" s="4" t="s">
        <v>530</v>
      </c>
      <c r="H326" s="4" t="s">
        <v>328</v>
      </c>
      <c r="I326" s="4" t="s">
        <v>531</v>
      </c>
      <c r="N326" s="4" t="s">
        <v>532</v>
      </c>
      <c r="O326" s="24" t="s">
        <v>367</v>
      </c>
      <c r="R326" s="4" t="s">
        <v>533</v>
      </c>
      <c r="S326" s="4" t="s">
        <v>304</v>
      </c>
      <c r="T326" s="4">
        <v>220.1</v>
      </c>
      <c r="U326" s="4">
        <v>0.218</v>
      </c>
      <c r="V326" s="4">
        <v>3.961</v>
      </c>
      <c r="AA326" s="4" t="s">
        <v>534</v>
      </c>
      <c r="AH326" s="4" t="s">
        <v>346</v>
      </c>
      <c r="AI326" s="4" t="s">
        <v>553</v>
      </c>
      <c r="AJ326" s="4" t="s">
        <v>554</v>
      </c>
      <c r="AK326" s="4" t="s">
        <v>555</v>
      </c>
      <c r="AM326" s="4">
        <v>6.51</v>
      </c>
      <c r="AN326" s="4">
        <v>13.68</v>
      </c>
      <c r="AO326" s="4">
        <v>0.169</v>
      </c>
      <c r="AP326" s="4">
        <v>143.45</v>
      </c>
      <c r="AQ326" s="4" t="s">
        <v>519</v>
      </c>
      <c r="AR326" s="4">
        <v>325.76</v>
      </c>
      <c r="AS326" s="4" t="s">
        <v>319</v>
      </c>
      <c r="AT326" s="4">
        <v>11.96</v>
      </c>
      <c r="BC326" s="4" t="s">
        <v>547</v>
      </c>
      <c r="BI326" s="1" t="s">
        <v>321</v>
      </c>
      <c r="BL326" s="1">
        <v>3000</v>
      </c>
      <c r="BP326" s="1">
        <v>1</v>
      </c>
      <c r="BV326" s="4" t="s">
        <v>556</v>
      </c>
      <c r="BX326" s="4" t="s">
        <v>557</v>
      </c>
      <c r="DO326" s="4">
        <v>3</v>
      </c>
    </row>
    <row r="327" customHeight="1" spans="1:271">
      <c r="A327" s="3">
        <v>9</v>
      </c>
      <c r="B327" s="4" t="s">
        <v>527</v>
      </c>
      <c r="C327" s="5" t="s">
        <v>558</v>
      </c>
      <c r="D327" s="4" t="s">
        <v>559</v>
      </c>
      <c r="E327" s="4" t="s">
        <v>560</v>
      </c>
      <c r="N327" s="4" t="s">
        <v>532</v>
      </c>
      <c r="O327" s="24" t="s">
        <v>367</v>
      </c>
      <c r="P327" s="4">
        <v>3</v>
      </c>
      <c r="T327" s="4">
        <v>65.56</v>
      </c>
      <c r="AA327" s="4" t="s">
        <v>561</v>
      </c>
      <c r="AH327" s="4" t="s">
        <v>346</v>
      </c>
      <c r="AI327" s="4" t="s">
        <v>553</v>
      </c>
      <c r="AJ327" s="4" t="s">
        <v>554</v>
      </c>
      <c r="AK327" s="4" t="s">
        <v>555</v>
      </c>
      <c r="AM327" s="4">
        <v>6.51</v>
      </c>
      <c r="AN327" s="4">
        <v>13.68</v>
      </c>
      <c r="AO327" s="4">
        <v>0.169</v>
      </c>
      <c r="AP327" s="4">
        <v>143.45</v>
      </c>
      <c r="AQ327" s="4" t="s">
        <v>519</v>
      </c>
      <c r="AR327" s="4">
        <v>325.76</v>
      </c>
      <c r="AS327" s="4" t="s">
        <v>319</v>
      </c>
      <c r="AT327" s="4">
        <v>11.96</v>
      </c>
      <c r="BC327" s="4" t="s">
        <v>547</v>
      </c>
      <c r="DO327" s="4">
        <v>3</v>
      </c>
    </row>
    <row r="328" customHeight="1" spans="1:271">
      <c r="A328" s="3">
        <v>9</v>
      </c>
      <c r="B328" s="4" t="s">
        <v>527</v>
      </c>
      <c r="C328" s="5" t="s">
        <v>558</v>
      </c>
      <c r="D328" s="4" t="s">
        <v>559</v>
      </c>
      <c r="E328" s="4" t="s">
        <v>560</v>
      </c>
      <c r="N328" s="4" t="s">
        <v>532</v>
      </c>
      <c r="O328" s="24" t="s">
        <v>367</v>
      </c>
      <c r="P328" s="4">
        <v>3</v>
      </c>
      <c r="T328" s="4">
        <v>65.56</v>
      </c>
      <c r="AA328" s="4" t="s">
        <v>561</v>
      </c>
      <c r="AH328" s="4" t="s">
        <v>543</v>
      </c>
      <c r="AI328" s="4" t="s">
        <v>544</v>
      </c>
      <c r="AJ328" s="4" t="s">
        <v>545</v>
      </c>
      <c r="AK328" s="4" t="s">
        <v>546</v>
      </c>
      <c r="AM328" s="4">
        <v>8.18</v>
      </c>
      <c r="AN328" s="4">
        <v>15.96</v>
      </c>
      <c r="AO328" s="4">
        <v>4.775</v>
      </c>
      <c r="AP328" s="4">
        <v>281.12</v>
      </c>
      <c r="AQ328" s="4" t="s">
        <v>519</v>
      </c>
      <c r="AR328" s="4">
        <v>178.75</v>
      </c>
      <c r="AS328" s="4" t="s">
        <v>319</v>
      </c>
      <c r="AT328" s="4">
        <v>8.12</v>
      </c>
      <c r="BC328" s="4" t="s">
        <v>547</v>
      </c>
      <c r="BI328" s="4" t="s">
        <v>321</v>
      </c>
      <c r="BL328" s="4">
        <v>50</v>
      </c>
      <c r="BP328" s="4">
        <v>0</v>
      </c>
      <c r="BV328" s="4" t="s">
        <v>522</v>
      </c>
      <c r="BX328" s="4" t="s">
        <v>548</v>
      </c>
      <c r="CB328" s="4" t="s">
        <v>438</v>
      </c>
      <c r="CE328" s="4" t="s">
        <v>435</v>
      </c>
      <c r="DO328" s="4">
        <v>3</v>
      </c>
      <c r="DS328" s="27" t="s">
        <v>549</v>
      </c>
      <c r="EC328" s="1" t="e">
        <f>(DQ328-DS328)/DQ328*100</f>
        <v>#VALUE!</v>
      </c>
      <c r="ED328" s="1">
        <v>0</v>
      </c>
      <c r="FJ328" s="1">
        <v>4.74</v>
      </c>
      <c r="FL328" s="27" t="s">
        <v>550</v>
      </c>
      <c r="FM328" s="1">
        <v>0.056</v>
      </c>
      <c r="FV328" s="1" t="e">
        <f t="shared" ref="FV328:FV335" si="13">(FJ328-FL328)/FJ328*100</f>
        <v>#VALUE!</v>
      </c>
      <c r="FW328" s="1">
        <v>0</v>
      </c>
      <c r="JJ328" s="1" t="s">
        <v>551</v>
      </c>
      <c r="JK328" s="1" t="s">
        <v>552</v>
      </c>
    </row>
    <row r="329" customHeight="1" spans="1:271">
      <c r="A329" s="3">
        <v>9</v>
      </c>
      <c r="B329" s="4" t="s">
        <v>527</v>
      </c>
      <c r="C329" s="5" t="s">
        <v>558</v>
      </c>
      <c r="D329" s="4" t="s">
        <v>559</v>
      </c>
      <c r="E329" s="4" t="s">
        <v>560</v>
      </c>
      <c r="N329" s="4" t="s">
        <v>532</v>
      </c>
      <c r="O329" s="24" t="s">
        <v>367</v>
      </c>
      <c r="P329" s="4">
        <v>3</v>
      </c>
      <c r="T329" s="4">
        <v>65.56</v>
      </c>
      <c r="AA329" s="4" t="s">
        <v>561</v>
      </c>
      <c r="AH329" s="4" t="s">
        <v>543</v>
      </c>
      <c r="AI329" s="4" t="s">
        <v>544</v>
      </c>
      <c r="AJ329" s="4" t="s">
        <v>545</v>
      </c>
      <c r="AK329" s="4" t="s">
        <v>546</v>
      </c>
      <c r="AM329" s="4">
        <v>8.18</v>
      </c>
      <c r="AN329" s="4">
        <v>15.96</v>
      </c>
      <c r="AO329" s="4">
        <v>4.775</v>
      </c>
      <c r="AP329" s="4">
        <v>281.12</v>
      </c>
      <c r="AQ329" s="4" t="s">
        <v>519</v>
      </c>
      <c r="AR329" s="4">
        <v>178.75</v>
      </c>
      <c r="AS329" s="4" t="s">
        <v>319</v>
      </c>
      <c r="AT329" s="4">
        <v>8.12</v>
      </c>
      <c r="BC329" s="4" t="s">
        <v>547</v>
      </c>
      <c r="BI329" s="4" t="s">
        <v>321</v>
      </c>
      <c r="BL329" s="4">
        <v>50</v>
      </c>
      <c r="BP329" s="4">
        <v>1</v>
      </c>
      <c r="BV329" s="4" t="s">
        <v>522</v>
      </c>
      <c r="BX329" s="4" t="s">
        <v>548</v>
      </c>
      <c r="CB329" s="4" t="s">
        <v>438</v>
      </c>
      <c r="CE329" s="4" t="s">
        <v>435</v>
      </c>
      <c r="DO329" s="4">
        <v>3</v>
      </c>
      <c r="DQ329" s="1">
        <v>0.21</v>
      </c>
      <c r="DS329" s="27">
        <v>0.14</v>
      </c>
      <c r="DT329" s="1">
        <v>0.023</v>
      </c>
      <c r="EC329" s="1">
        <f t="shared" ref="EC329:EC335" si="14">(DQ329-DS329)/DQ329*100</f>
        <v>33.3333333333333</v>
      </c>
      <c r="ED329" s="1">
        <v>33.3333333333333</v>
      </c>
      <c r="FJ329" s="1">
        <v>4.74</v>
      </c>
      <c r="FL329" s="27">
        <v>2.33</v>
      </c>
      <c r="FM329" s="1">
        <v>0.084</v>
      </c>
      <c r="FV329" s="1">
        <f t="shared" si="13"/>
        <v>50.8438818565401</v>
      </c>
      <c r="FW329" s="1">
        <v>50.8438818565401</v>
      </c>
      <c r="JJ329" s="1" t="s">
        <v>551</v>
      </c>
      <c r="JK329" s="1" t="s">
        <v>552</v>
      </c>
    </row>
    <row r="330" customHeight="1" spans="1:271">
      <c r="A330" s="3">
        <v>9</v>
      </c>
      <c r="B330" s="4" t="s">
        <v>527</v>
      </c>
      <c r="C330" s="5" t="s">
        <v>558</v>
      </c>
      <c r="D330" s="4" t="s">
        <v>559</v>
      </c>
      <c r="E330" s="4" t="s">
        <v>560</v>
      </c>
      <c r="N330" s="4" t="s">
        <v>532</v>
      </c>
      <c r="O330" s="24" t="s">
        <v>367</v>
      </c>
      <c r="P330" s="4">
        <v>3</v>
      </c>
      <c r="T330" s="4">
        <v>65.56</v>
      </c>
      <c r="AA330" s="4" t="s">
        <v>561</v>
      </c>
      <c r="AH330" s="4" t="s">
        <v>543</v>
      </c>
      <c r="AI330" s="4" t="s">
        <v>544</v>
      </c>
      <c r="AJ330" s="4" t="s">
        <v>545</v>
      </c>
      <c r="AK330" s="4" t="s">
        <v>546</v>
      </c>
      <c r="AM330" s="4">
        <v>8.18</v>
      </c>
      <c r="AN330" s="4">
        <v>15.96</v>
      </c>
      <c r="AO330" s="4">
        <v>4.775</v>
      </c>
      <c r="AP330" s="4">
        <v>281.12</v>
      </c>
      <c r="AQ330" s="4" t="s">
        <v>519</v>
      </c>
      <c r="AR330" s="4">
        <v>178.75</v>
      </c>
      <c r="AS330" s="4" t="s">
        <v>319</v>
      </c>
      <c r="AT330" s="4">
        <v>8.12</v>
      </c>
      <c r="BC330" s="4" t="s">
        <v>547</v>
      </c>
      <c r="BI330" s="4" t="s">
        <v>321</v>
      </c>
      <c r="BL330" s="4">
        <v>50</v>
      </c>
      <c r="BP330" s="4">
        <v>3</v>
      </c>
      <c r="BV330" s="4" t="s">
        <v>522</v>
      </c>
      <c r="BX330" s="4" t="s">
        <v>548</v>
      </c>
      <c r="CB330" s="4" t="s">
        <v>438</v>
      </c>
      <c r="CE330" s="4" t="s">
        <v>435</v>
      </c>
      <c r="DO330" s="4">
        <v>3</v>
      </c>
      <c r="DQ330" s="1">
        <v>0.21</v>
      </c>
      <c r="DS330" s="27">
        <v>0.11</v>
      </c>
      <c r="DT330" s="1">
        <v>0.11</v>
      </c>
      <c r="EC330" s="1">
        <f t="shared" si="14"/>
        <v>47.6190476190476</v>
      </c>
      <c r="ED330" s="1">
        <v>47.6190476190476</v>
      </c>
      <c r="FJ330" s="1">
        <v>4.74</v>
      </c>
      <c r="FL330" s="27">
        <v>1.63</v>
      </c>
      <c r="FM330" s="1">
        <v>0.056</v>
      </c>
      <c r="FV330" s="1">
        <f t="shared" si="13"/>
        <v>65.6118143459916</v>
      </c>
      <c r="FW330" s="1">
        <v>65.6118143459916</v>
      </c>
      <c r="JJ330" s="1" t="s">
        <v>551</v>
      </c>
      <c r="JK330" s="1" t="s">
        <v>552</v>
      </c>
    </row>
    <row r="331" customHeight="1" spans="1:271">
      <c r="A331" s="3">
        <v>9</v>
      </c>
      <c r="B331" s="4" t="s">
        <v>527</v>
      </c>
      <c r="C331" s="5" t="s">
        <v>558</v>
      </c>
      <c r="D331" s="4" t="s">
        <v>559</v>
      </c>
      <c r="E331" s="4" t="s">
        <v>560</v>
      </c>
      <c r="N331" s="4" t="s">
        <v>532</v>
      </c>
      <c r="O331" s="24" t="s">
        <v>367</v>
      </c>
      <c r="P331" s="4">
        <v>3</v>
      </c>
      <c r="T331" s="4">
        <v>65.56</v>
      </c>
      <c r="AA331" s="4" t="s">
        <v>561</v>
      </c>
      <c r="AH331" s="4" t="s">
        <v>543</v>
      </c>
      <c r="AI331" s="4" t="s">
        <v>544</v>
      </c>
      <c r="AJ331" s="4" t="s">
        <v>545</v>
      </c>
      <c r="AK331" s="4" t="s">
        <v>546</v>
      </c>
      <c r="AM331" s="4">
        <v>8.18</v>
      </c>
      <c r="AN331" s="4">
        <v>15.96</v>
      </c>
      <c r="AO331" s="4">
        <v>4.775</v>
      </c>
      <c r="AP331" s="4">
        <v>281.12</v>
      </c>
      <c r="AQ331" s="4" t="s">
        <v>519</v>
      </c>
      <c r="AR331" s="4">
        <v>178.75</v>
      </c>
      <c r="AS331" s="4" t="s">
        <v>319</v>
      </c>
      <c r="AT331" s="4">
        <v>8.12</v>
      </c>
      <c r="BC331" s="4" t="s">
        <v>547</v>
      </c>
      <c r="BI331" s="4" t="s">
        <v>321</v>
      </c>
      <c r="BL331" s="4">
        <v>50</v>
      </c>
      <c r="BP331" s="4">
        <v>5</v>
      </c>
      <c r="BV331" s="4" t="s">
        <v>522</v>
      </c>
      <c r="BX331" s="4" t="s">
        <v>548</v>
      </c>
      <c r="CB331" s="4" t="s">
        <v>438</v>
      </c>
      <c r="CE331" s="4" t="s">
        <v>435</v>
      </c>
      <c r="DO331" s="4">
        <v>3</v>
      </c>
      <c r="DQ331" s="1">
        <v>0.21</v>
      </c>
      <c r="DS331" s="27">
        <v>0.07</v>
      </c>
      <c r="EC331" s="1">
        <f t="shared" si="14"/>
        <v>66.6666666666667</v>
      </c>
      <c r="ED331" s="1">
        <v>66.6666666666667</v>
      </c>
      <c r="FJ331" s="1">
        <v>4.74</v>
      </c>
      <c r="FL331" s="27">
        <v>1.18</v>
      </c>
      <c r="FM331" s="1">
        <v>0.056</v>
      </c>
      <c r="FV331" s="1">
        <f t="shared" si="13"/>
        <v>75.1054852320675</v>
      </c>
      <c r="FW331" s="1">
        <v>75.1054852320675</v>
      </c>
      <c r="JJ331" s="1" t="s">
        <v>551</v>
      </c>
      <c r="JK331" s="1" t="s">
        <v>552</v>
      </c>
    </row>
    <row r="332" customHeight="1" spans="1:271">
      <c r="A332" s="3">
        <v>9</v>
      </c>
      <c r="B332" s="4" t="s">
        <v>527</v>
      </c>
      <c r="C332" s="5" t="s">
        <v>558</v>
      </c>
      <c r="D332" s="4" t="s">
        <v>559</v>
      </c>
      <c r="E332" s="4" t="s">
        <v>560</v>
      </c>
      <c r="N332" s="4" t="s">
        <v>532</v>
      </c>
      <c r="O332" s="24" t="s">
        <v>367</v>
      </c>
      <c r="P332" s="4">
        <v>3</v>
      </c>
      <c r="T332" s="4">
        <v>65.56</v>
      </c>
      <c r="AA332" s="4" t="s">
        <v>561</v>
      </c>
      <c r="AH332" s="4" t="s">
        <v>346</v>
      </c>
      <c r="AI332" s="4" t="s">
        <v>553</v>
      </c>
      <c r="AJ332" s="4" t="s">
        <v>554</v>
      </c>
      <c r="AK332" s="4" t="s">
        <v>555</v>
      </c>
      <c r="AM332" s="4">
        <v>6.51</v>
      </c>
      <c r="AN332" s="4">
        <v>13.68</v>
      </c>
      <c r="AO332" s="4">
        <v>0.169</v>
      </c>
      <c r="AP332" s="4">
        <v>143.45</v>
      </c>
      <c r="AQ332" s="4" t="s">
        <v>519</v>
      </c>
      <c r="AR332" s="4">
        <v>325.76</v>
      </c>
      <c r="AS332" s="4" t="s">
        <v>319</v>
      </c>
      <c r="AT332" s="4">
        <v>11.96</v>
      </c>
      <c r="BC332" s="4" t="s">
        <v>547</v>
      </c>
      <c r="BI332" s="4" t="s">
        <v>321</v>
      </c>
      <c r="BL332" s="4">
        <v>50</v>
      </c>
      <c r="BP332" s="4">
        <v>0</v>
      </c>
      <c r="BV332" s="4" t="s">
        <v>522</v>
      </c>
      <c r="BX332" s="4" t="s">
        <v>548</v>
      </c>
      <c r="CB332" s="4" t="s">
        <v>438</v>
      </c>
      <c r="CE332" s="4" t="s">
        <v>435</v>
      </c>
      <c r="DO332" s="4">
        <v>3</v>
      </c>
      <c r="DS332" s="27">
        <v>2.66</v>
      </c>
      <c r="DT332" s="1">
        <v>1.73</v>
      </c>
      <c r="EC332" s="1" t="e">
        <f t="shared" si="14"/>
        <v>#DIV/0!</v>
      </c>
      <c r="ED332" s="1">
        <v>0</v>
      </c>
      <c r="FJ332" s="1">
        <v>23.33</v>
      </c>
      <c r="FL332" s="27">
        <v>23.33</v>
      </c>
      <c r="FM332" s="1">
        <v>16.71</v>
      </c>
      <c r="FV332" s="1">
        <f t="shared" si="13"/>
        <v>0</v>
      </c>
      <c r="FW332" s="1">
        <v>0</v>
      </c>
      <c r="JJ332" s="1" t="s">
        <v>551</v>
      </c>
      <c r="JK332" s="1" t="s">
        <v>552</v>
      </c>
    </row>
    <row r="333" customHeight="1" spans="1:271">
      <c r="A333" s="3">
        <v>9</v>
      </c>
      <c r="B333" s="4" t="s">
        <v>527</v>
      </c>
      <c r="C333" s="5" t="s">
        <v>558</v>
      </c>
      <c r="D333" s="4" t="s">
        <v>559</v>
      </c>
      <c r="E333" s="4" t="s">
        <v>560</v>
      </c>
      <c r="N333" s="4" t="s">
        <v>532</v>
      </c>
      <c r="O333" s="24" t="s">
        <v>367</v>
      </c>
      <c r="P333" s="4">
        <v>3</v>
      </c>
      <c r="T333" s="4">
        <v>65.56</v>
      </c>
      <c r="AA333" s="4" t="s">
        <v>561</v>
      </c>
      <c r="AH333" s="4" t="s">
        <v>346</v>
      </c>
      <c r="AI333" s="4" t="s">
        <v>553</v>
      </c>
      <c r="AJ333" s="4" t="s">
        <v>554</v>
      </c>
      <c r="AK333" s="4" t="s">
        <v>555</v>
      </c>
      <c r="AM333" s="4">
        <v>6.51</v>
      </c>
      <c r="AN333" s="4">
        <v>13.68</v>
      </c>
      <c r="AO333" s="4">
        <v>0.169</v>
      </c>
      <c r="AP333" s="4">
        <v>143.45</v>
      </c>
      <c r="AQ333" s="4" t="s">
        <v>519</v>
      </c>
      <c r="AR333" s="4">
        <v>325.76</v>
      </c>
      <c r="AS333" s="4" t="s">
        <v>319</v>
      </c>
      <c r="AT333" s="4">
        <v>11.96</v>
      </c>
      <c r="BC333" s="4" t="s">
        <v>547</v>
      </c>
      <c r="BI333" s="4" t="s">
        <v>321</v>
      </c>
      <c r="BL333" s="4">
        <v>50</v>
      </c>
      <c r="BP333" s="4">
        <v>1</v>
      </c>
      <c r="BV333" s="4" t="s">
        <v>522</v>
      </c>
      <c r="BX333" s="4" t="s">
        <v>548</v>
      </c>
      <c r="CB333" s="4" t="s">
        <v>438</v>
      </c>
      <c r="CE333" s="4" t="s">
        <v>435</v>
      </c>
      <c r="DO333" s="4">
        <v>3</v>
      </c>
      <c r="DQ333" s="1">
        <v>2.66</v>
      </c>
      <c r="DR333" s="1">
        <v>1.73</v>
      </c>
      <c r="DS333" s="27">
        <v>0.88</v>
      </c>
      <c r="DT333" s="1">
        <v>0.45</v>
      </c>
      <c r="EC333" s="1">
        <f t="shared" si="14"/>
        <v>66.9172932330827</v>
      </c>
      <c r="ED333" s="1">
        <v>66.9172932330827</v>
      </c>
      <c r="FJ333" s="1">
        <v>23.33</v>
      </c>
      <c r="FL333" s="27">
        <v>6.28</v>
      </c>
      <c r="FM333" s="1">
        <v>3.7</v>
      </c>
      <c r="FV333" s="1">
        <f t="shared" si="13"/>
        <v>73.0818688384055</v>
      </c>
      <c r="FW333" s="1">
        <v>73.0818688384055</v>
      </c>
      <c r="JJ333" s="1" t="s">
        <v>551</v>
      </c>
      <c r="JK333" s="1" t="s">
        <v>552</v>
      </c>
    </row>
    <row r="334" customHeight="1" spans="1:271">
      <c r="A334" s="3">
        <v>9</v>
      </c>
      <c r="B334" s="4" t="s">
        <v>527</v>
      </c>
      <c r="C334" s="5" t="s">
        <v>558</v>
      </c>
      <c r="D334" s="4" t="s">
        <v>559</v>
      </c>
      <c r="E334" s="4" t="s">
        <v>560</v>
      </c>
      <c r="N334" s="4" t="s">
        <v>532</v>
      </c>
      <c r="O334" s="24" t="s">
        <v>367</v>
      </c>
      <c r="P334" s="4">
        <v>3</v>
      </c>
      <c r="T334" s="4">
        <v>65.56</v>
      </c>
      <c r="AA334" s="4" t="s">
        <v>561</v>
      </c>
      <c r="AH334" s="4" t="s">
        <v>346</v>
      </c>
      <c r="AI334" s="4" t="s">
        <v>553</v>
      </c>
      <c r="AJ334" s="4" t="s">
        <v>554</v>
      </c>
      <c r="AK334" s="4" t="s">
        <v>555</v>
      </c>
      <c r="AM334" s="4">
        <v>6.51</v>
      </c>
      <c r="AN334" s="4">
        <v>13.68</v>
      </c>
      <c r="AO334" s="4">
        <v>0.169</v>
      </c>
      <c r="AP334" s="4">
        <v>143.45</v>
      </c>
      <c r="AQ334" s="4" t="s">
        <v>519</v>
      </c>
      <c r="AR334" s="4">
        <v>325.76</v>
      </c>
      <c r="AS334" s="4" t="s">
        <v>319</v>
      </c>
      <c r="AT334" s="4">
        <v>11.96</v>
      </c>
      <c r="BC334" s="4" t="s">
        <v>547</v>
      </c>
      <c r="BI334" s="4" t="s">
        <v>321</v>
      </c>
      <c r="BL334" s="4">
        <v>50</v>
      </c>
      <c r="BP334" s="4">
        <v>3</v>
      </c>
      <c r="BV334" s="4" t="s">
        <v>522</v>
      </c>
      <c r="BX334" s="4" t="s">
        <v>548</v>
      </c>
      <c r="CB334" s="4" t="s">
        <v>438</v>
      </c>
      <c r="CE334" s="4" t="s">
        <v>435</v>
      </c>
      <c r="DO334" s="4">
        <v>3</v>
      </c>
      <c r="DQ334" s="1">
        <v>2.66</v>
      </c>
      <c r="DR334" s="1">
        <v>1.73</v>
      </c>
      <c r="DS334" s="27">
        <v>0.43</v>
      </c>
      <c r="DT334" s="1">
        <v>0.15</v>
      </c>
      <c r="EC334" s="1">
        <f t="shared" si="14"/>
        <v>83.8345864661654</v>
      </c>
      <c r="ED334" s="1">
        <v>83.8345864661654</v>
      </c>
      <c r="FJ334" s="1">
        <v>23.33</v>
      </c>
      <c r="FL334" s="27">
        <v>2.36</v>
      </c>
      <c r="FM334" s="1">
        <v>0.67</v>
      </c>
      <c r="FV334" s="1">
        <f t="shared" si="13"/>
        <v>89.8842691813116</v>
      </c>
      <c r="FW334" s="1">
        <v>89.8842691813116</v>
      </c>
      <c r="JJ334" s="1" t="s">
        <v>551</v>
      </c>
      <c r="JK334" s="1" t="s">
        <v>552</v>
      </c>
    </row>
    <row r="335" customHeight="1" spans="1:271">
      <c r="A335" s="3">
        <v>9</v>
      </c>
      <c r="B335" s="4" t="s">
        <v>527</v>
      </c>
      <c r="C335" s="5" t="s">
        <v>558</v>
      </c>
      <c r="D335" s="4" t="s">
        <v>559</v>
      </c>
      <c r="E335" s="4" t="s">
        <v>560</v>
      </c>
      <c r="N335" s="4" t="s">
        <v>532</v>
      </c>
      <c r="O335" s="24" t="s">
        <v>367</v>
      </c>
      <c r="P335" s="4">
        <v>3</v>
      </c>
      <c r="T335" s="4">
        <v>65.56</v>
      </c>
      <c r="AA335" s="4" t="s">
        <v>561</v>
      </c>
      <c r="AH335" s="4" t="s">
        <v>346</v>
      </c>
      <c r="AI335" s="4" t="s">
        <v>553</v>
      </c>
      <c r="AJ335" s="4" t="s">
        <v>554</v>
      </c>
      <c r="AK335" s="4" t="s">
        <v>555</v>
      </c>
      <c r="AM335" s="4">
        <v>6.51</v>
      </c>
      <c r="AN335" s="4">
        <v>13.68</v>
      </c>
      <c r="AO335" s="4">
        <v>0.169</v>
      </c>
      <c r="AP335" s="4">
        <v>143.45</v>
      </c>
      <c r="AQ335" s="4" t="s">
        <v>519</v>
      </c>
      <c r="AR335" s="4">
        <v>325.76</v>
      </c>
      <c r="AS335" s="4" t="s">
        <v>319</v>
      </c>
      <c r="AT335" s="4">
        <v>11.96</v>
      </c>
      <c r="BC335" s="4" t="s">
        <v>547</v>
      </c>
      <c r="BI335" s="4" t="s">
        <v>321</v>
      </c>
      <c r="BL335" s="4">
        <v>50</v>
      </c>
      <c r="BP335" s="4">
        <v>5</v>
      </c>
      <c r="BV335" s="4" t="s">
        <v>522</v>
      </c>
      <c r="BX335" s="4" t="s">
        <v>548</v>
      </c>
      <c r="CB335" s="4" t="s">
        <v>438</v>
      </c>
      <c r="CE335" s="4" t="s">
        <v>435</v>
      </c>
      <c r="DO335" s="4">
        <v>3</v>
      </c>
      <c r="DQ335" s="1">
        <v>2.66</v>
      </c>
      <c r="DR335" s="1">
        <v>1.73</v>
      </c>
      <c r="DS335" s="27">
        <v>0.24</v>
      </c>
      <c r="DT335" s="1">
        <v>0.25</v>
      </c>
      <c r="EC335" s="1">
        <f t="shared" si="14"/>
        <v>90.9774436090225</v>
      </c>
      <c r="ED335" s="1">
        <v>90.9774436090225</v>
      </c>
      <c r="FJ335" s="1">
        <v>23.33</v>
      </c>
      <c r="FL335" s="27">
        <v>1.46</v>
      </c>
      <c r="FM335" s="1">
        <v>1.46</v>
      </c>
      <c r="FV335" s="1">
        <f t="shared" si="13"/>
        <v>93.7419631375911</v>
      </c>
      <c r="FW335" s="1">
        <v>93.7419631375911</v>
      </c>
      <c r="JJ335" s="1" t="s">
        <v>551</v>
      </c>
      <c r="JK335" s="1" t="s">
        <v>552</v>
      </c>
    </row>
    <row r="336" customHeight="1" spans="1:271">
      <c r="A336" s="3">
        <v>9</v>
      </c>
      <c r="B336" s="4" t="s">
        <v>527</v>
      </c>
      <c r="C336" s="5" t="s">
        <v>558</v>
      </c>
      <c r="D336" s="4" t="s">
        <v>559</v>
      </c>
      <c r="E336" s="4" t="s">
        <v>560</v>
      </c>
      <c r="N336" s="4" t="s">
        <v>532</v>
      </c>
      <c r="O336" s="24" t="s">
        <v>367</v>
      </c>
      <c r="P336" s="4">
        <v>3</v>
      </c>
      <c r="T336" s="4">
        <v>65.56</v>
      </c>
      <c r="AA336" s="4" t="s">
        <v>561</v>
      </c>
      <c r="AH336" s="4" t="s">
        <v>346</v>
      </c>
      <c r="AI336" s="4" t="s">
        <v>553</v>
      </c>
      <c r="AJ336" s="4" t="s">
        <v>554</v>
      </c>
      <c r="AK336" s="4" t="s">
        <v>555</v>
      </c>
      <c r="AM336" s="4">
        <v>6.51</v>
      </c>
      <c r="AN336" s="4">
        <v>13.68</v>
      </c>
      <c r="AO336" s="4">
        <v>0.169</v>
      </c>
      <c r="AP336" s="4">
        <v>143.45</v>
      </c>
      <c r="AQ336" s="4" t="s">
        <v>519</v>
      </c>
      <c r="AR336" s="4">
        <v>325.76</v>
      </c>
      <c r="AS336" s="4" t="s">
        <v>319</v>
      </c>
      <c r="AT336" s="4">
        <v>11.96</v>
      </c>
      <c r="BC336" s="4" t="s">
        <v>547</v>
      </c>
      <c r="BI336" s="1" t="s">
        <v>321</v>
      </c>
      <c r="BL336" s="1">
        <v>3000</v>
      </c>
      <c r="BP336" s="1">
        <v>0</v>
      </c>
      <c r="BV336" s="4" t="s">
        <v>556</v>
      </c>
      <c r="BX336" s="4" t="s">
        <v>557</v>
      </c>
      <c r="DO336" s="4">
        <v>3</v>
      </c>
    </row>
    <row r="337" customHeight="1" spans="1:269">
      <c r="A337" s="3">
        <v>9</v>
      </c>
      <c r="B337" s="4" t="s">
        <v>527</v>
      </c>
      <c r="C337" s="5" t="s">
        <v>558</v>
      </c>
      <c r="D337" s="4" t="s">
        <v>559</v>
      </c>
      <c r="E337" s="4" t="s">
        <v>560</v>
      </c>
      <c r="N337" s="4" t="s">
        <v>532</v>
      </c>
      <c r="O337" s="24" t="s">
        <v>367</v>
      </c>
      <c r="P337" s="4">
        <v>3</v>
      </c>
      <c r="T337" s="4">
        <v>65.56</v>
      </c>
      <c r="AA337" s="4" t="s">
        <v>561</v>
      </c>
      <c r="AH337" s="4" t="s">
        <v>346</v>
      </c>
      <c r="AI337" s="4" t="s">
        <v>553</v>
      </c>
      <c r="AJ337" s="4" t="s">
        <v>554</v>
      </c>
      <c r="AK337" s="4" t="s">
        <v>555</v>
      </c>
      <c r="AM337" s="4">
        <v>6.51</v>
      </c>
      <c r="AN337" s="4">
        <v>13.68</v>
      </c>
      <c r="AO337" s="4">
        <v>0.169</v>
      </c>
      <c r="AP337" s="4">
        <v>143.45</v>
      </c>
      <c r="AQ337" s="4" t="s">
        <v>519</v>
      </c>
      <c r="AR337" s="4">
        <v>325.76</v>
      </c>
      <c r="AS337" s="4" t="s">
        <v>319</v>
      </c>
      <c r="AT337" s="4">
        <v>11.96</v>
      </c>
      <c r="BC337" s="4" t="s">
        <v>547</v>
      </c>
      <c r="BI337" s="1" t="s">
        <v>321</v>
      </c>
      <c r="BL337" s="1">
        <v>3000</v>
      </c>
      <c r="BP337" s="1">
        <v>0.5</v>
      </c>
      <c r="BV337" s="4" t="s">
        <v>556</v>
      </c>
      <c r="BX337" s="4" t="s">
        <v>557</v>
      </c>
      <c r="DO337" s="4">
        <v>3</v>
      </c>
    </row>
    <row r="338" customHeight="1" spans="1:269">
      <c r="A338" s="3">
        <v>9</v>
      </c>
      <c r="B338" s="4" t="s">
        <v>527</v>
      </c>
      <c r="C338" s="5" t="s">
        <v>558</v>
      </c>
      <c r="D338" s="4" t="s">
        <v>559</v>
      </c>
      <c r="E338" s="4" t="s">
        <v>560</v>
      </c>
      <c r="N338" s="4" t="s">
        <v>532</v>
      </c>
      <c r="O338" s="24" t="s">
        <v>367</v>
      </c>
      <c r="P338" s="4">
        <v>3</v>
      </c>
      <c r="T338" s="4">
        <v>65.56</v>
      </c>
      <c r="AA338" s="4" t="s">
        <v>561</v>
      </c>
      <c r="AH338" s="4" t="s">
        <v>346</v>
      </c>
      <c r="AI338" s="4" t="s">
        <v>553</v>
      </c>
      <c r="AJ338" s="4" t="s">
        <v>554</v>
      </c>
      <c r="AK338" s="4" t="s">
        <v>555</v>
      </c>
      <c r="AM338" s="4">
        <v>6.51</v>
      </c>
      <c r="AN338" s="4">
        <v>13.68</v>
      </c>
      <c r="AO338" s="4">
        <v>0.169</v>
      </c>
      <c r="AP338" s="4">
        <v>143.45</v>
      </c>
      <c r="AQ338" s="4" t="s">
        <v>519</v>
      </c>
      <c r="AR338" s="4">
        <v>325.76</v>
      </c>
      <c r="AS338" s="4" t="s">
        <v>319</v>
      </c>
      <c r="AT338" s="4">
        <v>11.96</v>
      </c>
      <c r="BC338" s="4" t="s">
        <v>547</v>
      </c>
      <c r="BI338" s="1" t="s">
        <v>321</v>
      </c>
      <c r="BL338" s="1">
        <v>3000</v>
      </c>
      <c r="BP338" s="1">
        <v>1</v>
      </c>
      <c r="BV338" s="4" t="s">
        <v>556</v>
      </c>
      <c r="BX338" s="4" t="s">
        <v>557</v>
      </c>
      <c r="DO338" s="4">
        <v>3</v>
      </c>
    </row>
    <row r="339" customHeight="1" spans="1:269">
      <c r="A339" s="28">
        <v>10</v>
      </c>
      <c r="B339" s="4" t="s">
        <v>562</v>
      </c>
      <c r="C339" s="5" t="s">
        <v>563</v>
      </c>
      <c r="D339" s="4" t="s">
        <v>564</v>
      </c>
      <c r="E339" s="4" t="s">
        <v>565</v>
      </c>
      <c r="F339" s="4" t="s">
        <v>328</v>
      </c>
      <c r="G339" s="4" t="s">
        <v>566</v>
      </c>
      <c r="N339" s="4" t="s">
        <v>567</v>
      </c>
      <c r="O339" s="24" t="s">
        <v>367</v>
      </c>
      <c r="Q339" s="4" t="s">
        <v>568</v>
      </c>
      <c r="X339" s="4">
        <v>0.806</v>
      </c>
      <c r="AC339" s="4" t="s">
        <v>569</v>
      </c>
      <c r="AD339" s="4" t="s">
        <v>570</v>
      </c>
      <c r="AE339" s="4" t="s">
        <v>571</v>
      </c>
      <c r="AF339" s="4" t="s">
        <v>572</v>
      </c>
      <c r="AH339" s="4" t="s">
        <v>371</v>
      </c>
      <c r="AM339" s="4" t="s">
        <v>573</v>
      </c>
      <c r="AN339" s="4" t="s">
        <v>574</v>
      </c>
      <c r="AQ339" s="4" t="s">
        <v>464</v>
      </c>
      <c r="AR339" s="4" t="s">
        <v>575</v>
      </c>
      <c r="AS339" s="4" t="s">
        <v>11</v>
      </c>
      <c r="AT339" s="4" t="s">
        <v>576</v>
      </c>
      <c r="AU339" s="4" t="s">
        <v>14</v>
      </c>
      <c r="AV339" s="4" t="s">
        <v>577</v>
      </c>
      <c r="AW339" s="4" t="s">
        <v>16</v>
      </c>
      <c r="AX339" s="4" t="s">
        <v>578</v>
      </c>
      <c r="BD339" s="4" t="s">
        <v>579</v>
      </c>
      <c r="BI339" s="4" t="s">
        <v>321</v>
      </c>
      <c r="BK339" s="4">
        <v>25</v>
      </c>
      <c r="BO339" s="4">
        <v>0.1</v>
      </c>
      <c r="BU339" s="4">
        <v>250</v>
      </c>
      <c r="BV339" s="4" t="s">
        <v>580</v>
      </c>
      <c r="BW339" s="4">
        <v>25</v>
      </c>
      <c r="BZ339" s="4">
        <v>4</v>
      </c>
      <c r="CB339" s="4" t="s">
        <v>464</v>
      </c>
      <c r="CD339" s="4">
        <v>300</v>
      </c>
      <c r="CE339" s="4" t="s">
        <v>11</v>
      </c>
      <c r="CG339" s="4">
        <v>300</v>
      </c>
      <c r="CH339" s="4" t="s">
        <v>14</v>
      </c>
      <c r="CJ339" s="4">
        <v>300</v>
      </c>
      <c r="CK339" s="4" t="s">
        <v>16</v>
      </c>
      <c r="CM339" s="4">
        <v>300</v>
      </c>
      <c r="CX339" s="4" t="s">
        <v>314</v>
      </c>
      <c r="CZ339" s="4" t="s">
        <v>328</v>
      </c>
      <c r="DA339" s="4" t="s">
        <v>581</v>
      </c>
      <c r="DO339" s="4">
        <v>3</v>
      </c>
      <c r="GX339" s="4"/>
      <c r="HA339" s="4"/>
      <c r="JF339" s="4"/>
      <c r="JI339" s="4"/>
    </row>
    <row r="340" customHeight="1" spans="1:269">
      <c r="A340" s="28">
        <v>10</v>
      </c>
      <c r="B340" s="4" t="s">
        <v>562</v>
      </c>
      <c r="C340" s="5" t="s">
        <v>563</v>
      </c>
      <c r="D340" s="4" t="s">
        <v>564</v>
      </c>
      <c r="E340" s="4" t="s">
        <v>565</v>
      </c>
      <c r="F340" s="4" t="s">
        <v>328</v>
      </c>
      <c r="G340" s="4" t="s">
        <v>566</v>
      </c>
      <c r="N340" s="4" t="s">
        <v>567</v>
      </c>
      <c r="O340" s="24" t="s">
        <v>367</v>
      </c>
      <c r="Q340" s="4" t="s">
        <v>568</v>
      </c>
      <c r="X340" s="4">
        <v>0.806</v>
      </c>
      <c r="AC340" s="4" t="s">
        <v>569</v>
      </c>
      <c r="AD340" s="4" t="s">
        <v>570</v>
      </c>
      <c r="AE340" s="4" t="s">
        <v>571</v>
      </c>
      <c r="AF340" s="4" t="s">
        <v>572</v>
      </c>
      <c r="AH340" s="4" t="s">
        <v>371</v>
      </c>
      <c r="AM340" s="4" t="s">
        <v>573</v>
      </c>
      <c r="AN340" s="4" t="s">
        <v>574</v>
      </c>
      <c r="AQ340" s="4" t="s">
        <v>464</v>
      </c>
      <c r="AR340" s="4" t="s">
        <v>575</v>
      </c>
      <c r="AS340" s="4" t="s">
        <v>11</v>
      </c>
      <c r="AT340" s="4" t="s">
        <v>576</v>
      </c>
      <c r="AU340" s="4" t="s">
        <v>14</v>
      </c>
      <c r="AV340" s="4" t="s">
        <v>577</v>
      </c>
      <c r="AW340" s="4" t="s">
        <v>16</v>
      </c>
      <c r="AX340" s="4" t="s">
        <v>578</v>
      </c>
      <c r="BD340" s="4" t="s">
        <v>579</v>
      </c>
      <c r="BI340" s="4" t="s">
        <v>321</v>
      </c>
      <c r="BK340" s="4">
        <v>25</v>
      </c>
      <c r="BO340" s="4">
        <v>0.1</v>
      </c>
      <c r="BU340" s="4">
        <v>250</v>
      </c>
      <c r="BV340" s="4">
        <v>600</v>
      </c>
      <c r="BW340" s="4">
        <v>25</v>
      </c>
      <c r="BZ340" s="4">
        <v>4</v>
      </c>
      <c r="CB340" s="4" t="s">
        <v>464</v>
      </c>
      <c r="CD340" s="4" t="s">
        <v>582</v>
      </c>
      <c r="CE340" s="4" t="s">
        <v>11</v>
      </c>
      <c r="CG340" s="4" t="s">
        <v>582</v>
      </c>
      <c r="CH340" s="4" t="s">
        <v>14</v>
      </c>
      <c r="CJ340" s="4" t="s">
        <v>582</v>
      </c>
      <c r="CK340" s="4" t="s">
        <v>16</v>
      </c>
      <c r="CM340" s="4" t="s">
        <v>582</v>
      </c>
      <c r="DB340" s="4" t="s">
        <v>583</v>
      </c>
      <c r="DC340" s="4" t="s">
        <v>584</v>
      </c>
      <c r="DE340" s="4">
        <v>526.45</v>
      </c>
      <c r="DG340" s="4">
        <v>370.23</v>
      </c>
      <c r="DH340" s="4">
        <v>277.58</v>
      </c>
      <c r="DI340" s="4">
        <v>220.17</v>
      </c>
      <c r="DO340" s="4">
        <v>3</v>
      </c>
      <c r="GE340" s="4">
        <v>370.23</v>
      </c>
      <c r="GT340" s="29">
        <v>526.45</v>
      </c>
      <c r="GX340" s="4"/>
      <c r="HA340" s="4"/>
      <c r="JB340" s="29">
        <v>220.17</v>
      </c>
      <c r="JF340" s="4"/>
      <c r="JI340" s="4"/>
    </row>
    <row r="341" customHeight="1" spans="1:269">
      <c r="A341" s="28">
        <v>10</v>
      </c>
      <c r="B341" s="4" t="s">
        <v>562</v>
      </c>
      <c r="C341" s="5" t="s">
        <v>563</v>
      </c>
      <c r="D341" s="4" t="s">
        <v>564</v>
      </c>
      <c r="E341" s="4" t="s">
        <v>565</v>
      </c>
      <c r="F341" s="4" t="s">
        <v>328</v>
      </c>
      <c r="G341" s="4" t="s">
        <v>566</v>
      </c>
      <c r="N341" s="4" t="s">
        <v>567</v>
      </c>
      <c r="O341" s="24" t="s">
        <v>367</v>
      </c>
      <c r="Q341" s="4" t="s">
        <v>568</v>
      </c>
      <c r="X341" s="4">
        <v>0.806</v>
      </c>
      <c r="AC341" s="4" t="s">
        <v>569</v>
      </c>
      <c r="AD341" s="4" t="s">
        <v>570</v>
      </c>
      <c r="AE341" s="4" t="s">
        <v>571</v>
      </c>
      <c r="AF341" s="4" t="s">
        <v>572</v>
      </c>
      <c r="AH341" s="4" t="s">
        <v>371</v>
      </c>
      <c r="AM341" s="4" t="s">
        <v>573</v>
      </c>
      <c r="AN341" s="4" t="s">
        <v>574</v>
      </c>
      <c r="AQ341" s="4" t="s">
        <v>464</v>
      </c>
      <c r="AR341" s="4" t="s">
        <v>575</v>
      </c>
      <c r="AS341" s="4" t="s">
        <v>11</v>
      </c>
      <c r="AT341" s="4" t="s">
        <v>576</v>
      </c>
      <c r="AU341" s="4" t="s">
        <v>14</v>
      </c>
      <c r="AV341" s="4" t="s">
        <v>577</v>
      </c>
      <c r="AW341" s="4" t="s">
        <v>16</v>
      </c>
      <c r="AX341" s="4" t="s">
        <v>578</v>
      </c>
      <c r="BD341" s="4" t="s">
        <v>579</v>
      </c>
      <c r="BI341" s="4" t="s">
        <v>321</v>
      </c>
      <c r="BK341" s="4">
        <v>25</v>
      </c>
      <c r="BO341" s="4">
        <v>0.1</v>
      </c>
      <c r="BU341" s="4">
        <v>250</v>
      </c>
      <c r="BV341" s="4">
        <v>600</v>
      </c>
      <c r="BW341" s="4">
        <v>25</v>
      </c>
      <c r="BZ341" s="4">
        <v>4</v>
      </c>
      <c r="CB341" s="4" t="s">
        <v>464</v>
      </c>
      <c r="CD341" s="4" t="s">
        <v>582</v>
      </c>
      <c r="CE341" s="4" t="s">
        <v>11</v>
      </c>
      <c r="CG341" s="4" t="s">
        <v>582</v>
      </c>
      <c r="CH341" s="4" t="s">
        <v>14</v>
      </c>
      <c r="CJ341" s="4" t="s">
        <v>582</v>
      </c>
      <c r="CK341" s="4" t="s">
        <v>16</v>
      </c>
      <c r="CM341" s="4" t="s">
        <v>582</v>
      </c>
      <c r="DO341" s="4">
        <v>3</v>
      </c>
      <c r="GX341" s="4"/>
      <c r="HA341" s="4"/>
      <c r="JF341" s="4"/>
      <c r="JI341" s="4"/>
    </row>
    <row r="342" customHeight="1" spans="1:269">
      <c r="A342" s="28">
        <v>10</v>
      </c>
      <c r="B342" s="4" t="s">
        <v>562</v>
      </c>
      <c r="C342" s="5" t="s">
        <v>563</v>
      </c>
      <c r="D342" s="4" t="s">
        <v>564</v>
      </c>
      <c r="E342" s="4" t="s">
        <v>565</v>
      </c>
      <c r="F342" s="4" t="s">
        <v>328</v>
      </c>
      <c r="G342" s="4" t="s">
        <v>566</v>
      </c>
      <c r="N342" s="4" t="s">
        <v>567</v>
      </c>
      <c r="O342" s="24" t="s">
        <v>367</v>
      </c>
      <c r="Q342" s="4" t="s">
        <v>568</v>
      </c>
      <c r="X342" s="4">
        <v>0.806</v>
      </c>
      <c r="AC342" s="4" t="s">
        <v>569</v>
      </c>
      <c r="AD342" s="4" t="s">
        <v>570</v>
      </c>
      <c r="AE342" s="4" t="s">
        <v>571</v>
      </c>
      <c r="AF342" s="4" t="s">
        <v>572</v>
      </c>
      <c r="AH342" s="4" t="s">
        <v>371</v>
      </c>
      <c r="AM342" s="4" t="s">
        <v>573</v>
      </c>
      <c r="AN342" s="4" t="s">
        <v>574</v>
      </c>
      <c r="AQ342" s="4" t="s">
        <v>464</v>
      </c>
      <c r="AR342" s="4" t="s">
        <v>575</v>
      </c>
      <c r="AS342" s="4" t="s">
        <v>11</v>
      </c>
      <c r="AT342" s="4" t="s">
        <v>576</v>
      </c>
      <c r="AU342" s="4" t="s">
        <v>14</v>
      </c>
      <c r="AV342" s="4" t="s">
        <v>577</v>
      </c>
      <c r="AW342" s="4" t="s">
        <v>16</v>
      </c>
      <c r="AX342" s="4" t="s">
        <v>578</v>
      </c>
      <c r="BD342" s="4" t="s">
        <v>579</v>
      </c>
      <c r="BI342" s="4" t="s">
        <v>321</v>
      </c>
      <c r="BK342" s="4">
        <v>25</v>
      </c>
      <c r="BO342" s="4">
        <v>0.1</v>
      </c>
      <c r="BU342" s="4">
        <v>250</v>
      </c>
      <c r="BV342" s="4">
        <v>600</v>
      </c>
      <c r="BW342" s="4">
        <v>25</v>
      </c>
      <c r="BZ342" s="4">
        <v>4</v>
      </c>
      <c r="CB342" s="4" t="s">
        <v>464</v>
      </c>
      <c r="CD342" s="4" t="s">
        <v>582</v>
      </c>
      <c r="CE342" s="4" t="s">
        <v>11</v>
      </c>
      <c r="CG342" s="4" t="s">
        <v>582</v>
      </c>
      <c r="CH342" s="4" t="s">
        <v>14</v>
      </c>
      <c r="CJ342" s="4" t="s">
        <v>582</v>
      </c>
      <c r="CK342" s="4" t="s">
        <v>16</v>
      </c>
      <c r="CM342" s="4" t="s">
        <v>582</v>
      </c>
      <c r="DO342" s="4">
        <v>3</v>
      </c>
      <c r="GX342" s="4"/>
      <c r="HA342" s="4"/>
      <c r="JF342" s="4"/>
      <c r="JI342" s="4"/>
    </row>
    <row r="343" customHeight="1" spans="1:269">
      <c r="A343" s="28">
        <v>10</v>
      </c>
      <c r="B343" s="4" t="s">
        <v>562</v>
      </c>
      <c r="C343" s="5" t="s">
        <v>563</v>
      </c>
      <c r="D343" s="4" t="s">
        <v>564</v>
      </c>
      <c r="E343" s="4" t="s">
        <v>565</v>
      </c>
      <c r="F343" s="4" t="s">
        <v>328</v>
      </c>
      <c r="G343" s="4" t="s">
        <v>566</v>
      </c>
      <c r="N343" s="4" t="s">
        <v>567</v>
      </c>
      <c r="O343" s="24" t="s">
        <v>367</v>
      </c>
      <c r="Q343" s="4" t="s">
        <v>568</v>
      </c>
      <c r="BI343" s="4" t="s">
        <v>321</v>
      </c>
      <c r="BK343" s="4">
        <v>25</v>
      </c>
      <c r="BO343" s="4">
        <v>0.1</v>
      </c>
      <c r="BU343" s="4">
        <v>250</v>
      </c>
      <c r="BV343" s="4" t="s">
        <v>580</v>
      </c>
      <c r="BW343" s="4">
        <v>25</v>
      </c>
      <c r="BZ343" s="4">
        <v>4</v>
      </c>
      <c r="CB343" s="4" t="s">
        <v>464</v>
      </c>
      <c r="CD343" s="4">
        <v>300</v>
      </c>
      <c r="CE343" s="4" t="s">
        <v>11</v>
      </c>
      <c r="CG343" s="4">
        <v>300</v>
      </c>
      <c r="CH343" s="4" t="s">
        <v>14</v>
      </c>
      <c r="CJ343" s="4">
        <v>300</v>
      </c>
      <c r="CK343" s="4" t="s">
        <v>16</v>
      </c>
      <c r="CM343" s="4">
        <v>300</v>
      </c>
      <c r="CR343" s="4" t="s">
        <v>512</v>
      </c>
      <c r="CS343" s="4">
        <v>0</v>
      </c>
      <c r="DO343" s="4">
        <v>3</v>
      </c>
      <c r="GJ343" s="27">
        <v>100</v>
      </c>
      <c r="GK343" s="27"/>
      <c r="GX343" s="27">
        <v>100</v>
      </c>
      <c r="HA343" s="27">
        <v>100</v>
      </c>
      <c r="IB343" s="27">
        <v>100</v>
      </c>
      <c r="IE343" s="27">
        <v>100</v>
      </c>
      <c r="JF343" s="27">
        <v>100</v>
      </c>
      <c r="JI343" s="27">
        <v>100</v>
      </c>
    </row>
    <row r="344" customHeight="1" spans="1:269">
      <c r="A344" s="28">
        <v>10</v>
      </c>
      <c r="B344" s="4" t="s">
        <v>562</v>
      </c>
      <c r="C344" s="5" t="s">
        <v>563</v>
      </c>
      <c r="D344" s="4" t="s">
        <v>564</v>
      </c>
      <c r="E344" s="4" t="s">
        <v>565</v>
      </c>
      <c r="F344" s="4" t="s">
        <v>328</v>
      </c>
      <c r="G344" s="4" t="s">
        <v>566</v>
      </c>
      <c r="N344" s="4" t="s">
        <v>567</v>
      </c>
      <c r="O344" s="24" t="s">
        <v>367</v>
      </c>
      <c r="Q344" s="4" t="s">
        <v>568</v>
      </c>
      <c r="BI344" s="4" t="s">
        <v>321</v>
      </c>
      <c r="BK344" s="4">
        <v>25</v>
      </c>
      <c r="BO344" s="4">
        <v>0.1</v>
      </c>
      <c r="BU344" s="4">
        <v>250</v>
      </c>
      <c r="BV344" s="4" t="s">
        <v>580</v>
      </c>
      <c r="BW344" s="4">
        <v>25</v>
      </c>
      <c r="BZ344" s="4">
        <v>4</v>
      </c>
      <c r="CB344" s="4" t="s">
        <v>464</v>
      </c>
      <c r="CD344" s="4">
        <v>300</v>
      </c>
      <c r="CE344" s="4" t="s">
        <v>11</v>
      </c>
      <c r="CG344" s="4">
        <v>300</v>
      </c>
      <c r="CH344" s="4" t="s">
        <v>14</v>
      </c>
      <c r="CJ344" s="4">
        <v>300</v>
      </c>
      <c r="CK344" s="4" t="s">
        <v>16</v>
      </c>
      <c r="CM344" s="4">
        <v>300</v>
      </c>
      <c r="CR344" s="4" t="s">
        <v>537</v>
      </c>
      <c r="CS344" s="4">
        <v>300</v>
      </c>
      <c r="DO344" s="4">
        <v>3</v>
      </c>
      <c r="GJ344" s="27">
        <v>96.9642857142857</v>
      </c>
      <c r="GK344" s="27"/>
      <c r="GX344" s="27">
        <v>92.8571428571428</v>
      </c>
      <c r="HA344" s="27">
        <v>92.8571428571428</v>
      </c>
      <c r="IB344" s="27">
        <v>92.6785714285714</v>
      </c>
      <c r="IE344" s="27">
        <v>92.6785714285714</v>
      </c>
      <c r="JF344" s="27">
        <v>96.6071428571428</v>
      </c>
      <c r="JI344" s="27">
        <v>96.6071428571428</v>
      </c>
    </row>
    <row r="345" customHeight="1" spans="1:269">
      <c r="A345" s="28">
        <v>10</v>
      </c>
      <c r="B345" s="4" t="s">
        <v>562</v>
      </c>
      <c r="C345" s="5" t="s">
        <v>563</v>
      </c>
      <c r="D345" s="4" t="s">
        <v>564</v>
      </c>
      <c r="E345" s="4" t="s">
        <v>565</v>
      </c>
      <c r="F345" s="4" t="s">
        <v>328</v>
      </c>
      <c r="G345" s="4" t="s">
        <v>566</v>
      </c>
      <c r="N345" s="4" t="s">
        <v>567</v>
      </c>
      <c r="O345" s="24" t="s">
        <v>367</v>
      </c>
      <c r="Q345" s="4" t="s">
        <v>568</v>
      </c>
      <c r="BI345" s="4" t="s">
        <v>321</v>
      </c>
      <c r="BK345" s="4">
        <v>25</v>
      </c>
      <c r="BO345" s="4">
        <v>0.1</v>
      </c>
      <c r="BU345" s="4">
        <v>250</v>
      </c>
      <c r="BV345" s="4" t="s">
        <v>580</v>
      </c>
      <c r="BW345" s="4">
        <v>25</v>
      </c>
      <c r="BZ345" s="4">
        <v>4</v>
      </c>
      <c r="CB345" s="4" t="s">
        <v>464</v>
      </c>
      <c r="CD345" s="4">
        <v>300</v>
      </c>
      <c r="CE345" s="4" t="s">
        <v>11</v>
      </c>
      <c r="CG345" s="4">
        <v>300</v>
      </c>
      <c r="CH345" s="4" t="s">
        <v>14</v>
      </c>
      <c r="CJ345" s="4">
        <v>300</v>
      </c>
      <c r="CK345" s="4" t="s">
        <v>16</v>
      </c>
      <c r="CM345" s="4">
        <v>300</v>
      </c>
      <c r="CR345" s="4" t="s">
        <v>538</v>
      </c>
      <c r="CS345" s="4">
        <v>300</v>
      </c>
      <c r="DO345" s="4">
        <v>3</v>
      </c>
      <c r="GJ345" s="27">
        <v>93.5714285714285</v>
      </c>
      <c r="GK345" s="27"/>
      <c r="GX345" s="27">
        <v>96.0714285714285</v>
      </c>
      <c r="HA345" s="27">
        <v>96.0714285714285</v>
      </c>
      <c r="IB345" s="27">
        <v>94.4642857142857</v>
      </c>
      <c r="IE345" s="27">
        <v>94.4642857142857</v>
      </c>
      <c r="JF345" s="27">
        <v>99.6428571428571</v>
      </c>
      <c r="JI345" s="27">
        <v>99.6428571428571</v>
      </c>
    </row>
    <row r="346" customHeight="1" spans="1:269">
      <c r="A346" s="28">
        <v>10</v>
      </c>
      <c r="B346" s="4" t="s">
        <v>562</v>
      </c>
      <c r="C346" s="5" t="s">
        <v>563</v>
      </c>
      <c r="D346" s="4" t="s">
        <v>564</v>
      </c>
      <c r="E346" s="4" t="s">
        <v>565</v>
      </c>
      <c r="F346" s="4" t="s">
        <v>328</v>
      </c>
      <c r="G346" s="4" t="s">
        <v>566</v>
      </c>
      <c r="N346" s="4" t="s">
        <v>567</v>
      </c>
      <c r="O346" s="24" t="s">
        <v>367</v>
      </c>
      <c r="Q346" s="4" t="s">
        <v>568</v>
      </c>
      <c r="BI346" s="4" t="s">
        <v>321</v>
      </c>
      <c r="BK346" s="4">
        <v>25</v>
      </c>
      <c r="BO346" s="4">
        <v>0.1</v>
      </c>
      <c r="BU346" s="4">
        <v>250</v>
      </c>
      <c r="BV346" s="4" t="s">
        <v>580</v>
      </c>
      <c r="BW346" s="4">
        <v>25</v>
      </c>
      <c r="BZ346" s="4">
        <v>4</v>
      </c>
      <c r="CB346" s="4" t="s">
        <v>464</v>
      </c>
      <c r="CD346" s="4">
        <v>300</v>
      </c>
      <c r="CE346" s="4" t="s">
        <v>11</v>
      </c>
      <c r="CG346" s="4">
        <v>300</v>
      </c>
      <c r="CH346" s="4" t="s">
        <v>14</v>
      </c>
      <c r="CJ346" s="4">
        <v>300</v>
      </c>
      <c r="CK346" s="4" t="s">
        <v>16</v>
      </c>
      <c r="CM346" s="4">
        <v>300</v>
      </c>
      <c r="CR346" s="4" t="s">
        <v>536</v>
      </c>
      <c r="CS346" s="4">
        <v>300</v>
      </c>
      <c r="DO346" s="4">
        <v>3</v>
      </c>
      <c r="GJ346" s="27">
        <v>96.0714285714285</v>
      </c>
      <c r="GK346" s="27"/>
      <c r="GX346" s="27">
        <v>94.8214285714285</v>
      </c>
      <c r="HA346" s="27">
        <v>94.8214285714285</v>
      </c>
      <c r="IB346" s="27">
        <v>93.3928571428571</v>
      </c>
      <c r="IE346" s="27">
        <v>93.3928571428571</v>
      </c>
      <c r="JF346" s="27">
        <v>98.7499999999999</v>
      </c>
      <c r="JI346" s="27">
        <v>98.7499999999999</v>
      </c>
    </row>
    <row r="347" customHeight="1" spans="1:269">
      <c r="A347" s="28">
        <v>10</v>
      </c>
      <c r="B347" s="4" t="s">
        <v>562</v>
      </c>
      <c r="C347" s="5" t="s">
        <v>563</v>
      </c>
      <c r="D347" s="4" t="s">
        <v>564</v>
      </c>
      <c r="E347" s="4" t="s">
        <v>565</v>
      </c>
      <c r="F347" s="4" t="s">
        <v>328</v>
      </c>
      <c r="G347" s="4" t="s">
        <v>566</v>
      </c>
      <c r="N347" s="4" t="s">
        <v>567</v>
      </c>
      <c r="O347" s="24" t="s">
        <v>367</v>
      </c>
      <c r="Q347" s="4" t="s">
        <v>568</v>
      </c>
      <c r="BI347" s="4" t="s">
        <v>321</v>
      </c>
      <c r="BK347" s="4">
        <v>25</v>
      </c>
      <c r="BO347" s="4">
        <v>0.1</v>
      </c>
      <c r="BU347" s="4">
        <v>250</v>
      </c>
      <c r="BV347" s="4" t="s">
        <v>580</v>
      </c>
      <c r="BW347" s="4">
        <v>25</v>
      </c>
      <c r="BZ347" s="4">
        <v>4</v>
      </c>
      <c r="CB347" s="4" t="s">
        <v>464</v>
      </c>
      <c r="CD347" s="4">
        <v>300</v>
      </c>
      <c r="CE347" s="4" t="s">
        <v>11</v>
      </c>
      <c r="CG347" s="4">
        <v>300</v>
      </c>
      <c r="CH347" s="4" t="s">
        <v>14</v>
      </c>
      <c r="CJ347" s="4">
        <v>300</v>
      </c>
      <c r="CK347" s="4" t="s">
        <v>16</v>
      </c>
      <c r="CM347" s="4">
        <v>300</v>
      </c>
      <c r="CR347" s="4" t="s">
        <v>567</v>
      </c>
      <c r="CS347" s="4">
        <v>300</v>
      </c>
      <c r="DO347" s="4">
        <v>3</v>
      </c>
      <c r="GJ347" s="27">
        <v>94.2857142857142</v>
      </c>
      <c r="GK347" s="27"/>
      <c r="GX347" s="27">
        <v>96.0714285714285</v>
      </c>
      <c r="HA347" s="27">
        <v>96.0714285714285</v>
      </c>
      <c r="IB347" s="27">
        <v>91.2499999999999</v>
      </c>
      <c r="IE347" s="27">
        <v>91.2499999999999</v>
      </c>
      <c r="JF347" s="27">
        <v>90.8928571428571</v>
      </c>
      <c r="JI347" s="27">
        <v>90.8928571428571</v>
      </c>
    </row>
    <row r="348" customHeight="1" spans="1:269">
      <c r="A348" s="28">
        <v>10</v>
      </c>
      <c r="B348" s="4" t="s">
        <v>562</v>
      </c>
      <c r="C348" s="5" t="s">
        <v>563</v>
      </c>
      <c r="D348" s="4" t="s">
        <v>564</v>
      </c>
      <c r="E348" s="4" t="s">
        <v>565</v>
      </c>
      <c r="F348" s="4" t="s">
        <v>328</v>
      </c>
      <c r="G348" s="4" t="s">
        <v>566</v>
      </c>
      <c r="N348" s="4" t="s">
        <v>567</v>
      </c>
      <c r="O348" s="24" t="s">
        <v>367</v>
      </c>
      <c r="Q348" s="4" t="s">
        <v>568</v>
      </c>
      <c r="BI348" s="4" t="s">
        <v>321</v>
      </c>
      <c r="BK348" s="4">
        <v>25</v>
      </c>
      <c r="BO348" s="4">
        <v>0.1</v>
      </c>
      <c r="BU348" s="4">
        <v>250</v>
      </c>
      <c r="BV348" s="4" t="s">
        <v>580</v>
      </c>
      <c r="BW348" s="4">
        <v>25</v>
      </c>
      <c r="BZ348" s="4">
        <v>4</v>
      </c>
      <c r="CB348" s="4" t="s">
        <v>464</v>
      </c>
      <c r="CD348" s="4">
        <v>300</v>
      </c>
      <c r="CE348" s="4" t="s">
        <v>11</v>
      </c>
      <c r="CG348" s="4">
        <v>300</v>
      </c>
      <c r="CH348" s="4" t="s">
        <v>14</v>
      </c>
      <c r="CJ348" s="4">
        <v>300</v>
      </c>
      <c r="CK348" s="4" t="s">
        <v>16</v>
      </c>
      <c r="CM348" s="4">
        <v>300</v>
      </c>
      <c r="CR348" s="4" t="s">
        <v>539</v>
      </c>
      <c r="CS348" s="4">
        <v>300</v>
      </c>
      <c r="DO348" s="4">
        <v>3</v>
      </c>
      <c r="GJ348" s="27">
        <v>97.1428571428571</v>
      </c>
      <c r="GK348" s="27"/>
      <c r="GX348" s="27">
        <v>98.3928571428571</v>
      </c>
      <c r="HA348" s="27">
        <v>98.3928571428571</v>
      </c>
      <c r="IB348" s="27">
        <v>96.6071428571428</v>
      </c>
      <c r="IE348" s="27">
        <v>96.6071428571428</v>
      </c>
      <c r="JF348" s="27">
        <v>98.9285714285714</v>
      </c>
      <c r="JI348" s="27">
        <v>98.9285714285714</v>
      </c>
    </row>
    <row r="349" customHeight="1" spans="1:269">
      <c r="A349" s="28">
        <v>10</v>
      </c>
      <c r="B349" s="4" t="s">
        <v>562</v>
      </c>
      <c r="C349" s="5" t="s">
        <v>563</v>
      </c>
      <c r="D349" s="4" t="s">
        <v>564</v>
      </c>
      <c r="E349" s="4" t="s">
        <v>565</v>
      </c>
      <c r="F349" s="4" t="s">
        <v>328</v>
      </c>
      <c r="G349" s="4" t="s">
        <v>566</v>
      </c>
      <c r="N349" s="4" t="s">
        <v>567</v>
      </c>
      <c r="O349" s="24" t="s">
        <v>367</v>
      </c>
      <c r="Q349" s="4" t="s">
        <v>568</v>
      </c>
      <c r="BI349" s="4" t="s">
        <v>321</v>
      </c>
      <c r="BK349" s="4">
        <v>25</v>
      </c>
      <c r="BO349" s="4">
        <v>0.1</v>
      </c>
      <c r="BU349" s="4">
        <v>250</v>
      </c>
      <c r="BV349" s="4" t="s">
        <v>580</v>
      </c>
      <c r="BW349" s="4">
        <v>25</v>
      </c>
      <c r="BZ349" s="4">
        <v>4</v>
      </c>
      <c r="CB349" s="4" t="s">
        <v>464</v>
      </c>
      <c r="CD349" s="4">
        <v>300</v>
      </c>
      <c r="CE349" s="4" t="s">
        <v>11</v>
      </c>
      <c r="CG349" s="4">
        <v>300</v>
      </c>
      <c r="CH349" s="4" t="s">
        <v>14</v>
      </c>
      <c r="CJ349" s="4">
        <v>300</v>
      </c>
      <c r="CK349" s="4" t="s">
        <v>16</v>
      </c>
      <c r="CM349" s="4">
        <v>300</v>
      </c>
      <c r="CR349" s="4" t="s">
        <v>540</v>
      </c>
      <c r="CS349" s="4">
        <v>300</v>
      </c>
      <c r="DO349" s="4">
        <v>3</v>
      </c>
      <c r="GJ349" s="27">
        <v>98.5714285714285</v>
      </c>
      <c r="GK349" s="27"/>
      <c r="GX349" s="27">
        <v>97.1428571428571</v>
      </c>
      <c r="HA349" s="27">
        <v>97.1428571428571</v>
      </c>
      <c r="IB349" s="27">
        <v>95.1785714285714</v>
      </c>
      <c r="IE349" s="27">
        <v>95.1785714285714</v>
      </c>
      <c r="JF349" s="27">
        <v>98.2142857142857</v>
      </c>
      <c r="JI349" s="27">
        <v>98.2142857142857</v>
      </c>
    </row>
    <row r="350" customHeight="1" spans="1:269">
      <c r="A350" s="28">
        <v>10</v>
      </c>
      <c r="B350" s="4" t="s">
        <v>562</v>
      </c>
      <c r="C350" s="5" t="s">
        <v>563</v>
      </c>
      <c r="D350" s="4" t="s">
        <v>564</v>
      </c>
      <c r="E350" s="4" t="s">
        <v>565</v>
      </c>
      <c r="F350" s="4" t="s">
        <v>328</v>
      </c>
      <c r="G350" s="4" t="s">
        <v>566</v>
      </c>
      <c r="N350" s="4" t="s">
        <v>567</v>
      </c>
      <c r="O350" s="24" t="s">
        <v>367</v>
      </c>
      <c r="Q350" s="4" t="s">
        <v>568</v>
      </c>
      <c r="BI350" s="4" t="s">
        <v>321</v>
      </c>
      <c r="BK350" s="4">
        <v>25</v>
      </c>
      <c r="BO350" s="4">
        <v>0.1</v>
      </c>
      <c r="BU350" s="4">
        <v>250</v>
      </c>
      <c r="BV350" s="4" t="s">
        <v>580</v>
      </c>
      <c r="BW350" s="4">
        <v>25</v>
      </c>
      <c r="BZ350" s="4">
        <v>4</v>
      </c>
      <c r="CB350" s="4" t="s">
        <v>464</v>
      </c>
      <c r="CD350" s="4">
        <v>300</v>
      </c>
      <c r="CE350" s="4" t="s">
        <v>11</v>
      </c>
      <c r="CG350" s="4">
        <v>300</v>
      </c>
      <c r="CH350" s="4" t="s">
        <v>14</v>
      </c>
      <c r="CJ350" s="4">
        <v>300</v>
      </c>
      <c r="CK350" s="4" t="s">
        <v>16</v>
      </c>
      <c r="CM350" s="4">
        <v>300</v>
      </c>
      <c r="CR350" s="4" t="s">
        <v>541</v>
      </c>
      <c r="CS350" s="4">
        <v>300</v>
      </c>
      <c r="DO350" s="4">
        <v>3</v>
      </c>
      <c r="GJ350" s="27">
        <v>96.4285714285714</v>
      </c>
      <c r="GK350" s="27"/>
      <c r="GX350" s="27">
        <v>96.0714285714285</v>
      </c>
      <c r="HA350" s="27">
        <v>96.0714285714285</v>
      </c>
      <c r="IB350" s="27">
        <v>98.0357142857142</v>
      </c>
      <c r="IE350" s="27">
        <v>98.0357142857142</v>
      </c>
      <c r="JF350" s="27">
        <v>94.6428571428571</v>
      </c>
      <c r="JI350" s="27">
        <v>94.6428571428571</v>
      </c>
    </row>
    <row r="351" customHeight="1" spans="1:269">
      <c r="A351" s="28">
        <v>10</v>
      </c>
      <c r="B351" s="4" t="s">
        <v>562</v>
      </c>
      <c r="C351" s="5" t="s">
        <v>563</v>
      </c>
      <c r="D351" s="4" t="s">
        <v>564</v>
      </c>
      <c r="E351" s="4" t="s">
        <v>565</v>
      </c>
      <c r="F351" s="4" t="s">
        <v>328</v>
      </c>
      <c r="G351" s="4" t="s">
        <v>566</v>
      </c>
      <c r="N351" s="4" t="s">
        <v>567</v>
      </c>
      <c r="O351" s="24" t="s">
        <v>367</v>
      </c>
      <c r="Q351" s="4" t="s">
        <v>568</v>
      </c>
      <c r="BI351" s="4" t="s">
        <v>321</v>
      </c>
      <c r="BK351" s="4">
        <v>25</v>
      </c>
      <c r="BO351" s="4">
        <v>0.1</v>
      </c>
      <c r="BU351" s="4">
        <v>250</v>
      </c>
      <c r="BV351" s="4" t="s">
        <v>580</v>
      </c>
      <c r="BW351" s="4">
        <v>25</v>
      </c>
      <c r="BZ351" s="4">
        <v>4</v>
      </c>
      <c r="CB351" s="4" t="s">
        <v>464</v>
      </c>
      <c r="CD351" s="4">
        <v>300</v>
      </c>
      <c r="CE351" s="4" t="s">
        <v>11</v>
      </c>
      <c r="CG351" s="4">
        <v>300</v>
      </c>
      <c r="CH351" s="4" t="s">
        <v>14</v>
      </c>
      <c r="CJ351" s="4">
        <v>300</v>
      </c>
      <c r="CK351" s="4" t="s">
        <v>16</v>
      </c>
      <c r="CM351" s="4">
        <v>300</v>
      </c>
      <c r="CR351" s="4" t="s">
        <v>585</v>
      </c>
      <c r="CS351" s="4">
        <v>300</v>
      </c>
      <c r="DO351" s="4">
        <v>3</v>
      </c>
      <c r="GJ351" s="27">
        <v>97.4999999999999</v>
      </c>
      <c r="GK351" s="27"/>
      <c r="GX351" s="27">
        <v>98.0357142857142</v>
      </c>
      <c r="HA351" s="27">
        <v>98.0357142857142</v>
      </c>
      <c r="IB351" s="27">
        <v>96.6071428571428</v>
      </c>
      <c r="IE351" s="27">
        <v>96.6071428571428</v>
      </c>
      <c r="JF351" s="27">
        <v>96.0714285714285</v>
      </c>
      <c r="JI351" s="27">
        <v>96.0714285714285</v>
      </c>
    </row>
    <row r="352" customHeight="1" spans="1:269">
      <c r="A352" s="28">
        <v>10</v>
      </c>
      <c r="B352" s="4" t="s">
        <v>562</v>
      </c>
      <c r="C352" s="5" t="s">
        <v>563</v>
      </c>
      <c r="D352" s="4" t="s">
        <v>564</v>
      </c>
      <c r="E352" s="4" t="s">
        <v>565</v>
      </c>
      <c r="F352" s="4" t="s">
        <v>328</v>
      </c>
      <c r="G352" s="4" t="s">
        <v>566</v>
      </c>
      <c r="N352" s="4" t="s">
        <v>567</v>
      </c>
      <c r="O352" s="24" t="s">
        <v>367</v>
      </c>
      <c r="Q352" s="4" t="s">
        <v>568</v>
      </c>
      <c r="DO352" s="4">
        <v>3</v>
      </c>
      <c r="GE352" s="4">
        <v>156.05</v>
      </c>
      <c r="GT352" s="4">
        <v>161.92</v>
      </c>
      <c r="GX352" s="4"/>
      <c r="HA352" s="4"/>
      <c r="HX352" s="4">
        <v>138.55</v>
      </c>
      <c r="JB352" s="4">
        <v>125.76</v>
      </c>
    </row>
    <row r="353" customHeight="1" spans="1:262">
      <c r="A353" s="28">
        <v>10</v>
      </c>
      <c r="B353" s="4" t="s">
        <v>562</v>
      </c>
      <c r="C353" s="5" t="s">
        <v>563</v>
      </c>
      <c r="D353" s="4" t="s">
        <v>564</v>
      </c>
      <c r="E353" s="4" t="s">
        <v>565</v>
      </c>
      <c r="F353" s="4" t="s">
        <v>328</v>
      </c>
      <c r="G353" s="4" t="s">
        <v>566</v>
      </c>
      <c r="N353" s="4" t="s">
        <v>567</v>
      </c>
      <c r="O353" s="24" t="s">
        <v>367</v>
      </c>
      <c r="Q353" s="4" t="s">
        <v>568</v>
      </c>
      <c r="DO353" s="4">
        <v>3</v>
      </c>
      <c r="GX353" s="4"/>
      <c r="HA353" s="4"/>
    </row>
    <row r="354" customHeight="1" spans="1:262">
      <c r="A354" s="28">
        <v>10</v>
      </c>
      <c r="B354" s="4" t="s">
        <v>562</v>
      </c>
      <c r="C354" s="5" t="s">
        <v>358</v>
      </c>
      <c r="D354" s="4" t="s">
        <v>300</v>
      </c>
      <c r="N354" s="4" t="s">
        <v>567</v>
      </c>
      <c r="O354" s="24" t="s">
        <v>367</v>
      </c>
      <c r="X354" s="4">
        <v>0.743</v>
      </c>
      <c r="AC354" s="4" t="s">
        <v>586</v>
      </c>
      <c r="AD354" s="4" t="s">
        <v>587</v>
      </c>
      <c r="AE354" s="4" t="s">
        <v>588</v>
      </c>
      <c r="AF354" s="4" t="s">
        <v>589</v>
      </c>
      <c r="AH354" s="4" t="s">
        <v>371</v>
      </c>
      <c r="AM354" s="4" t="s">
        <v>573</v>
      </c>
      <c r="AN354" s="4" t="s">
        <v>574</v>
      </c>
      <c r="AQ354" s="4" t="s">
        <v>464</v>
      </c>
      <c r="AR354" s="4" t="s">
        <v>575</v>
      </c>
      <c r="AS354" s="4" t="s">
        <v>11</v>
      </c>
      <c r="AT354" s="4" t="s">
        <v>576</v>
      </c>
      <c r="AU354" s="4" t="s">
        <v>14</v>
      </c>
      <c r="AV354" s="4" t="s">
        <v>577</v>
      </c>
      <c r="AW354" s="4" t="s">
        <v>16</v>
      </c>
      <c r="AX354" s="4" t="s">
        <v>578</v>
      </c>
      <c r="BD354" s="4" t="s">
        <v>579</v>
      </c>
      <c r="BI354" s="4" t="s">
        <v>321</v>
      </c>
      <c r="BK354" s="4">
        <v>25</v>
      </c>
      <c r="BO354" s="4">
        <v>0.1</v>
      </c>
      <c r="BU354" s="4">
        <v>250</v>
      </c>
      <c r="BV354" s="4" t="s">
        <v>580</v>
      </c>
      <c r="BW354" s="4">
        <v>25</v>
      </c>
      <c r="BZ354" s="4">
        <v>4</v>
      </c>
      <c r="CB354" s="4" t="s">
        <v>464</v>
      </c>
      <c r="CD354" s="4">
        <v>300</v>
      </c>
      <c r="CE354" s="4" t="s">
        <v>11</v>
      </c>
      <c r="CG354" s="4">
        <v>300</v>
      </c>
      <c r="CH354" s="4" t="s">
        <v>14</v>
      </c>
      <c r="CJ354" s="4">
        <v>300</v>
      </c>
      <c r="CK354" s="4" t="s">
        <v>16</v>
      </c>
      <c r="CM354" s="4">
        <v>300</v>
      </c>
      <c r="CX354" s="4" t="s">
        <v>314</v>
      </c>
      <c r="CZ354" s="4" t="s">
        <v>590</v>
      </c>
      <c r="DA354" s="4" t="s">
        <v>591</v>
      </c>
      <c r="DO354" s="4">
        <v>3</v>
      </c>
      <c r="GX354" s="4"/>
      <c r="HA354" s="4"/>
    </row>
    <row r="355" customHeight="1" spans="1:262">
      <c r="A355" s="28">
        <v>10</v>
      </c>
      <c r="B355" s="4" t="s">
        <v>562</v>
      </c>
      <c r="C355" s="5" t="s">
        <v>358</v>
      </c>
      <c r="D355" s="4" t="s">
        <v>300</v>
      </c>
      <c r="N355" s="4" t="s">
        <v>567</v>
      </c>
      <c r="O355" s="24" t="s">
        <v>367</v>
      </c>
      <c r="X355" s="4">
        <v>0.743</v>
      </c>
      <c r="AC355" s="4" t="s">
        <v>586</v>
      </c>
      <c r="AD355" s="4" t="s">
        <v>587</v>
      </c>
      <c r="AE355" s="4" t="s">
        <v>588</v>
      </c>
      <c r="AF355" s="4" t="s">
        <v>589</v>
      </c>
      <c r="AH355" s="4" t="s">
        <v>371</v>
      </c>
      <c r="AM355" s="4" t="s">
        <v>573</v>
      </c>
      <c r="AN355" s="4" t="s">
        <v>574</v>
      </c>
      <c r="AQ355" s="4" t="s">
        <v>464</v>
      </c>
      <c r="AR355" s="4" t="s">
        <v>575</v>
      </c>
      <c r="AS355" s="4" t="s">
        <v>11</v>
      </c>
      <c r="AT355" s="4" t="s">
        <v>576</v>
      </c>
      <c r="AU355" s="4" t="s">
        <v>14</v>
      </c>
      <c r="AV355" s="4" t="s">
        <v>577</v>
      </c>
      <c r="AW355" s="4" t="s">
        <v>16</v>
      </c>
      <c r="AX355" s="4" t="s">
        <v>578</v>
      </c>
      <c r="BD355" s="4" t="s">
        <v>579</v>
      </c>
      <c r="BI355" s="4" t="s">
        <v>321</v>
      </c>
      <c r="BK355" s="4">
        <v>25</v>
      </c>
      <c r="BO355" s="4">
        <v>0.1</v>
      </c>
      <c r="BU355" s="4">
        <v>250</v>
      </c>
      <c r="BV355" s="4">
        <v>600</v>
      </c>
      <c r="BW355" s="4">
        <v>25</v>
      </c>
      <c r="BZ355" s="4">
        <v>4</v>
      </c>
      <c r="CB355" s="4" t="s">
        <v>464</v>
      </c>
      <c r="CD355" s="4" t="s">
        <v>582</v>
      </c>
      <c r="CE355" s="4" t="s">
        <v>11</v>
      </c>
      <c r="CG355" s="4" t="s">
        <v>582</v>
      </c>
      <c r="CH355" s="4" t="s">
        <v>14</v>
      </c>
      <c r="CJ355" s="4" t="s">
        <v>582</v>
      </c>
      <c r="CK355" s="4" t="s">
        <v>16</v>
      </c>
      <c r="CM355" s="4" t="s">
        <v>582</v>
      </c>
      <c r="DB355" s="4" t="s">
        <v>583</v>
      </c>
      <c r="DC355" s="4" t="s">
        <v>584</v>
      </c>
      <c r="DE355" s="4">
        <v>200.47</v>
      </c>
      <c r="DG355" s="4">
        <v>145.49</v>
      </c>
      <c r="DH355" s="4">
        <v>135.69</v>
      </c>
      <c r="DI355" s="4">
        <v>172.45</v>
      </c>
      <c r="DO355" s="4">
        <v>3</v>
      </c>
      <c r="GE355" s="4">
        <v>145.49</v>
      </c>
      <c r="GT355" s="29">
        <v>200.47</v>
      </c>
      <c r="GX355" s="4"/>
      <c r="HA355" s="4"/>
      <c r="HX355" s="29">
        <v>135.69</v>
      </c>
      <c r="JB355" s="29">
        <v>172.45</v>
      </c>
    </row>
    <row r="356" customHeight="1" spans="1:262">
      <c r="A356" s="28">
        <v>10</v>
      </c>
      <c r="B356" s="4" t="s">
        <v>562</v>
      </c>
      <c r="C356" s="5" t="s">
        <v>358</v>
      </c>
      <c r="D356" s="4" t="s">
        <v>300</v>
      </c>
      <c r="N356" s="4" t="s">
        <v>567</v>
      </c>
      <c r="O356" s="24" t="s">
        <v>367</v>
      </c>
      <c r="X356" s="4">
        <v>0.743</v>
      </c>
      <c r="AC356" s="4" t="s">
        <v>586</v>
      </c>
      <c r="AD356" s="4" t="s">
        <v>587</v>
      </c>
      <c r="AE356" s="4" t="s">
        <v>588</v>
      </c>
      <c r="AF356" s="4" t="s">
        <v>589</v>
      </c>
      <c r="AH356" s="4" t="s">
        <v>371</v>
      </c>
      <c r="AM356" s="4" t="s">
        <v>573</v>
      </c>
      <c r="AN356" s="4" t="s">
        <v>574</v>
      </c>
      <c r="AQ356" s="4" t="s">
        <v>464</v>
      </c>
      <c r="AR356" s="4" t="s">
        <v>575</v>
      </c>
      <c r="AS356" s="4" t="s">
        <v>11</v>
      </c>
      <c r="AT356" s="4" t="s">
        <v>576</v>
      </c>
      <c r="AU356" s="4" t="s">
        <v>14</v>
      </c>
      <c r="AV356" s="4" t="s">
        <v>577</v>
      </c>
      <c r="AW356" s="4" t="s">
        <v>16</v>
      </c>
      <c r="AX356" s="4" t="s">
        <v>578</v>
      </c>
      <c r="BD356" s="4" t="s">
        <v>579</v>
      </c>
      <c r="BI356" s="4" t="s">
        <v>321</v>
      </c>
      <c r="BK356" s="4">
        <v>25</v>
      </c>
      <c r="BO356" s="4">
        <v>0.1</v>
      </c>
      <c r="BU356" s="4">
        <v>250</v>
      </c>
      <c r="BV356" s="4">
        <v>600</v>
      </c>
      <c r="BW356" s="4">
        <v>25</v>
      </c>
      <c r="BZ356" s="4">
        <v>4</v>
      </c>
      <c r="CB356" s="4" t="s">
        <v>464</v>
      </c>
      <c r="CD356" s="4" t="s">
        <v>582</v>
      </c>
      <c r="CE356" s="4" t="s">
        <v>11</v>
      </c>
      <c r="CG356" s="4" t="s">
        <v>582</v>
      </c>
      <c r="CH356" s="4" t="s">
        <v>14</v>
      </c>
      <c r="CJ356" s="4" t="s">
        <v>582</v>
      </c>
      <c r="CK356" s="4" t="s">
        <v>16</v>
      </c>
      <c r="CM356" s="4" t="s">
        <v>582</v>
      </c>
      <c r="DO356" s="4">
        <v>3</v>
      </c>
      <c r="GX356" s="4"/>
      <c r="HA356" s="4"/>
    </row>
    <row r="357" customHeight="1" spans="1:262">
      <c r="A357" s="28">
        <v>10</v>
      </c>
      <c r="B357" s="4" t="s">
        <v>562</v>
      </c>
      <c r="C357" s="5" t="s">
        <v>358</v>
      </c>
      <c r="D357" s="4" t="s">
        <v>300</v>
      </c>
      <c r="N357" s="4" t="s">
        <v>567</v>
      </c>
      <c r="O357" s="24" t="s">
        <v>367</v>
      </c>
      <c r="X357" s="4">
        <v>0.743</v>
      </c>
      <c r="AC357" s="4" t="s">
        <v>586</v>
      </c>
      <c r="AD357" s="4" t="s">
        <v>587</v>
      </c>
      <c r="AE357" s="4" t="s">
        <v>588</v>
      </c>
      <c r="AF357" s="4" t="s">
        <v>589</v>
      </c>
      <c r="AH357" s="4" t="s">
        <v>371</v>
      </c>
      <c r="AM357" s="4" t="s">
        <v>573</v>
      </c>
      <c r="AN357" s="4" t="s">
        <v>574</v>
      </c>
      <c r="AQ357" s="4" t="s">
        <v>464</v>
      </c>
      <c r="AR357" s="4" t="s">
        <v>575</v>
      </c>
      <c r="AS357" s="4" t="s">
        <v>11</v>
      </c>
      <c r="AT357" s="4" t="s">
        <v>576</v>
      </c>
      <c r="AU357" s="4" t="s">
        <v>14</v>
      </c>
      <c r="AV357" s="4" t="s">
        <v>577</v>
      </c>
      <c r="AW357" s="4" t="s">
        <v>16</v>
      </c>
      <c r="AX357" s="4" t="s">
        <v>578</v>
      </c>
      <c r="BD357" s="4" t="s">
        <v>579</v>
      </c>
      <c r="BI357" s="4" t="s">
        <v>321</v>
      </c>
      <c r="BK357" s="4">
        <v>25</v>
      </c>
      <c r="BO357" s="4">
        <v>0.1</v>
      </c>
      <c r="BU357" s="4">
        <v>250</v>
      </c>
      <c r="BV357" s="4">
        <v>600</v>
      </c>
      <c r="BW357" s="4">
        <v>25</v>
      </c>
      <c r="BZ357" s="4">
        <v>4</v>
      </c>
      <c r="CB357" s="4" t="s">
        <v>464</v>
      </c>
      <c r="CD357" s="4" t="s">
        <v>582</v>
      </c>
      <c r="CE357" s="4" t="s">
        <v>11</v>
      </c>
      <c r="CG357" s="4" t="s">
        <v>582</v>
      </c>
      <c r="CH357" s="4" t="s">
        <v>14</v>
      </c>
      <c r="CJ357" s="4" t="s">
        <v>582</v>
      </c>
      <c r="CK357" s="4" t="s">
        <v>16</v>
      </c>
      <c r="CM357" s="4" t="s">
        <v>582</v>
      </c>
      <c r="DO357" s="4">
        <v>3</v>
      </c>
      <c r="GX357" s="4"/>
      <c r="HA357" s="4"/>
    </row>
    <row r="358" customHeight="1" spans="1:262">
      <c r="A358" s="3">
        <v>11</v>
      </c>
      <c r="B358" s="4" t="s">
        <v>592</v>
      </c>
      <c r="C358" s="5" t="s">
        <v>593</v>
      </c>
      <c r="J358" s="4">
        <v>100</v>
      </c>
      <c r="AC358" s="4" t="s">
        <v>594</v>
      </c>
      <c r="AD358" s="4" t="s">
        <v>595</v>
      </c>
      <c r="AG358" s="4" t="s">
        <v>316</v>
      </c>
      <c r="AH358" s="4" t="s">
        <v>596</v>
      </c>
      <c r="AL358" s="4" t="s">
        <v>597</v>
      </c>
      <c r="BD358" s="4" t="s">
        <v>598</v>
      </c>
      <c r="BI358" s="4" t="s">
        <v>321</v>
      </c>
      <c r="BK358" s="4">
        <v>5</v>
      </c>
      <c r="BL358" s="4">
        <v>1</v>
      </c>
      <c r="BO358" s="4">
        <v>0.03</v>
      </c>
      <c r="BS358" s="4">
        <v>7.82</v>
      </c>
      <c r="BU358" s="4">
        <v>30</v>
      </c>
      <c r="BV358" s="4" t="s">
        <v>495</v>
      </c>
      <c r="CB358" s="4" t="s">
        <v>372</v>
      </c>
      <c r="CC358" s="4">
        <v>594</v>
      </c>
      <c r="DM358" s="4">
        <v>1440</v>
      </c>
      <c r="DO358" s="4">
        <v>3</v>
      </c>
      <c r="EP358" s="27">
        <v>17.77</v>
      </c>
      <c r="EQ358" s="1">
        <v>3.88</v>
      </c>
      <c r="ES358" s="27">
        <v>17.77</v>
      </c>
    </row>
    <row r="359" customHeight="1" spans="1:262">
      <c r="A359" s="3">
        <v>11</v>
      </c>
      <c r="B359" s="4" t="s">
        <v>592</v>
      </c>
      <c r="C359" s="5" t="s">
        <v>599</v>
      </c>
      <c r="D359" s="4" t="s">
        <v>529</v>
      </c>
      <c r="H359" s="4" t="s">
        <v>328</v>
      </c>
      <c r="I359" s="4" t="s">
        <v>600</v>
      </c>
      <c r="J359" s="4">
        <v>98</v>
      </c>
      <c r="N359" s="4" t="s">
        <v>532</v>
      </c>
      <c r="O359" s="24" t="s">
        <v>367</v>
      </c>
      <c r="P359" s="4">
        <v>2</v>
      </c>
      <c r="Q359" s="4" t="s">
        <v>601</v>
      </c>
      <c r="AB359" s="4" t="s">
        <v>602</v>
      </c>
      <c r="AC359" s="4" t="s">
        <v>603</v>
      </c>
      <c r="AD359" s="4" t="s">
        <v>595</v>
      </c>
      <c r="AE359" s="4" t="s">
        <v>604</v>
      </c>
      <c r="AF359" s="4" t="s">
        <v>605</v>
      </c>
      <c r="AG359" s="4" t="s">
        <v>316</v>
      </c>
      <c r="AH359" s="4" t="s">
        <v>596</v>
      </c>
      <c r="AL359" s="4" t="s">
        <v>597</v>
      </c>
      <c r="BD359" s="4" t="s">
        <v>598</v>
      </c>
      <c r="BI359" s="4" t="s">
        <v>321</v>
      </c>
      <c r="BK359" s="4">
        <v>5</v>
      </c>
      <c r="BL359" s="4">
        <v>1</v>
      </c>
      <c r="BO359" s="4">
        <v>0.03</v>
      </c>
      <c r="BS359" s="4">
        <v>7.82</v>
      </c>
      <c r="BU359" s="4">
        <v>30</v>
      </c>
      <c r="BV359" s="4" t="s">
        <v>495</v>
      </c>
      <c r="CB359" s="4" t="s">
        <v>372</v>
      </c>
      <c r="CC359" s="4">
        <v>594</v>
      </c>
      <c r="DM359" s="4">
        <v>1440</v>
      </c>
      <c r="DO359" s="4">
        <v>3</v>
      </c>
      <c r="EP359" s="27">
        <v>57.97</v>
      </c>
      <c r="EQ359" s="1">
        <v>2.82</v>
      </c>
      <c r="ES359" s="27">
        <v>57.97</v>
      </c>
    </row>
    <row r="360" customHeight="1" spans="1:262">
      <c r="A360" s="3">
        <v>11</v>
      </c>
      <c r="B360" s="4" t="s">
        <v>592</v>
      </c>
      <c r="C360" s="5" t="s">
        <v>606</v>
      </c>
      <c r="D360" s="4" t="s">
        <v>529</v>
      </c>
      <c r="H360" s="4" t="s">
        <v>328</v>
      </c>
      <c r="I360" s="4" t="s">
        <v>600</v>
      </c>
      <c r="J360" s="4">
        <v>94</v>
      </c>
      <c r="N360" s="4" t="s">
        <v>532</v>
      </c>
      <c r="O360" s="24" t="s">
        <v>367</v>
      </c>
      <c r="P360" s="4">
        <v>2</v>
      </c>
      <c r="Q360" s="4" t="s">
        <v>601</v>
      </c>
      <c r="AA360" s="4" t="s">
        <v>607</v>
      </c>
      <c r="AB360" s="4" t="s">
        <v>602</v>
      </c>
      <c r="AC360" s="4" t="s">
        <v>603</v>
      </c>
      <c r="AD360" s="4" t="s">
        <v>595</v>
      </c>
      <c r="AE360" s="4" t="s">
        <v>604</v>
      </c>
      <c r="AF360" s="4" t="s">
        <v>605</v>
      </c>
      <c r="AG360" s="4" t="s">
        <v>316</v>
      </c>
      <c r="AH360" s="4" t="s">
        <v>596</v>
      </c>
      <c r="AL360" s="4" t="s">
        <v>597</v>
      </c>
      <c r="BD360" s="4" t="s">
        <v>598</v>
      </c>
      <c r="BI360" s="4" t="s">
        <v>321</v>
      </c>
      <c r="BK360" s="4">
        <v>5</v>
      </c>
      <c r="BL360" s="4">
        <v>1</v>
      </c>
      <c r="BO360" s="4">
        <v>0.03</v>
      </c>
      <c r="BS360" s="4">
        <v>7.82</v>
      </c>
      <c r="BU360" s="4">
        <v>30</v>
      </c>
      <c r="BV360" s="4" t="s">
        <v>495</v>
      </c>
      <c r="CB360" s="4" t="s">
        <v>372</v>
      </c>
      <c r="CC360" s="4">
        <v>594</v>
      </c>
      <c r="DM360" s="4">
        <v>1440</v>
      </c>
      <c r="DO360" s="4">
        <v>3</v>
      </c>
      <c r="EP360" s="27">
        <v>78.42</v>
      </c>
      <c r="EQ360" s="1">
        <v>1.59</v>
      </c>
      <c r="ES360" s="27">
        <v>78.42</v>
      </c>
    </row>
    <row r="361" customHeight="1" spans="1:262">
      <c r="A361" s="3">
        <v>11</v>
      </c>
      <c r="B361" s="4" t="s">
        <v>592</v>
      </c>
      <c r="C361" s="5" t="s">
        <v>608</v>
      </c>
      <c r="D361" s="4" t="s">
        <v>529</v>
      </c>
      <c r="H361" s="4" t="s">
        <v>328</v>
      </c>
      <c r="I361" s="4" t="s">
        <v>600</v>
      </c>
      <c r="J361" s="4">
        <v>92</v>
      </c>
      <c r="N361" s="4" t="s">
        <v>532</v>
      </c>
      <c r="O361" s="24" t="s">
        <v>367</v>
      </c>
      <c r="P361" s="4">
        <v>2</v>
      </c>
      <c r="Q361" s="4" t="s">
        <v>601</v>
      </c>
      <c r="Z361" s="4">
        <v>0.225</v>
      </c>
      <c r="AA361" s="4" t="s">
        <v>607</v>
      </c>
      <c r="AB361" s="4" t="s">
        <v>602</v>
      </c>
      <c r="AC361" s="4" t="s">
        <v>603</v>
      </c>
      <c r="AD361" s="4" t="s">
        <v>595</v>
      </c>
      <c r="AE361" s="4" t="s">
        <v>604</v>
      </c>
      <c r="AF361" s="4" t="s">
        <v>605</v>
      </c>
      <c r="AG361" s="4" t="s">
        <v>316</v>
      </c>
      <c r="AH361" s="4" t="s">
        <v>596</v>
      </c>
      <c r="AL361" s="4" t="s">
        <v>597</v>
      </c>
      <c r="BD361" s="4" t="s">
        <v>598</v>
      </c>
      <c r="BI361" s="4" t="s">
        <v>321</v>
      </c>
      <c r="BK361" s="4">
        <v>5</v>
      </c>
      <c r="BL361" s="4">
        <v>1</v>
      </c>
      <c r="BO361" s="4">
        <v>0.03</v>
      </c>
      <c r="BS361" s="4">
        <v>7.82</v>
      </c>
      <c r="BU361" s="4">
        <v>30</v>
      </c>
      <c r="BV361" s="4" t="s">
        <v>495</v>
      </c>
      <c r="CB361" s="4" t="s">
        <v>372</v>
      </c>
      <c r="CC361" s="4">
        <v>594</v>
      </c>
      <c r="DM361" s="4">
        <v>1440</v>
      </c>
      <c r="DO361" s="4">
        <v>3</v>
      </c>
      <c r="EP361" s="27">
        <v>84.49</v>
      </c>
      <c r="EQ361" s="1">
        <v>4.23</v>
      </c>
      <c r="ES361" s="27">
        <v>84.49</v>
      </c>
    </row>
    <row r="362" customHeight="1" spans="1:262">
      <c r="A362" s="3">
        <v>11</v>
      </c>
      <c r="B362" s="4" t="s">
        <v>592</v>
      </c>
      <c r="C362" s="5" t="s">
        <v>608</v>
      </c>
      <c r="D362" s="4" t="s">
        <v>529</v>
      </c>
      <c r="H362" s="4" t="s">
        <v>328</v>
      </c>
      <c r="I362" s="4" t="s">
        <v>600</v>
      </c>
      <c r="J362" s="4">
        <v>92</v>
      </c>
      <c r="N362" s="4" t="s">
        <v>532</v>
      </c>
      <c r="O362" s="24" t="s">
        <v>367</v>
      </c>
      <c r="P362" s="4">
        <v>2</v>
      </c>
      <c r="Q362" s="4" t="s">
        <v>601</v>
      </c>
      <c r="Z362" s="4">
        <v>0.225</v>
      </c>
      <c r="AA362" s="4" t="s">
        <v>607</v>
      </c>
      <c r="AB362" s="4" t="s">
        <v>602</v>
      </c>
      <c r="AC362" s="4" t="s">
        <v>603</v>
      </c>
      <c r="AD362" s="4" t="s">
        <v>595</v>
      </c>
      <c r="AE362" s="4" t="s">
        <v>604</v>
      </c>
      <c r="AF362" s="4" t="s">
        <v>605</v>
      </c>
      <c r="AG362" s="4" t="s">
        <v>316</v>
      </c>
      <c r="AH362" s="4" t="s">
        <v>596</v>
      </c>
      <c r="AL362" s="4" t="s">
        <v>597</v>
      </c>
      <c r="BD362" s="4" t="s">
        <v>598</v>
      </c>
      <c r="BI362" s="4" t="s">
        <v>321</v>
      </c>
      <c r="BK362" s="4">
        <v>5</v>
      </c>
      <c r="BL362" s="4">
        <v>1</v>
      </c>
      <c r="BO362" s="4">
        <v>0.01</v>
      </c>
      <c r="BS362" s="4">
        <v>7.82</v>
      </c>
      <c r="BU362" s="4">
        <v>30</v>
      </c>
      <c r="BV362" s="4">
        <v>1440</v>
      </c>
      <c r="CB362" s="4" t="s">
        <v>372</v>
      </c>
      <c r="CC362" s="4">
        <v>594</v>
      </c>
      <c r="DM362" s="4">
        <v>1440</v>
      </c>
      <c r="DO362" s="4">
        <v>3</v>
      </c>
      <c r="EP362" s="27">
        <v>63.03</v>
      </c>
      <c r="EQ362" s="1">
        <v>1.1</v>
      </c>
      <c r="ES362" s="27">
        <v>63.03</v>
      </c>
    </row>
    <row r="363" customHeight="1" spans="1:262">
      <c r="A363" s="3">
        <v>11</v>
      </c>
      <c r="B363" s="4" t="s">
        <v>592</v>
      </c>
      <c r="C363" s="5" t="s">
        <v>608</v>
      </c>
      <c r="D363" s="4" t="s">
        <v>529</v>
      </c>
      <c r="H363" s="4" t="s">
        <v>328</v>
      </c>
      <c r="I363" s="4" t="s">
        <v>600</v>
      </c>
      <c r="J363" s="4">
        <v>92</v>
      </c>
      <c r="N363" s="4" t="s">
        <v>532</v>
      </c>
      <c r="O363" s="24" t="s">
        <v>367</v>
      </c>
      <c r="P363" s="4">
        <v>2</v>
      </c>
      <c r="Q363" s="4" t="s">
        <v>601</v>
      </c>
      <c r="Z363" s="4">
        <v>0.225</v>
      </c>
      <c r="AA363" s="4" t="s">
        <v>607</v>
      </c>
      <c r="AB363" s="4" t="s">
        <v>602</v>
      </c>
      <c r="AC363" s="4" t="s">
        <v>603</v>
      </c>
      <c r="AD363" s="4" t="s">
        <v>595</v>
      </c>
      <c r="AE363" s="4" t="s">
        <v>604</v>
      </c>
      <c r="AF363" s="4" t="s">
        <v>605</v>
      </c>
      <c r="AG363" s="4" t="s">
        <v>316</v>
      </c>
      <c r="AH363" s="4" t="s">
        <v>596</v>
      </c>
      <c r="AL363" s="4" t="s">
        <v>597</v>
      </c>
      <c r="BD363" s="4" t="s">
        <v>598</v>
      </c>
      <c r="BI363" s="4" t="s">
        <v>321</v>
      </c>
      <c r="BK363" s="4">
        <v>5</v>
      </c>
      <c r="BL363" s="4">
        <v>1</v>
      </c>
      <c r="BO363" s="4">
        <v>0.02</v>
      </c>
      <c r="BS363" s="4">
        <v>7.82</v>
      </c>
      <c r="BU363" s="4">
        <v>30</v>
      </c>
      <c r="BV363" s="4">
        <v>1440</v>
      </c>
      <c r="CB363" s="4" t="s">
        <v>372</v>
      </c>
      <c r="CC363" s="4">
        <v>594</v>
      </c>
      <c r="DM363" s="4">
        <v>1440</v>
      </c>
      <c r="DO363" s="4">
        <v>3</v>
      </c>
      <c r="EP363" s="27">
        <v>75.04</v>
      </c>
      <c r="EQ363" s="1">
        <v>1.74</v>
      </c>
      <c r="ES363" s="27">
        <v>75.04</v>
      </c>
    </row>
    <row r="364" customHeight="1" spans="1:262">
      <c r="A364" s="3">
        <v>11</v>
      </c>
      <c r="B364" s="4" t="s">
        <v>592</v>
      </c>
      <c r="C364" s="5" t="s">
        <v>608</v>
      </c>
      <c r="D364" s="4" t="s">
        <v>529</v>
      </c>
      <c r="H364" s="4" t="s">
        <v>328</v>
      </c>
      <c r="I364" s="4" t="s">
        <v>600</v>
      </c>
      <c r="J364" s="4">
        <v>92</v>
      </c>
      <c r="N364" s="4" t="s">
        <v>532</v>
      </c>
      <c r="O364" s="24" t="s">
        <v>367</v>
      </c>
      <c r="P364" s="4">
        <v>2</v>
      </c>
      <c r="Q364" s="4" t="s">
        <v>601</v>
      </c>
      <c r="Z364" s="4">
        <v>0.225</v>
      </c>
      <c r="AA364" s="4" t="s">
        <v>607</v>
      </c>
      <c r="AB364" s="4" t="s">
        <v>602</v>
      </c>
      <c r="AC364" s="4" t="s">
        <v>603</v>
      </c>
      <c r="AD364" s="4" t="s">
        <v>595</v>
      </c>
      <c r="AE364" s="4" t="s">
        <v>604</v>
      </c>
      <c r="AF364" s="4" t="s">
        <v>605</v>
      </c>
      <c r="AG364" s="4" t="s">
        <v>316</v>
      </c>
      <c r="AH364" s="4" t="s">
        <v>596</v>
      </c>
      <c r="AL364" s="4" t="s">
        <v>597</v>
      </c>
      <c r="BD364" s="4" t="s">
        <v>598</v>
      </c>
      <c r="BI364" s="4" t="s">
        <v>321</v>
      </c>
      <c r="BK364" s="4">
        <v>5</v>
      </c>
      <c r="BL364" s="4">
        <v>1</v>
      </c>
      <c r="BO364" s="4">
        <v>0.03</v>
      </c>
      <c r="BS364" s="4">
        <v>7.82</v>
      </c>
      <c r="BU364" s="4">
        <v>30</v>
      </c>
      <c r="BV364" s="4">
        <v>1440</v>
      </c>
      <c r="CB364" s="4" t="s">
        <v>372</v>
      </c>
      <c r="CC364" s="4">
        <v>594</v>
      </c>
      <c r="DM364" s="4">
        <v>1440</v>
      </c>
      <c r="DO364" s="4">
        <v>3</v>
      </c>
      <c r="EP364" s="27">
        <v>87.05</v>
      </c>
      <c r="EQ364" s="1">
        <v>0.95</v>
      </c>
      <c r="ES364" s="27">
        <v>87.05</v>
      </c>
    </row>
    <row r="365" customHeight="1" spans="1:262">
      <c r="A365" s="3">
        <v>11</v>
      </c>
      <c r="B365" s="4" t="s">
        <v>592</v>
      </c>
      <c r="C365" s="5" t="s">
        <v>608</v>
      </c>
      <c r="D365" s="4" t="s">
        <v>529</v>
      </c>
      <c r="H365" s="4" t="s">
        <v>328</v>
      </c>
      <c r="I365" s="4" t="s">
        <v>600</v>
      </c>
      <c r="J365" s="4">
        <v>92</v>
      </c>
      <c r="N365" s="4" t="s">
        <v>532</v>
      </c>
      <c r="O365" s="24" t="s">
        <v>367</v>
      </c>
      <c r="P365" s="4">
        <v>2</v>
      </c>
      <c r="Q365" s="4" t="s">
        <v>601</v>
      </c>
      <c r="Z365" s="4">
        <v>0.225</v>
      </c>
      <c r="AA365" s="4" t="s">
        <v>607</v>
      </c>
      <c r="AB365" s="4" t="s">
        <v>602</v>
      </c>
      <c r="AC365" s="4" t="s">
        <v>603</v>
      </c>
      <c r="AD365" s="4" t="s">
        <v>595</v>
      </c>
      <c r="AE365" s="4" t="s">
        <v>604</v>
      </c>
      <c r="AF365" s="4" t="s">
        <v>605</v>
      </c>
      <c r="AG365" s="4" t="s">
        <v>316</v>
      </c>
      <c r="AH365" s="4" t="s">
        <v>596</v>
      </c>
      <c r="AL365" s="4" t="s">
        <v>597</v>
      </c>
      <c r="BD365" s="4" t="s">
        <v>598</v>
      </c>
      <c r="BI365" s="4" t="s">
        <v>321</v>
      </c>
      <c r="BK365" s="4">
        <v>5</v>
      </c>
      <c r="BL365" s="4">
        <v>1</v>
      </c>
      <c r="BO365" s="4">
        <v>0.05</v>
      </c>
      <c r="BS365" s="4">
        <v>7.82</v>
      </c>
      <c r="BU365" s="4">
        <v>30</v>
      </c>
      <c r="BV365" s="4">
        <v>1440</v>
      </c>
      <c r="CB365" s="4" t="s">
        <v>372</v>
      </c>
      <c r="CC365" s="4">
        <v>594</v>
      </c>
      <c r="DM365" s="4">
        <v>1440</v>
      </c>
      <c r="DO365" s="4">
        <v>3</v>
      </c>
      <c r="EP365" s="27">
        <v>95.42</v>
      </c>
      <c r="EQ365" s="1">
        <v>0.32</v>
      </c>
      <c r="ES365" s="27">
        <v>95.42</v>
      </c>
    </row>
    <row r="366" customHeight="1" spans="1:262">
      <c r="A366" s="3">
        <v>11</v>
      </c>
      <c r="B366" s="4" t="s">
        <v>592</v>
      </c>
      <c r="C366" s="5" t="s">
        <v>608</v>
      </c>
      <c r="D366" s="4" t="s">
        <v>529</v>
      </c>
      <c r="H366" s="4" t="s">
        <v>328</v>
      </c>
      <c r="I366" s="4" t="s">
        <v>600</v>
      </c>
      <c r="J366" s="4">
        <v>92</v>
      </c>
      <c r="N366" s="4" t="s">
        <v>532</v>
      </c>
      <c r="O366" s="24" t="s">
        <v>367</v>
      </c>
      <c r="P366" s="4">
        <v>2</v>
      </c>
      <c r="Q366" s="4" t="s">
        <v>601</v>
      </c>
      <c r="Z366" s="4">
        <v>0.225</v>
      </c>
      <c r="AA366" s="4" t="s">
        <v>607</v>
      </c>
      <c r="AB366" s="4" t="s">
        <v>602</v>
      </c>
      <c r="AC366" s="4" t="s">
        <v>603</v>
      </c>
      <c r="AD366" s="4" t="s">
        <v>595</v>
      </c>
      <c r="AE366" s="4" t="s">
        <v>604</v>
      </c>
      <c r="AF366" s="4" t="s">
        <v>605</v>
      </c>
      <c r="AG366" s="4" t="s">
        <v>316</v>
      </c>
      <c r="AH366" s="4" t="s">
        <v>596</v>
      </c>
      <c r="AL366" s="4" t="s">
        <v>597</v>
      </c>
      <c r="BD366" s="4" t="s">
        <v>598</v>
      </c>
      <c r="BI366" s="4" t="s">
        <v>321</v>
      </c>
      <c r="BK366" s="4">
        <v>5</v>
      </c>
      <c r="BL366" s="4">
        <v>1</v>
      </c>
      <c r="BO366" s="4">
        <v>0.08</v>
      </c>
      <c r="BS366" s="4">
        <v>7.82</v>
      </c>
      <c r="BU366" s="4">
        <v>30</v>
      </c>
      <c r="BV366" s="4">
        <v>1440</v>
      </c>
      <c r="CB366" s="4" t="s">
        <v>372</v>
      </c>
      <c r="CC366" s="4">
        <v>594</v>
      </c>
      <c r="DM366" s="4">
        <v>1440</v>
      </c>
      <c r="DO366" s="4">
        <v>3</v>
      </c>
      <c r="EP366" s="27">
        <v>94.47</v>
      </c>
      <c r="EQ366" s="1">
        <v>1.1</v>
      </c>
      <c r="ES366" s="27">
        <v>94.47</v>
      </c>
    </row>
    <row r="367" customHeight="1" spans="1:262">
      <c r="A367" s="3">
        <v>11</v>
      </c>
      <c r="B367" s="4" t="s">
        <v>592</v>
      </c>
      <c r="C367" s="5" t="s">
        <v>608</v>
      </c>
      <c r="D367" s="4" t="s">
        <v>529</v>
      </c>
      <c r="H367" s="4" t="s">
        <v>328</v>
      </c>
      <c r="I367" s="4" t="s">
        <v>600</v>
      </c>
      <c r="J367" s="4">
        <v>92</v>
      </c>
      <c r="N367" s="4" t="s">
        <v>532</v>
      </c>
      <c r="O367" s="24" t="s">
        <v>367</v>
      </c>
      <c r="P367" s="4">
        <v>2</v>
      </c>
      <c r="Q367" s="4" t="s">
        <v>601</v>
      </c>
      <c r="Z367" s="4">
        <v>0.225</v>
      </c>
      <c r="AA367" s="4" t="s">
        <v>607</v>
      </c>
      <c r="AB367" s="4" t="s">
        <v>602</v>
      </c>
      <c r="AC367" s="4" t="s">
        <v>603</v>
      </c>
      <c r="AD367" s="4" t="s">
        <v>595</v>
      </c>
      <c r="AE367" s="4" t="s">
        <v>604</v>
      </c>
      <c r="AF367" s="4" t="s">
        <v>605</v>
      </c>
      <c r="AG367" s="4" t="s">
        <v>316</v>
      </c>
      <c r="AH367" s="4" t="s">
        <v>596</v>
      </c>
      <c r="AL367" s="4" t="s">
        <v>597</v>
      </c>
      <c r="BD367" s="4" t="s">
        <v>598</v>
      </c>
      <c r="BI367" s="4" t="s">
        <v>321</v>
      </c>
      <c r="BK367" s="4">
        <v>5</v>
      </c>
      <c r="BL367" s="4">
        <v>1</v>
      </c>
      <c r="BO367" s="4">
        <v>0.1</v>
      </c>
      <c r="BS367" s="4">
        <v>7.82</v>
      </c>
      <c r="BU367" s="4">
        <v>30</v>
      </c>
      <c r="BV367" s="4">
        <v>1440</v>
      </c>
      <c r="CB367" s="4" t="s">
        <v>372</v>
      </c>
      <c r="CC367" s="4">
        <v>594</v>
      </c>
      <c r="DM367" s="4">
        <v>1440</v>
      </c>
      <c r="DO367" s="4">
        <v>3</v>
      </c>
      <c r="EP367" s="27">
        <v>95.26</v>
      </c>
      <c r="EQ367" s="1">
        <v>95.43</v>
      </c>
      <c r="ES367" s="27">
        <v>95.26</v>
      </c>
    </row>
    <row r="368" customHeight="1" spans="1:262">
      <c r="A368" s="3">
        <v>11</v>
      </c>
      <c r="B368" s="4" t="s">
        <v>592</v>
      </c>
      <c r="C368" s="5" t="s">
        <v>608</v>
      </c>
      <c r="D368" s="4" t="s">
        <v>529</v>
      </c>
      <c r="H368" s="4" t="s">
        <v>328</v>
      </c>
      <c r="I368" s="4" t="s">
        <v>600</v>
      </c>
      <c r="J368" s="4">
        <v>92</v>
      </c>
      <c r="N368" s="4" t="s">
        <v>532</v>
      </c>
      <c r="O368" s="24" t="s">
        <v>367</v>
      </c>
      <c r="P368" s="4">
        <v>2</v>
      </c>
      <c r="Q368" s="4" t="s">
        <v>601</v>
      </c>
      <c r="Z368" s="4">
        <v>0.225</v>
      </c>
      <c r="AA368" s="4" t="s">
        <v>607</v>
      </c>
      <c r="AB368" s="4" t="s">
        <v>602</v>
      </c>
      <c r="AC368" s="4" t="s">
        <v>603</v>
      </c>
      <c r="AD368" s="4" t="s">
        <v>595</v>
      </c>
      <c r="AE368" s="4" t="s">
        <v>604</v>
      </c>
      <c r="AF368" s="4" t="s">
        <v>605</v>
      </c>
      <c r="AG368" s="4" t="s">
        <v>316</v>
      </c>
      <c r="AH368" s="4" t="s">
        <v>596</v>
      </c>
      <c r="AL368" s="4" t="s">
        <v>597</v>
      </c>
      <c r="BD368" s="4" t="s">
        <v>598</v>
      </c>
      <c r="BI368" s="4" t="s">
        <v>321</v>
      </c>
      <c r="BK368" s="4">
        <v>5</v>
      </c>
      <c r="BL368" s="4">
        <v>1</v>
      </c>
      <c r="BO368" s="4">
        <v>0.03</v>
      </c>
      <c r="BS368" s="4">
        <v>2</v>
      </c>
      <c r="BU368" s="4">
        <v>30</v>
      </c>
      <c r="BV368" s="4">
        <v>1440</v>
      </c>
      <c r="CB368" s="4" t="s">
        <v>372</v>
      </c>
      <c r="CC368" s="4">
        <v>594</v>
      </c>
      <c r="CW368" s="4">
        <v>8.1</v>
      </c>
      <c r="DM368" s="4">
        <v>1440</v>
      </c>
      <c r="DO368" s="4">
        <v>3</v>
      </c>
      <c r="EP368" s="27">
        <v>65.91</v>
      </c>
      <c r="EQ368" s="1">
        <v>0.53</v>
      </c>
      <c r="ES368" s="27">
        <v>65.91</v>
      </c>
    </row>
    <row r="369" customHeight="1" spans="1:313">
      <c r="A369" s="3">
        <v>11</v>
      </c>
      <c r="B369" s="4" t="s">
        <v>592</v>
      </c>
      <c r="C369" s="5" t="s">
        <v>608</v>
      </c>
      <c r="D369" s="4" t="s">
        <v>529</v>
      </c>
      <c r="H369" s="4" t="s">
        <v>328</v>
      </c>
      <c r="I369" s="4" t="s">
        <v>600</v>
      </c>
      <c r="J369" s="4">
        <v>92</v>
      </c>
      <c r="N369" s="4" t="s">
        <v>532</v>
      </c>
      <c r="O369" s="24" t="s">
        <v>367</v>
      </c>
      <c r="P369" s="4">
        <v>2</v>
      </c>
      <c r="Q369" s="4" t="s">
        <v>601</v>
      </c>
      <c r="Z369" s="4">
        <v>0.225</v>
      </c>
      <c r="AA369" s="4" t="s">
        <v>607</v>
      </c>
      <c r="AB369" s="4" t="s">
        <v>602</v>
      </c>
      <c r="AC369" s="4" t="s">
        <v>603</v>
      </c>
      <c r="AD369" s="4" t="s">
        <v>595</v>
      </c>
      <c r="AE369" s="4" t="s">
        <v>604</v>
      </c>
      <c r="AF369" s="4" t="s">
        <v>605</v>
      </c>
      <c r="AG369" s="4" t="s">
        <v>316</v>
      </c>
      <c r="AH369" s="4" t="s">
        <v>596</v>
      </c>
      <c r="AL369" s="4" t="s">
        <v>597</v>
      </c>
      <c r="BD369" s="4" t="s">
        <v>598</v>
      </c>
      <c r="BI369" s="4" t="s">
        <v>321</v>
      </c>
      <c r="BK369" s="4">
        <v>5</v>
      </c>
      <c r="BL369" s="4">
        <v>1</v>
      </c>
      <c r="BO369" s="4">
        <v>0.03</v>
      </c>
      <c r="BS369" s="4">
        <v>3</v>
      </c>
      <c r="BU369" s="4">
        <v>30</v>
      </c>
      <c r="BV369" s="4">
        <v>1440</v>
      </c>
      <c r="CB369" s="4" t="s">
        <v>372</v>
      </c>
      <c r="CC369" s="4">
        <v>594</v>
      </c>
      <c r="CW369" s="4">
        <v>6.94</v>
      </c>
      <c r="DM369" s="4">
        <v>1440</v>
      </c>
      <c r="DO369" s="4">
        <v>3</v>
      </c>
      <c r="EP369" s="27">
        <v>76.85</v>
      </c>
      <c r="EQ369" s="1">
        <v>0.13</v>
      </c>
      <c r="ES369" s="27">
        <v>76.85</v>
      </c>
    </row>
    <row r="370" customHeight="1" spans="1:313">
      <c r="A370" s="3">
        <v>11</v>
      </c>
      <c r="B370" s="4" t="s">
        <v>592</v>
      </c>
      <c r="C370" s="5" t="s">
        <v>608</v>
      </c>
      <c r="D370" s="4" t="s">
        <v>529</v>
      </c>
      <c r="H370" s="4" t="s">
        <v>328</v>
      </c>
      <c r="I370" s="4" t="s">
        <v>600</v>
      </c>
      <c r="J370" s="4">
        <v>92</v>
      </c>
      <c r="N370" s="4" t="s">
        <v>532</v>
      </c>
      <c r="O370" s="24" t="s">
        <v>367</v>
      </c>
      <c r="P370" s="4">
        <v>2</v>
      </c>
      <c r="Q370" s="4" t="s">
        <v>601</v>
      </c>
      <c r="Z370" s="4">
        <v>0.225</v>
      </c>
      <c r="AA370" s="4" t="s">
        <v>607</v>
      </c>
      <c r="AB370" s="4" t="s">
        <v>602</v>
      </c>
      <c r="AC370" s="4" t="s">
        <v>603</v>
      </c>
      <c r="AD370" s="4" t="s">
        <v>595</v>
      </c>
      <c r="AE370" s="4" t="s">
        <v>604</v>
      </c>
      <c r="AF370" s="4" t="s">
        <v>605</v>
      </c>
      <c r="AG370" s="4" t="s">
        <v>316</v>
      </c>
      <c r="AH370" s="4" t="s">
        <v>596</v>
      </c>
      <c r="AL370" s="4" t="s">
        <v>597</v>
      </c>
      <c r="BD370" s="4" t="s">
        <v>598</v>
      </c>
      <c r="BI370" s="4" t="s">
        <v>321</v>
      </c>
      <c r="BK370" s="4">
        <v>5</v>
      </c>
      <c r="BL370" s="4">
        <v>1</v>
      </c>
      <c r="BO370" s="4">
        <v>0.03</v>
      </c>
      <c r="BS370" s="4">
        <v>5</v>
      </c>
      <c r="BU370" s="4">
        <v>30</v>
      </c>
      <c r="BV370" s="4">
        <v>1440</v>
      </c>
      <c r="CB370" s="4" t="s">
        <v>372</v>
      </c>
      <c r="CC370" s="4">
        <v>594</v>
      </c>
      <c r="CW370" s="4">
        <v>7.09</v>
      </c>
      <c r="DM370" s="4">
        <v>1440</v>
      </c>
      <c r="DO370" s="4">
        <v>3</v>
      </c>
      <c r="EP370" s="1">
        <v>85.65</v>
      </c>
      <c r="EQ370" s="1">
        <v>0.67</v>
      </c>
      <c r="ES370" s="1">
        <v>85.65</v>
      </c>
    </row>
    <row r="371" customHeight="1" spans="1:313">
      <c r="A371" s="3">
        <v>11</v>
      </c>
      <c r="B371" s="4" t="s">
        <v>592</v>
      </c>
      <c r="C371" s="5" t="s">
        <v>608</v>
      </c>
      <c r="D371" s="4" t="s">
        <v>529</v>
      </c>
      <c r="H371" s="4" t="s">
        <v>328</v>
      </c>
      <c r="I371" s="4" t="s">
        <v>600</v>
      </c>
      <c r="J371" s="4">
        <v>92</v>
      </c>
      <c r="N371" s="4" t="s">
        <v>532</v>
      </c>
      <c r="O371" s="24" t="s">
        <v>367</v>
      </c>
      <c r="P371" s="4">
        <v>2</v>
      </c>
      <c r="Q371" s="4" t="s">
        <v>601</v>
      </c>
      <c r="Z371" s="4">
        <v>0.225</v>
      </c>
      <c r="AA371" s="4" t="s">
        <v>607</v>
      </c>
      <c r="AB371" s="4" t="s">
        <v>602</v>
      </c>
      <c r="AC371" s="4" t="s">
        <v>603</v>
      </c>
      <c r="AD371" s="4" t="s">
        <v>595</v>
      </c>
      <c r="AE371" s="4" t="s">
        <v>604</v>
      </c>
      <c r="AF371" s="4" t="s">
        <v>605</v>
      </c>
      <c r="AG371" s="4" t="s">
        <v>316</v>
      </c>
      <c r="AH371" s="4" t="s">
        <v>596</v>
      </c>
      <c r="AL371" s="4" t="s">
        <v>597</v>
      </c>
      <c r="BD371" s="4" t="s">
        <v>598</v>
      </c>
      <c r="BI371" s="4" t="s">
        <v>321</v>
      </c>
      <c r="BK371" s="4">
        <v>5</v>
      </c>
      <c r="BL371" s="4">
        <v>1</v>
      </c>
      <c r="BO371" s="4">
        <v>0.03</v>
      </c>
      <c r="BS371" s="4">
        <v>7</v>
      </c>
      <c r="BU371" s="4">
        <v>30</v>
      </c>
      <c r="BV371" s="4">
        <v>1440</v>
      </c>
      <c r="CB371" s="4" t="s">
        <v>372</v>
      </c>
      <c r="CC371" s="4">
        <v>594</v>
      </c>
      <c r="CW371" s="4">
        <v>7.54</v>
      </c>
      <c r="DM371" s="4">
        <v>1440</v>
      </c>
      <c r="DO371" s="4">
        <v>3</v>
      </c>
      <c r="EP371" s="1">
        <v>87.07</v>
      </c>
      <c r="EQ371" s="1">
        <v>0</v>
      </c>
      <c r="ES371" s="1">
        <v>87.07</v>
      </c>
    </row>
    <row r="372" customHeight="1" spans="1:313">
      <c r="A372" s="3">
        <v>11</v>
      </c>
      <c r="B372" s="4" t="s">
        <v>592</v>
      </c>
      <c r="C372" s="5" t="s">
        <v>608</v>
      </c>
      <c r="D372" s="4" t="s">
        <v>529</v>
      </c>
      <c r="H372" s="4" t="s">
        <v>328</v>
      </c>
      <c r="I372" s="4" t="s">
        <v>600</v>
      </c>
      <c r="J372" s="4">
        <v>92</v>
      </c>
      <c r="N372" s="4" t="s">
        <v>532</v>
      </c>
      <c r="O372" s="24" t="s">
        <v>367</v>
      </c>
      <c r="P372" s="4">
        <v>2</v>
      </c>
      <c r="Q372" s="4" t="s">
        <v>601</v>
      </c>
      <c r="Z372" s="4">
        <v>0.225</v>
      </c>
      <c r="AA372" s="4" t="s">
        <v>607</v>
      </c>
      <c r="AB372" s="4" t="s">
        <v>602</v>
      </c>
      <c r="AC372" s="4" t="s">
        <v>603</v>
      </c>
      <c r="AD372" s="4" t="s">
        <v>595</v>
      </c>
      <c r="AE372" s="4" t="s">
        <v>604</v>
      </c>
      <c r="AF372" s="4" t="s">
        <v>605</v>
      </c>
      <c r="AG372" s="4" t="s">
        <v>316</v>
      </c>
      <c r="AH372" s="4" t="s">
        <v>596</v>
      </c>
      <c r="AL372" s="4" t="s">
        <v>597</v>
      </c>
      <c r="BD372" s="4" t="s">
        <v>598</v>
      </c>
      <c r="BI372" s="4" t="s">
        <v>321</v>
      </c>
      <c r="BK372" s="4">
        <v>5</v>
      </c>
      <c r="BL372" s="4">
        <v>1</v>
      </c>
      <c r="BO372" s="4">
        <v>0.03</v>
      </c>
      <c r="BS372" s="4">
        <v>10</v>
      </c>
      <c r="BU372" s="4">
        <v>30</v>
      </c>
      <c r="BV372" s="4">
        <v>1440</v>
      </c>
      <c r="CB372" s="4" t="s">
        <v>372</v>
      </c>
      <c r="CC372" s="4">
        <v>594</v>
      </c>
      <c r="CW372" s="4">
        <v>7.97</v>
      </c>
      <c r="DM372" s="4">
        <v>1440</v>
      </c>
      <c r="DO372" s="4">
        <v>3</v>
      </c>
      <c r="EP372" s="1">
        <v>86.08</v>
      </c>
      <c r="EQ372" s="1">
        <v>0.13</v>
      </c>
      <c r="ES372" s="1">
        <v>86.08</v>
      </c>
    </row>
    <row r="373" customHeight="1" spans="1:313">
      <c r="A373" s="3">
        <v>11</v>
      </c>
      <c r="B373" s="4" t="s">
        <v>592</v>
      </c>
      <c r="C373" s="5" t="s">
        <v>608</v>
      </c>
      <c r="D373" s="4" t="s">
        <v>529</v>
      </c>
      <c r="H373" s="4" t="s">
        <v>328</v>
      </c>
      <c r="I373" s="4" t="s">
        <v>600</v>
      </c>
      <c r="J373" s="4">
        <v>92</v>
      </c>
      <c r="N373" s="4" t="s">
        <v>532</v>
      </c>
      <c r="O373" s="24" t="s">
        <v>367</v>
      </c>
      <c r="P373" s="4">
        <v>2</v>
      </c>
      <c r="Q373" s="4" t="s">
        <v>601</v>
      </c>
      <c r="Z373" s="4">
        <v>0.225</v>
      </c>
      <c r="AA373" s="4" t="s">
        <v>607</v>
      </c>
      <c r="AB373" s="4" t="s">
        <v>602</v>
      </c>
      <c r="AC373" s="4" t="s">
        <v>603</v>
      </c>
      <c r="AD373" s="4" t="s">
        <v>595</v>
      </c>
      <c r="AE373" s="4" t="s">
        <v>604</v>
      </c>
      <c r="AF373" s="4" t="s">
        <v>605</v>
      </c>
      <c r="AG373" s="4" t="s">
        <v>316</v>
      </c>
      <c r="AH373" s="4" t="s">
        <v>596</v>
      </c>
      <c r="AL373" s="4" t="s">
        <v>597</v>
      </c>
      <c r="BD373" s="4" t="s">
        <v>598</v>
      </c>
      <c r="BI373" s="4" t="s">
        <v>321</v>
      </c>
      <c r="BK373" s="4">
        <v>5</v>
      </c>
      <c r="BL373" s="4">
        <v>1</v>
      </c>
      <c r="BO373" s="4">
        <v>0.03</v>
      </c>
      <c r="BS373" s="4">
        <v>7.82</v>
      </c>
      <c r="BU373" s="4">
        <v>30</v>
      </c>
      <c r="BV373" s="4">
        <v>1440</v>
      </c>
      <c r="CB373" s="4" t="s">
        <v>372</v>
      </c>
      <c r="CC373" s="4">
        <v>200</v>
      </c>
      <c r="CW373" s="4">
        <v>8.65</v>
      </c>
      <c r="DM373" s="4">
        <v>1440</v>
      </c>
      <c r="DO373" s="4">
        <v>3</v>
      </c>
      <c r="EP373" s="1">
        <v>93.5</v>
      </c>
      <c r="EQ373" s="1">
        <v>0</v>
      </c>
      <c r="ES373" s="1">
        <v>93.5</v>
      </c>
    </row>
    <row r="374" customHeight="1" spans="1:313">
      <c r="A374" s="3">
        <v>11</v>
      </c>
      <c r="B374" s="4" t="s">
        <v>592</v>
      </c>
      <c r="C374" s="5" t="s">
        <v>608</v>
      </c>
      <c r="D374" s="4" t="s">
        <v>529</v>
      </c>
      <c r="H374" s="4" t="s">
        <v>328</v>
      </c>
      <c r="I374" s="4" t="s">
        <v>600</v>
      </c>
      <c r="J374" s="4">
        <v>92</v>
      </c>
      <c r="N374" s="4" t="s">
        <v>532</v>
      </c>
      <c r="O374" s="24" t="s">
        <v>367</v>
      </c>
      <c r="P374" s="4">
        <v>2</v>
      </c>
      <c r="Q374" s="4" t="s">
        <v>601</v>
      </c>
      <c r="Z374" s="4">
        <v>0.225</v>
      </c>
      <c r="AA374" s="4" t="s">
        <v>607</v>
      </c>
      <c r="AB374" s="4" t="s">
        <v>602</v>
      </c>
      <c r="AC374" s="4" t="s">
        <v>603</v>
      </c>
      <c r="AD374" s="4" t="s">
        <v>595</v>
      </c>
      <c r="AE374" s="4" t="s">
        <v>604</v>
      </c>
      <c r="AF374" s="4" t="s">
        <v>605</v>
      </c>
      <c r="AG374" s="4" t="s">
        <v>316</v>
      </c>
      <c r="AH374" s="4" t="s">
        <v>596</v>
      </c>
      <c r="AL374" s="4" t="s">
        <v>597</v>
      </c>
      <c r="BD374" s="4" t="s">
        <v>598</v>
      </c>
      <c r="BI374" s="4" t="s">
        <v>321</v>
      </c>
      <c r="BK374" s="4">
        <v>5</v>
      </c>
      <c r="BL374" s="4">
        <v>1</v>
      </c>
      <c r="BO374" s="4">
        <v>0.03</v>
      </c>
      <c r="BS374" s="4">
        <v>7.82</v>
      </c>
      <c r="BU374" s="4">
        <v>30</v>
      </c>
      <c r="BV374" s="4">
        <v>1440</v>
      </c>
      <c r="CB374" s="4" t="s">
        <v>372</v>
      </c>
      <c r="CC374" s="4">
        <v>400</v>
      </c>
      <c r="DM374" s="4">
        <v>1440</v>
      </c>
      <c r="DO374" s="4">
        <v>3</v>
      </c>
      <c r="EP374" s="1">
        <v>89.54</v>
      </c>
      <c r="EQ374" s="1">
        <v>1.27</v>
      </c>
      <c r="ES374" s="1">
        <v>89.54</v>
      </c>
    </row>
    <row r="375" customHeight="1" spans="1:313">
      <c r="A375" s="3">
        <v>11</v>
      </c>
      <c r="B375" s="4" t="s">
        <v>592</v>
      </c>
      <c r="C375" s="5" t="s">
        <v>608</v>
      </c>
      <c r="D375" s="4" t="s">
        <v>529</v>
      </c>
      <c r="H375" s="4" t="s">
        <v>328</v>
      </c>
      <c r="I375" s="4" t="s">
        <v>600</v>
      </c>
      <c r="J375" s="4">
        <v>92</v>
      </c>
      <c r="N375" s="4" t="s">
        <v>532</v>
      </c>
      <c r="O375" s="24" t="s">
        <v>367</v>
      </c>
      <c r="P375" s="4">
        <v>2</v>
      </c>
      <c r="Q375" s="4" t="s">
        <v>601</v>
      </c>
      <c r="Z375" s="4">
        <v>0.225</v>
      </c>
      <c r="AA375" s="4" t="s">
        <v>607</v>
      </c>
      <c r="AB375" s="4" t="s">
        <v>602</v>
      </c>
      <c r="AC375" s="4" t="s">
        <v>603</v>
      </c>
      <c r="AD375" s="4" t="s">
        <v>595</v>
      </c>
      <c r="AE375" s="4" t="s">
        <v>604</v>
      </c>
      <c r="AF375" s="4" t="s">
        <v>605</v>
      </c>
      <c r="AG375" s="4" t="s">
        <v>316</v>
      </c>
      <c r="AH375" s="4" t="s">
        <v>596</v>
      </c>
      <c r="AL375" s="4" t="s">
        <v>597</v>
      </c>
      <c r="BD375" s="4" t="s">
        <v>598</v>
      </c>
      <c r="BI375" s="4" t="s">
        <v>321</v>
      </c>
      <c r="BK375" s="4">
        <v>5</v>
      </c>
      <c r="BL375" s="4">
        <v>1</v>
      </c>
      <c r="BO375" s="4">
        <v>0.03</v>
      </c>
      <c r="BS375" s="4">
        <v>7.82</v>
      </c>
      <c r="BU375" s="4">
        <v>30</v>
      </c>
      <c r="BV375" s="4">
        <v>1440</v>
      </c>
      <c r="CB375" s="4" t="s">
        <v>372</v>
      </c>
      <c r="CC375" s="4">
        <v>600</v>
      </c>
      <c r="DM375" s="4">
        <v>1440</v>
      </c>
      <c r="DO375" s="4">
        <v>3</v>
      </c>
      <c r="EP375" s="1">
        <v>77.34</v>
      </c>
      <c r="EQ375" s="1">
        <v>0.95</v>
      </c>
      <c r="ES375" s="1">
        <v>77.34</v>
      </c>
    </row>
    <row r="376" customHeight="1" spans="1:313">
      <c r="A376" s="3">
        <v>11</v>
      </c>
      <c r="B376" s="4" t="s">
        <v>592</v>
      </c>
      <c r="C376" s="5" t="s">
        <v>608</v>
      </c>
      <c r="D376" s="4" t="s">
        <v>529</v>
      </c>
      <c r="H376" s="4" t="s">
        <v>328</v>
      </c>
      <c r="I376" s="4" t="s">
        <v>600</v>
      </c>
      <c r="J376" s="4">
        <v>92</v>
      </c>
      <c r="N376" s="4" t="s">
        <v>532</v>
      </c>
      <c r="O376" s="24" t="s">
        <v>367</v>
      </c>
      <c r="P376" s="4">
        <v>2</v>
      </c>
      <c r="Q376" s="4" t="s">
        <v>601</v>
      </c>
      <c r="Z376" s="4">
        <v>0.225</v>
      </c>
      <c r="AA376" s="4" t="s">
        <v>607</v>
      </c>
      <c r="AB376" s="4" t="s">
        <v>602</v>
      </c>
      <c r="AC376" s="4" t="s">
        <v>603</v>
      </c>
      <c r="AD376" s="4" t="s">
        <v>595</v>
      </c>
      <c r="AE376" s="4" t="s">
        <v>604</v>
      </c>
      <c r="AF376" s="4" t="s">
        <v>605</v>
      </c>
      <c r="AG376" s="4" t="s">
        <v>316</v>
      </c>
      <c r="AH376" s="4" t="s">
        <v>596</v>
      </c>
      <c r="AL376" s="4" t="s">
        <v>597</v>
      </c>
      <c r="BD376" s="4" t="s">
        <v>598</v>
      </c>
      <c r="BI376" s="4" t="s">
        <v>321</v>
      </c>
      <c r="BK376" s="4">
        <v>5</v>
      </c>
      <c r="BL376" s="4">
        <v>1</v>
      </c>
      <c r="BO376" s="4">
        <v>0.03</v>
      </c>
      <c r="BS376" s="4">
        <v>7.82</v>
      </c>
      <c r="BU376" s="4">
        <v>30</v>
      </c>
      <c r="BV376" s="4">
        <v>1440</v>
      </c>
      <c r="CB376" s="4" t="s">
        <v>372</v>
      </c>
      <c r="CC376" s="4">
        <v>800</v>
      </c>
      <c r="DM376" s="4">
        <v>1440</v>
      </c>
      <c r="DO376" s="4">
        <v>3</v>
      </c>
      <c r="EP376" s="1">
        <v>78.29</v>
      </c>
      <c r="EQ376" s="1">
        <v>0.95</v>
      </c>
      <c r="ES376" s="1">
        <v>78.29</v>
      </c>
    </row>
    <row r="377" customHeight="1" spans="1:313">
      <c r="A377" s="3">
        <v>11</v>
      </c>
      <c r="B377" s="4" t="s">
        <v>592</v>
      </c>
      <c r="C377" s="5" t="s">
        <v>608</v>
      </c>
      <c r="D377" s="4" t="s">
        <v>529</v>
      </c>
      <c r="H377" s="4" t="s">
        <v>328</v>
      </c>
      <c r="I377" s="4" t="s">
        <v>600</v>
      </c>
      <c r="J377" s="4">
        <v>92</v>
      </c>
      <c r="N377" s="4" t="s">
        <v>532</v>
      </c>
      <c r="O377" s="24" t="s">
        <v>367</v>
      </c>
      <c r="P377" s="4">
        <v>2</v>
      </c>
      <c r="Q377" s="4" t="s">
        <v>601</v>
      </c>
      <c r="Z377" s="4">
        <v>0.225</v>
      </c>
      <c r="AA377" s="4" t="s">
        <v>607</v>
      </c>
      <c r="AB377" s="4" t="s">
        <v>602</v>
      </c>
      <c r="AC377" s="4" t="s">
        <v>603</v>
      </c>
      <c r="AD377" s="4" t="s">
        <v>595</v>
      </c>
      <c r="AE377" s="4" t="s">
        <v>604</v>
      </c>
      <c r="AF377" s="4" t="s">
        <v>605</v>
      </c>
      <c r="AG377" s="4" t="s">
        <v>316</v>
      </c>
      <c r="AH377" s="4" t="s">
        <v>596</v>
      </c>
      <c r="AL377" s="4" t="s">
        <v>597</v>
      </c>
      <c r="BD377" s="4" t="s">
        <v>598</v>
      </c>
      <c r="BI377" s="4" t="s">
        <v>321</v>
      </c>
      <c r="BK377" s="4">
        <v>5</v>
      </c>
      <c r="BL377" s="4">
        <v>1</v>
      </c>
      <c r="BO377" s="4">
        <v>0.03</v>
      </c>
      <c r="BS377" s="4">
        <v>7.82</v>
      </c>
      <c r="BU377" s="4">
        <v>30</v>
      </c>
      <c r="BV377" s="4">
        <v>1440</v>
      </c>
      <c r="CB377" s="4" t="s">
        <v>372</v>
      </c>
      <c r="CC377" s="4">
        <v>1000</v>
      </c>
      <c r="DM377" s="4">
        <v>1440</v>
      </c>
      <c r="DO377" s="4">
        <v>3</v>
      </c>
      <c r="EP377" s="1">
        <v>67.83</v>
      </c>
      <c r="EQ377" s="1">
        <v>7.91</v>
      </c>
      <c r="ES377" s="1">
        <v>67.83</v>
      </c>
    </row>
    <row r="378" customHeight="1" spans="1:313">
      <c r="A378" s="3">
        <v>11</v>
      </c>
      <c r="B378" s="4" t="s">
        <v>592</v>
      </c>
      <c r="C378" s="5" t="s">
        <v>608</v>
      </c>
      <c r="D378" s="4" t="s">
        <v>529</v>
      </c>
      <c r="H378" s="4" t="s">
        <v>328</v>
      </c>
      <c r="I378" s="4" t="s">
        <v>600</v>
      </c>
      <c r="J378" s="4">
        <v>92</v>
      </c>
      <c r="N378" s="4" t="s">
        <v>532</v>
      </c>
      <c r="O378" s="24" t="s">
        <v>367</v>
      </c>
      <c r="P378" s="4">
        <v>2</v>
      </c>
      <c r="Q378" s="4" t="s">
        <v>540</v>
      </c>
      <c r="Z378" s="4">
        <v>0.225</v>
      </c>
      <c r="AA378" s="4" t="s">
        <v>607</v>
      </c>
      <c r="AB378" s="4" t="s">
        <v>602</v>
      </c>
      <c r="AC378" s="4" t="s">
        <v>603</v>
      </c>
      <c r="AD378" s="4" t="s">
        <v>595</v>
      </c>
      <c r="AE378" s="4" t="s">
        <v>604</v>
      </c>
      <c r="AF378" s="4" t="s">
        <v>605</v>
      </c>
      <c r="AG378" s="4" t="s">
        <v>316</v>
      </c>
      <c r="AH378" s="4" t="s">
        <v>596</v>
      </c>
      <c r="AL378" s="4" t="s">
        <v>597</v>
      </c>
      <c r="BD378" s="4" t="s">
        <v>598</v>
      </c>
      <c r="BI378" s="4" t="s">
        <v>321</v>
      </c>
      <c r="BK378" s="4">
        <v>5</v>
      </c>
      <c r="BL378" s="4">
        <v>1</v>
      </c>
      <c r="BO378" s="4">
        <v>0.03</v>
      </c>
      <c r="BS378" s="4">
        <v>7.82</v>
      </c>
      <c r="BU378" s="4">
        <v>30</v>
      </c>
      <c r="BV378" s="4">
        <v>1440</v>
      </c>
      <c r="CB378" s="4" t="s">
        <v>372</v>
      </c>
      <c r="CC378" s="4">
        <v>594</v>
      </c>
      <c r="DM378" s="4">
        <v>1440</v>
      </c>
      <c r="DO378" s="4">
        <v>3</v>
      </c>
      <c r="EP378" s="1">
        <v>87.61</v>
      </c>
      <c r="EQ378" s="1">
        <v>1.01</v>
      </c>
      <c r="ES378" s="1">
        <v>87.61</v>
      </c>
    </row>
    <row r="379" customHeight="1" spans="1:313">
      <c r="A379" s="3">
        <v>11</v>
      </c>
      <c r="B379" s="4" t="s">
        <v>592</v>
      </c>
      <c r="C379" s="5" t="s">
        <v>608</v>
      </c>
      <c r="D379" s="4" t="s">
        <v>529</v>
      </c>
      <c r="H379" s="4" t="s">
        <v>328</v>
      </c>
      <c r="I379" s="4" t="s">
        <v>600</v>
      </c>
      <c r="J379" s="4">
        <v>92</v>
      </c>
      <c r="N379" s="4" t="s">
        <v>532</v>
      </c>
      <c r="O379" s="24" t="s">
        <v>367</v>
      </c>
      <c r="P379" s="4">
        <v>2</v>
      </c>
      <c r="Q379" s="4" t="s">
        <v>539</v>
      </c>
      <c r="Z379" s="4">
        <v>0.225</v>
      </c>
      <c r="AA379" s="4" t="s">
        <v>607</v>
      </c>
      <c r="AB379" s="4" t="s">
        <v>602</v>
      </c>
      <c r="AC379" s="4" t="s">
        <v>603</v>
      </c>
      <c r="AD379" s="4" t="s">
        <v>595</v>
      </c>
      <c r="AE379" s="4" t="s">
        <v>604</v>
      </c>
      <c r="AF379" s="4" t="s">
        <v>605</v>
      </c>
      <c r="AG379" s="4" t="s">
        <v>316</v>
      </c>
      <c r="AH379" s="4" t="s">
        <v>596</v>
      </c>
      <c r="AL379" s="4" t="s">
        <v>597</v>
      </c>
      <c r="BD379" s="4" t="s">
        <v>598</v>
      </c>
      <c r="BI379" s="4" t="s">
        <v>321</v>
      </c>
      <c r="BK379" s="4">
        <v>5</v>
      </c>
      <c r="BL379" s="4">
        <v>1</v>
      </c>
      <c r="BO379" s="4">
        <v>0.03</v>
      </c>
      <c r="BS379" s="4">
        <v>7.82</v>
      </c>
      <c r="BU379" s="4">
        <v>30</v>
      </c>
      <c r="BV379" s="4">
        <v>1440</v>
      </c>
      <c r="CB379" s="4" t="s">
        <v>372</v>
      </c>
      <c r="CC379" s="4">
        <v>594</v>
      </c>
      <c r="DM379" s="4">
        <v>1440</v>
      </c>
      <c r="DO379" s="4">
        <v>3</v>
      </c>
      <c r="EP379" s="27">
        <v>81.56</v>
      </c>
      <c r="EQ379" s="1">
        <v>2.74</v>
      </c>
      <c r="ES379" s="27">
        <v>81.56</v>
      </c>
    </row>
    <row r="380" customHeight="1" spans="1:313">
      <c r="A380" s="3">
        <v>11</v>
      </c>
      <c r="B380" s="4" t="s">
        <v>592</v>
      </c>
      <c r="C380" s="5" t="s">
        <v>608</v>
      </c>
      <c r="D380" s="4" t="s">
        <v>529</v>
      </c>
      <c r="H380" s="4" t="s">
        <v>328</v>
      </c>
      <c r="I380" s="4" t="s">
        <v>600</v>
      </c>
      <c r="J380" s="4">
        <v>92</v>
      </c>
      <c r="N380" s="4" t="s">
        <v>532</v>
      </c>
      <c r="O380" s="24" t="s">
        <v>367</v>
      </c>
      <c r="P380" s="4">
        <v>2</v>
      </c>
      <c r="Q380" s="4" t="s">
        <v>542</v>
      </c>
      <c r="Z380" s="4">
        <v>0.225</v>
      </c>
      <c r="AA380" s="4" t="s">
        <v>607</v>
      </c>
      <c r="AB380" s="4" t="s">
        <v>602</v>
      </c>
      <c r="AC380" s="4" t="s">
        <v>603</v>
      </c>
      <c r="AD380" s="4" t="s">
        <v>595</v>
      </c>
      <c r="AE380" s="4" t="s">
        <v>604</v>
      </c>
      <c r="AF380" s="4" t="s">
        <v>605</v>
      </c>
      <c r="AG380" s="4" t="s">
        <v>316</v>
      </c>
      <c r="AH380" s="4" t="s">
        <v>596</v>
      </c>
      <c r="AL380" s="4" t="s">
        <v>597</v>
      </c>
      <c r="BD380" s="4" t="s">
        <v>598</v>
      </c>
      <c r="BI380" s="4" t="s">
        <v>321</v>
      </c>
      <c r="BK380" s="4">
        <v>5</v>
      </c>
      <c r="BL380" s="4">
        <v>1</v>
      </c>
      <c r="BO380" s="4">
        <v>0.03</v>
      </c>
      <c r="BS380" s="4">
        <v>7.82</v>
      </c>
      <c r="BU380" s="4">
        <v>30</v>
      </c>
      <c r="BV380" s="4">
        <v>1440</v>
      </c>
      <c r="CB380" s="4" t="s">
        <v>372</v>
      </c>
      <c r="CC380" s="4">
        <v>594</v>
      </c>
      <c r="DM380" s="4">
        <v>1440</v>
      </c>
      <c r="DO380" s="4">
        <v>3</v>
      </c>
      <c r="EP380" s="27">
        <v>7.64</v>
      </c>
      <c r="EQ380" s="1">
        <v>1.3</v>
      </c>
      <c r="ES380" s="27">
        <v>7.64</v>
      </c>
    </row>
    <row r="381" customHeight="1" spans="1:313">
      <c r="A381" s="3">
        <v>11</v>
      </c>
      <c r="B381" s="4" t="s">
        <v>592</v>
      </c>
      <c r="C381" s="5" t="s">
        <v>608</v>
      </c>
      <c r="D381" s="4" t="s">
        <v>529</v>
      </c>
      <c r="H381" s="4" t="s">
        <v>328</v>
      </c>
      <c r="I381" s="4" t="s">
        <v>600</v>
      </c>
      <c r="J381" s="4">
        <v>92</v>
      </c>
      <c r="N381" s="4" t="s">
        <v>532</v>
      </c>
      <c r="O381" s="24" t="s">
        <v>367</v>
      </c>
      <c r="P381" s="4">
        <v>2</v>
      </c>
      <c r="Q381" s="4" t="s">
        <v>601</v>
      </c>
      <c r="Z381" s="4">
        <v>0.225</v>
      </c>
      <c r="AA381" s="4" t="s">
        <v>607</v>
      </c>
      <c r="AB381" s="4" t="s">
        <v>602</v>
      </c>
      <c r="AC381" s="4" t="s">
        <v>603</v>
      </c>
      <c r="AD381" s="4" t="s">
        <v>595</v>
      </c>
      <c r="AE381" s="4" t="s">
        <v>604</v>
      </c>
      <c r="AF381" s="4" t="s">
        <v>605</v>
      </c>
      <c r="AG381" s="4" t="s">
        <v>316</v>
      </c>
      <c r="AH381" s="4" t="s">
        <v>596</v>
      </c>
      <c r="AL381" s="4" t="s">
        <v>597</v>
      </c>
      <c r="BD381" s="4" t="s">
        <v>598</v>
      </c>
      <c r="BI381" s="4" t="s">
        <v>321</v>
      </c>
      <c r="BL381" s="4">
        <v>1</v>
      </c>
      <c r="BO381" s="4">
        <v>0</v>
      </c>
      <c r="BS381" s="4">
        <v>7.82</v>
      </c>
      <c r="BU381" s="4" t="s">
        <v>398</v>
      </c>
      <c r="BV381" s="4">
        <v>1440</v>
      </c>
      <c r="CB381" s="4" t="s">
        <v>372</v>
      </c>
      <c r="CC381" s="4">
        <v>594</v>
      </c>
      <c r="DO381" s="4">
        <v>3</v>
      </c>
      <c r="EF381" s="4">
        <v>118.3</v>
      </c>
      <c r="EH381" s="4">
        <v>118.3</v>
      </c>
      <c r="EI381" s="1">
        <v>1.68</v>
      </c>
      <c r="EP381" s="27"/>
      <c r="ES381" s="27">
        <v>0</v>
      </c>
    </row>
    <row r="382" customHeight="1" spans="1:313">
      <c r="A382" s="3">
        <v>11</v>
      </c>
      <c r="B382" s="4" t="s">
        <v>592</v>
      </c>
      <c r="C382" s="5" t="s">
        <v>608</v>
      </c>
      <c r="D382" s="4" t="s">
        <v>529</v>
      </c>
      <c r="H382" s="4" t="s">
        <v>328</v>
      </c>
      <c r="I382" s="4" t="s">
        <v>600</v>
      </c>
      <c r="J382" s="4">
        <v>92</v>
      </c>
      <c r="N382" s="4" t="s">
        <v>532</v>
      </c>
      <c r="O382" s="24" t="s">
        <v>367</v>
      </c>
      <c r="P382" s="4">
        <v>2</v>
      </c>
      <c r="Q382" s="4" t="s">
        <v>601</v>
      </c>
      <c r="Z382" s="4">
        <v>0.225</v>
      </c>
      <c r="AA382" s="4" t="s">
        <v>607</v>
      </c>
      <c r="AB382" s="4" t="s">
        <v>602</v>
      </c>
      <c r="AC382" s="4" t="s">
        <v>603</v>
      </c>
      <c r="AD382" s="4" t="s">
        <v>595</v>
      </c>
      <c r="AE382" s="4" t="s">
        <v>604</v>
      </c>
      <c r="AF382" s="4" t="s">
        <v>605</v>
      </c>
      <c r="AG382" s="4" t="s">
        <v>316</v>
      </c>
      <c r="AH382" s="4" t="s">
        <v>596</v>
      </c>
      <c r="AL382" s="4" t="s">
        <v>597</v>
      </c>
      <c r="BD382" s="4" t="s">
        <v>598</v>
      </c>
      <c r="BI382" s="4" t="s">
        <v>321</v>
      </c>
      <c r="BL382" s="4">
        <v>1</v>
      </c>
      <c r="BO382" s="4">
        <v>0.03</v>
      </c>
      <c r="BS382" s="4">
        <v>7.82</v>
      </c>
      <c r="BU382" s="4" t="s">
        <v>398</v>
      </c>
      <c r="BV382" s="4">
        <v>1440</v>
      </c>
      <c r="CB382" s="4" t="s">
        <v>372</v>
      </c>
      <c r="CC382" s="4">
        <v>594</v>
      </c>
      <c r="DO382" s="4">
        <v>3</v>
      </c>
      <c r="EF382" s="4">
        <v>118.3</v>
      </c>
      <c r="EG382" s="1">
        <v>1.68</v>
      </c>
      <c r="EH382" s="4">
        <v>9.04</v>
      </c>
      <c r="EI382" s="1">
        <v>3.78</v>
      </c>
      <c r="EP382" s="4"/>
      <c r="ER382" s="1">
        <f>(EF382-EH382)/EF382*100</f>
        <v>92.3584108199493</v>
      </c>
      <c r="ES382" s="4">
        <v>92.3584108199493</v>
      </c>
      <c r="KZ382" s="1" t="s">
        <v>420</v>
      </c>
      <c r="LA382" s="1" t="s">
        <v>609</v>
      </c>
    </row>
    <row r="383" customHeight="1" spans="1:313">
      <c r="A383" s="3">
        <v>11</v>
      </c>
      <c r="B383" s="4" t="s">
        <v>592</v>
      </c>
      <c r="C383" s="5" t="s">
        <v>608</v>
      </c>
      <c r="D383" s="4" t="s">
        <v>529</v>
      </c>
      <c r="H383" s="4" t="s">
        <v>328</v>
      </c>
      <c r="I383" s="4" t="s">
        <v>600</v>
      </c>
      <c r="J383" s="4">
        <v>92</v>
      </c>
      <c r="N383" s="4" t="s">
        <v>532</v>
      </c>
      <c r="O383" s="24" t="s">
        <v>367</v>
      </c>
      <c r="P383" s="4">
        <v>2</v>
      </c>
      <c r="Q383" s="4" t="s">
        <v>601</v>
      </c>
      <c r="Z383" s="4">
        <v>0.225</v>
      </c>
      <c r="AA383" s="4" t="s">
        <v>607</v>
      </c>
      <c r="AB383" s="4" t="s">
        <v>602</v>
      </c>
      <c r="AC383" s="4" t="s">
        <v>603</v>
      </c>
      <c r="AD383" s="4" t="s">
        <v>595</v>
      </c>
      <c r="AE383" s="4" t="s">
        <v>604</v>
      </c>
      <c r="AF383" s="4" t="s">
        <v>605</v>
      </c>
      <c r="AG383" s="4" t="s">
        <v>316</v>
      </c>
      <c r="AH383" s="4" t="s">
        <v>596</v>
      </c>
      <c r="AL383" s="4" t="s">
        <v>597</v>
      </c>
      <c r="BD383" s="4" t="s">
        <v>598</v>
      </c>
      <c r="BI383" s="1" t="s">
        <v>407</v>
      </c>
      <c r="BK383" s="1">
        <v>25</v>
      </c>
      <c r="BL383" s="1">
        <v>5</v>
      </c>
      <c r="BO383" s="1">
        <v>0</v>
      </c>
      <c r="BV383" s="4" t="s">
        <v>408</v>
      </c>
      <c r="DO383" s="4">
        <v>3</v>
      </c>
      <c r="EP383" s="4"/>
      <c r="ES383" s="4"/>
    </row>
    <row r="384" customHeight="1" spans="1:313">
      <c r="A384" s="3">
        <v>11</v>
      </c>
      <c r="B384" s="4" t="s">
        <v>592</v>
      </c>
      <c r="C384" s="5" t="s">
        <v>608</v>
      </c>
      <c r="D384" s="4" t="s">
        <v>529</v>
      </c>
      <c r="H384" s="4" t="s">
        <v>328</v>
      </c>
      <c r="I384" s="4" t="s">
        <v>600</v>
      </c>
      <c r="J384" s="4">
        <v>92</v>
      </c>
      <c r="N384" s="4" t="s">
        <v>532</v>
      </c>
      <c r="O384" s="24" t="s">
        <v>367</v>
      </c>
      <c r="P384" s="4">
        <v>2</v>
      </c>
      <c r="Q384" s="4" t="s">
        <v>601</v>
      </c>
      <c r="Z384" s="4">
        <v>0.225</v>
      </c>
      <c r="AA384" s="4" t="s">
        <v>607</v>
      </c>
      <c r="AB384" s="4" t="s">
        <v>602</v>
      </c>
      <c r="AC384" s="4" t="s">
        <v>603</v>
      </c>
      <c r="AD384" s="4" t="s">
        <v>595</v>
      </c>
      <c r="AE384" s="4" t="s">
        <v>604</v>
      </c>
      <c r="AF384" s="4" t="s">
        <v>605</v>
      </c>
      <c r="AG384" s="4" t="s">
        <v>316</v>
      </c>
      <c r="AH384" s="4" t="s">
        <v>596</v>
      </c>
      <c r="AL384" s="4" t="s">
        <v>597</v>
      </c>
      <c r="BD384" s="4" t="s">
        <v>598</v>
      </c>
      <c r="BI384" s="1" t="s">
        <v>321</v>
      </c>
      <c r="BK384" s="1">
        <v>25</v>
      </c>
      <c r="BL384" s="1">
        <v>5</v>
      </c>
      <c r="BO384" s="1">
        <v>0</v>
      </c>
      <c r="BV384" s="4" t="s">
        <v>408</v>
      </c>
      <c r="DO384" s="4">
        <v>3</v>
      </c>
      <c r="EP384" s="4"/>
      <c r="ES384" s="4"/>
    </row>
    <row r="385" customHeight="1" spans="1:314">
      <c r="A385" s="3">
        <v>11</v>
      </c>
      <c r="B385" s="4" t="s">
        <v>592</v>
      </c>
      <c r="C385" s="5" t="s">
        <v>608</v>
      </c>
      <c r="D385" s="4" t="s">
        <v>529</v>
      </c>
      <c r="H385" s="4" t="s">
        <v>328</v>
      </c>
      <c r="I385" s="4" t="s">
        <v>600</v>
      </c>
      <c r="J385" s="4">
        <v>92</v>
      </c>
      <c r="N385" s="4" t="s">
        <v>532</v>
      </c>
      <c r="O385" s="24" t="s">
        <v>367</v>
      </c>
      <c r="P385" s="4">
        <v>2</v>
      </c>
      <c r="Q385" s="4" t="s">
        <v>601</v>
      </c>
      <c r="Z385" s="4">
        <v>0.225</v>
      </c>
      <c r="AA385" s="4" t="s">
        <v>607</v>
      </c>
      <c r="AB385" s="4" t="s">
        <v>602</v>
      </c>
      <c r="AC385" s="4" t="s">
        <v>603</v>
      </c>
      <c r="AD385" s="4" t="s">
        <v>595</v>
      </c>
      <c r="AE385" s="4" t="s">
        <v>604</v>
      </c>
      <c r="AF385" s="4" t="s">
        <v>605</v>
      </c>
      <c r="AG385" s="4" t="s">
        <v>316</v>
      </c>
      <c r="AH385" s="4" t="s">
        <v>596</v>
      </c>
      <c r="AL385" s="4" t="s">
        <v>597</v>
      </c>
      <c r="BD385" s="4" t="s">
        <v>598</v>
      </c>
      <c r="BI385" s="1" t="s">
        <v>321</v>
      </c>
      <c r="BK385" s="1">
        <v>25</v>
      </c>
      <c r="BL385" s="1">
        <v>5</v>
      </c>
      <c r="BO385" s="1">
        <v>0.03</v>
      </c>
      <c r="BV385" s="4" t="s">
        <v>408</v>
      </c>
      <c r="DO385" s="4">
        <v>3</v>
      </c>
      <c r="EP385" s="4"/>
      <c r="ES385" s="4"/>
    </row>
    <row r="386" customHeight="1" spans="1:314">
      <c r="A386" s="28">
        <v>12</v>
      </c>
      <c r="B386" s="4" t="s">
        <v>592</v>
      </c>
      <c r="C386" s="5" t="s">
        <v>610</v>
      </c>
      <c r="D386" s="4" t="s">
        <v>611</v>
      </c>
      <c r="H386" s="4" t="s">
        <v>328</v>
      </c>
      <c r="I386" s="4" t="s">
        <v>612</v>
      </c>
      <c r="AA386" s="4" t="s">
        <v>613</v>
      </c>
      <c r="AB386" s="4" t="s">
        <v>614</v>
      </c>
      <c r="AC386" s="4" t="s">
        <v>615</v>
      </c>
      <c r="AD386" s="4" t="s">
        <v>616</v>
      </c>
      <c r="AE386" s="4" t="s">
        <v>617</v>
      </c>
      <c r="AF386" s="4" t="s">
        <v>618</v>
      </c>
      <c r="AG386" s="4" t="s">
        <v>316</v>
      </c>
      <c r="AH386" s="4" t="s">
        <v>596</v>
      </c>
      <c r="AL386" s="4" t="s">
        <v>597</v>
      </c>
      <c r="BD386" s="4" t="s">
        <v>619</v>
      </c>
      <c r="BI386" s="4" t="s">
        <v>321</v>
      </c>
      <c r="CB386" s="4" t="s">
        <v>372</v>
      </c>
      <c r="CD386" s="4">
        <v>400</v>
      </c>
      <c r="CX386" s="4" t="s">
        <v>314</v>
      </c>
      <c r="CZ386" s="4" t="s">
        <v>328</v>
      </c>
      <c r="DO386" s="4">
        <v>3</v>
      </c>
      <c r="EP386" s="4"/>
      <c r="ES386" s="4"/>
      <c r="LB386" s="1" t="s">
        <v>460</v>
      </c>
    </row>
    <row r="387" customHeight="1" spans="1:314">
      <c r="A387" s="28">
        <v>12</v>
      </c>
      <c r="B387" s="4" t="s">
        <v>592</v>
      </c>
      <c r="C387" s="5" t="s">
        <v>620</v>
      </c>
      <c r="D387" s="4" t="s">
        <v>611</v>
      </c>
      <c r="H387" s="4" t="s">
        <v>328</v>
      </c>
      <c r="I387" s="4" t="s">
        <v>612</v>
      </c>
      <c r="Q387" s="4" t="s">
        <v>540</v>
      </c>
      <c r="AA387" s="4" t="s">
        <v>613</v>
      </c>
      <c r="AB387" s="4" t="s">
        <v>614</v>
      </c>
      <c r="AC387" s="4" t="s">
        <v>615</v>
      </c>
      <c r="AD387" s="4" t="s">
        <v>616</v>
      </c>
      <c r="AE387" s="4" t="s">
        <v>617</v>
      </c>
      <c r="AF387" s="4" t="s">
        <v>618</v>
      </c>
      <c r="AG387" s="4" t="s">
        <v>316</v>
      </c>
      <c r="AH387" s="4" t="s">
        <v>596</v>
      </c>
      <c r="AL387" s="4" t="s">
        <v>597</v>
      </c>
      <c r="BD387" s="4" t="s">
        <v>619</v>
      </c>
      <c r="BI387" s="4" t="s">
        <v>321</v>
      </c>
      <c r="BM387" s="4">
        <v>0.05</v>
      </c>
      <c r="BS387" s="4">
        <v>7.04</v>
      </c>
      <c r="BU387" s="4">
        <v>30</v>
      </c>
      <c r="CB387" s="4" t="s">
        <v>372</v>
      </c>
      <c r="CD387" s="4">
        <v>78.8</v>
      </c>
      <c r="DO387" s="4">
        <v>3</v>
      </c>
      <c r="EP387" s="4">
        <v>94.45</v>
      </c>
      <c r="ES387" s="4">
        <v>94.45</v>
      </c>
      <c r="KZ387" s="1" t="s">
        <v>420</v>
      </c>
      <c r="LA387" s="1" t="s">
        <v>621</v>
      </c>
    </row>
    <row r="388" customHeight="1" spans="1:314">
      <c r="A388" s="28">
        <v>12</v>
      </c>
      <c r="B388" s="4" t="s">
        <v>592</v>
      </c>
      <c r="C388" s="5" t="s">
        <v>620</v>
      </c>
      <c r="D388" s="4" t="s">
        <v>611</v>
      </c>
      <c r="H388" s="4" t="s">
        <v>328</v>
      </c>
      <c r="I388" s="4" t="s">
        <v>612</v>
      </c>
      <c r="Q388" s="4" t="s">
        <v>539</v>
      </c>
      <c r="AA388" s="4" t="s">
        <v>613</v>
      </c>
      <c r="AB388" s="4" t="s">
        <v>614</v>
      </c>
      <c r="AC388" s="4" t="s">
        <v>615</v>
      </c>
      <c r="AD388" s="4" t="s">
        <v>616</v>
      </c>
      <c r="AE388" s="4" t="s">
        <v>617</v>
      </c>
      <c r="AF388" s="4" t="s">
        <v>618</v>
      </c>
      <c r="AG388" s="4" t="s">
        <v>316</v>
      </c>
      <c r="AH388" s="4" t="s">
        <v>596</v>
      </c>
      <c r="AL388" s="4" t="s">
        <v>597</v>
      </c>
      <c r="BD388" s="4" t="s">
        <v>619</v>
      </c>
      <c r="BI388" s="4" t="s">
        <v>321</v>
      </c>
      <c r="BM388" s="4">
        <v>0.05</v>
      </c>
      <c r="BS388" s="4">
        <v>7.04</v>
      </c>
      <c r="BU388" s="4">
        <v>30</v>
      </c>
      <c r="CB388" s="4" t="s">
        <v>372</v>
      </c>
      <c r="CD388" s="4">
        <v>78.8</v>
      </c>
      <c r="DO388" s="4">
        <v>3</v>
      </c>
      <c r="EP388" s="4">
        <v>2.37</v>
      </c>
      <c r="ES388" s="4">
        <v>2.37</v>
      </c>
    </row>
    <row r="389" customHeight="1" spans="1:314">
      <c r="A389" s="28">
        <v>12</v>
      </c>
      <c r="B389" s="4" t="s">
        <v>592</v>
      </c>
      <c r="C389" s="5" t="s">
        <v>620</v>
      </c>
      <c r="D389" s="4" t="s">
        <v>611</v>
      </c>
      <c r="H389" s="4" t="s">
        <v>328</v>
      </c>
      <c r="I389" s="4" t="s">
        <v>612</v>
      </c>
      <c r="Q389" s="4" t="s">
        <v>542</v>
      </c>
      <c r="AA389" s="4" t="s">
        <v>613</v>
      </c>
      <c r="AB389" s="4" t="s">
        <v>614</v>
      </c>
      <c r="AC389" s="4" t="s">
        <v>615</v>
      </c>
      <c r="AD389" s="4" t="s">
        <v>616</v>
      </c>
      <c r="AE389" s="4" t="s">
        <v>617</v>
      </c>
      <c r="AF389" s="4" t="s">
        <v>618</v>
      </c>
      <c r="AG389" s="4" t="s">
        <v>316</v>
      </c>
      <c r="AH389" s="4" t="s">
        <v>596</v>
      </c>
      <c r="AL389" s="4" t="s">
        <v>597</v>
      </c>
      <c r="BD389" s="4" t="s">
        <v>619</v>
      </c>
      <c r="BI389" s="4" t="s">
        <v>321</v>
      </c>
      <c r="BM389" s="4">
        <v>0.05</v>
      </c>
      <c r="BS389" s="4">
        <v>7.04</v>
      </c>
      <c r="BU389" s="4">
        <v>30</v>
      </c>
      <c r="CB389" s="4" t="s">
        <v>372</v>
      </c>
      <c r="CD389" s="4">
        <v>78.8</v>
      </c>
      <c r="DO389" s="4">
        <v>3</v>
      </c>
      <c r="EP389" s="4">
        <v>18.31</v>
      </c>
      <c r="ES389" s="4">
        <v>18.31</v>
      </c>
    </row>
    <row r="390" customHeight="1" spans="1:314">
      <c r="A390" s="28">
        <v>12</v>
      </c>
      <c r="B390" s="4" t="s">
        <v>592</v>
      </c>
      <c r="C390" s="5" t="s">
        <v>620</v>
      </c>
      <c r="D390" s="4" t="s">
        <v>611</v>
      </c>
      <c r="H390" s="4" t="s">
        <v>328</v>
      </c>
      <c r="I390" s="4" t="s">
        <v>612</v>
      </c>
      <c r="Q390" s="4" t="s">
        <v>540</v>
      </c>
      <c r="AA390" s="4" t="s">
        <v>613</v>
      </c>
      <c r="AB390" s="4" t="s">
        <v>614</v>
      </c>
      <c r="AC390" s="4" t="s">
        <v>615</v>
      </c>
      <c r="AD390" s="4" t="s">
        <v>616</v>
      </c>
      <c r="AE390" s="4" t="s">
        <v>617</v>
      </c>
      <c r="AF390" s="4" t="s">
        <v>618</v>
      </c>
      <c r="AG390" s="4" t="s">
        <v>316</v>
      </c>
      <c r="AH390" s="4" t="s">
        <v>596</v>
      </c>
      <c r="AL390" s="4" t="s">
        <v>597</v>
      </c>
      <c r="BD390" s="4" t="s">
        <v>619</v>
      </c>
      <c r="BI390" s="4" t="s">
        <v>321</v>
      </c>
      <c r="BO390" s="4">
        <v>0.01</v>
      </c>
      <c r="BS390" s="4">
        <v>7.04</v>
      </c>
      <c r="BU390" s="4">
        <v>30</v>
      </c>
      <c r="BV390" s="4">
        <v>1440</v>
      </c>
      <c r="CB390" s="4" t="s">
        <v>372</v>
      </c>
      <c r="CD390" s="4">
        <v>394</v>
      </c>
      <c r="DO390" s="4">
        <v>3</v>
      </c>
      <c r="EP390" s="27">
        <v>59.57</v>
      </c>
      <c r="EQ390" s="1">
        <v>0.15</v>
      </c>
      <c r="ES390" s="27">
        <v>59.57</v>
      </c>
    </row>
    <row r="391" customHeight="1" spans="1:314">
      <c r="A391" s="28">
        <v>12</v>
      </c>
      <c r="B391" s="4" t="s">
        <v>592</v>
      </c>
      <c r="C391" s="5" t="s">
        <v>620</v>
      </c>
      <c r="D391" s="4" t="s">
        <v>611</v>
      </c>
      <c r="H391" s="4" t="s">
        <v>328</v>
      </c>
      <c r="I391" s="4" t="s">
        <v>612</v>
      </c>
      <c r="Q391" s="4" t="s">
        <v>540</v>
      </c>
      <c r="AA391" s="4" t="s">
        <v>613</v>
      </c>
      <c r="AB391" s="4" t="s">
        <v>614</v>
      </c>
      <c r="AC391" s="4" t="s">
        <v>615</v>
      </c>
      <c r="AD391" s="4" t="s">
        <v>616</v>
      </c>
      <c r="AE391" s="4" t="s">
        <v>617</v>
      </c>
      <c r="AF391" s="4" t="s">
        <v>618</v>
      </c>
      <c r="AG391" s="4" t="s">
        <v>316</v>
      </c>
      <c r="AH391" s="4" t="s">
        <v>596</v>
      </c>
      <c r="AL391" s="4" t="s">
        <v>597</v>
      </c>
      <c r="BD391" s="4" t="s">
        <v>619</v>
      </c>
      <c r="BI391" s="4" t="s">
        <v>321</v>
      </c>
      <c r="BO391" s="4">
        <v>0.02</v>
      </c>
      <c r="BS391" s="4">
        <v>7.04</v>
      </c>
      <c r="BU391" s="4">
        <v>30</v>
      </c>
      <c r="BV391" s="4">
        <v>1440</v>
      </c>
      <c r="CB391" s="4" t="s">
        <v>372</v>
      </c>
      <c r="CD391" s="4">
        <v>394</v>
      </c>
      <c r="DO391" s="4">
        <v>3</v>
      </c>
      <c r="EP391" s="27">
        <v>75.34</v>
      </c>
      <c r="EQ391" s="1">
        <v>0.46</v>
      </c>
      <c r="ES391" s="27">
        <v>75.34</v>
      </c>
    </row>
    <row r="392" customHeight="1" spans="1:314">
      <c r="A392" s="28">
        <v>12</v>
      </c>
      <c r="B392" s="4" t="s">
        <v>592</v>
      </c>
      <c r="C392" s="5" t="s">
        <v>620</v>
      </c>
      <c r="D392" s="4" t="s">
        <v>611</v>
      </c>
      <c r="H392" s="4" t="s">
        <v>328</v>
      </c>
      <c r="I392" s="4" t="s">
        <v>612</v>
      </c>
      <c r="Q392" s="4" t="s">
        <v>540</v>
      </c>
      <c r="AA392" s="4" t="s">
        <v>613</v>
      </c>
      <c r="AB392" s="4" t="s">
        <v>614</v>
      </c>
      <c r="AC392" s="4" t="s">
        <v>615</v>
      </c>
      <c r="AD392" s="4" t="s">
        <v>616</v>
      </c>
      <c r="AE392" s="4" t="s">
        <v>617</v>
      </c>
      <c r="AF392" s="4" t="s">
        <v>618</v>
      </c>
      <c r="AG392" s="4" t="s">
        <v>316</v>
      </c>
      <c r="AH392" s="4" t="s">
        <v>596</v>
      </c>
      <c r="AL392" s="4" t="s">
        <v>597</v>
      </c>
      <c r="BD392" s="4" t="s">
        <v>619</v>
      </c>
      <c r="BI392" s="4" t="s">
        <v>321</v>
      </c>
      <c r="BO392" s="4">
        <v>0.03</v>
      </c>
      <c r="BS392" s="4">
        <v>7.04</v>
      </c>
      <c r="BU392" s="4">
        <v>30</v>
      </c>
      <c r="BV392" s="4">
        <v>1440</v>
      </c>
      <c r="CB392" s="4" t="s">
        <v>372</v>
      </c>
      <c r="CD392" s="4">
        <v>394</v>
      </c>
      <c r="DO392" s="4">
        <v>3</v>
      </c>
      <c r="EP392" s="27">
        <v>93.26</v>
      </c>
      <c r="EQ392" s="1">
        <v>2.45</v>
      </c>
      <c r="ES392" s="27">
        <v>93.26</v>
      </c>
    </row>
    <row r="393" customHeight="1" spans="1:314">
      <c r="A393" s="28">
        <v>12</v>
      </c>
      <c r="B393" s="4" t="s">
        <v>592</v>
      </c>
      <c r="C393" s="5" t="s">
        <v>620</v>
      </c>
      <c r="D393" s="4" t="s">
        <v>611</v>
      </c>
      <c r="H393" s="4" t="s">
        <v>328</v>
      </c>
      <c r="I393" s="4" t="s">
        <v>612</v>
      </c>
      <c r="Q393" s="4" t="s">
        <v>540</v>
      </c>
      <c r="AA393" s="4" t="s">
        <v>613</v>
      </c>
      <c r="AB393" s="4" t="s">
        <v>614</v>
      </c>
      <c r="AC393" s="4" t="s">
        <v>615</v>
      </c>
      <c r="AD393" s="4" t="s">
        <v>616</v>
      </c>
      <c r="AE393" s="4" t="s">
        <v>617</v>
      </c>
      <c r="AF393" s="4" t="s">
        <v>618</v>
      </c>
      <c r="AG393" s="4" t="s">
        <v>316</v>
      </c>
      <c r="AH393" s="4" t="s">
        <v>596</v>
      </c>
      <c r="AL393" s="4" t="s">
        <v>597</v>
      </c>
      <c r="BD393" s="4" t="s">
        <v>619</v>
      </c>
      <c r="BI393" s="4" t="s">
        <v>321</v>
      </c>
      <c r="BO393" s="4">
        <v>0.05</v>
      </c>
      <c r="BS393" s="4">
        <v>7.04</v>
      </c>
      <c r="BU393" s="4">
        <v>30</v>
      </c>
      <c r="BV393" s="4">
        <v>1440</v>
      </c>
      <c r="CB393" s="4" t="s">
        <v>372</v>
      </c>
      <c r="CD393" s="4">
        <v>394</v>
      </c>
      <c r="DO393" s="4">
        <v>3</v>
      </c>
      <c r="EP393" s="27">
        <v>94.95</v>
      </c>
      <c r="EQ393" s="1">
        <v>0.31</v>
      </c>
      <c r="ES393" s="27">
        <v>94.95</v>
      </c>
    </row>
    <row r="394" customHeight="1" spans="1:314">
      <c r="A394" s="28">
        <v>12</v>
      </c>
      <c r="B394" s="4" t="s">
        <v>592</v>
      </c>
      <c r="C394" s="5" t="s">
        <v>620</v>
      </c>
      <c r="D394" s="4" t="s">
        <v>611</v>
      </c>
      <c r="H394" s="4" t="s">
        <v>328</v>
      </c>
      <c r="I394" s="4" t="s">
        <v>612</v>
      </c>
      <c r="Q394" s="4" t="s">
        <v>540</v>
      </c>
      <c r="AA394" s="4" t="s">
        <v>613</v>
      </c>
      <c r="AB394" s="4" t="s">
        <v>614</v>
      </c>
      <c r="AC394" s="4" t="s">
        <v>615</v>
      </c>
      <c r="AD394" s="4" t="s">
        <v>616</v>
      </c>
      <c r="AE394" s="4" t="s">
        <v>617</v>
      </c>
      <c r="AF394" s="4" t="s">
        <v>618</v>
      </c>
      <c r="AG394" s="4" t="s">
        <v>316</v>
      </c>
      <c r="AH394" s="4" t="s">
        <v>596</v>
      </c>
      <c r="AL394" s="4" t="s">
        <v>597</v>
      </c>
      <c r="BD394" s="4" t="s">
        <v>619</v>
      </c>
      <c r="BI394" s="4" t="s">
        <v>321</v>
      </c>
      <c r="BO394" s="4">
        <v>0.07</v>
      </c>
      <c r="BS394" s="4">
        <v>7.04</v>
      </c>
      <c r="BU394" s="4">
        <v>30</v>
      </c>
      <c r="BV394" s="4">
        <v>1440</v>
      </c>
      <c r="CB394" s="4" t="s">
        <v>372</v>
      </c>
      <c r="CD394" s="4">
        <v>394</v>
      </c>
      <c r="DO394" s="4">
        <v>3</v>
      </c>
      <c r="EP394" s="27">
        <v>97.4</v>
      </c>
      <c r="EQ394" s="1">
        <v>0</v>
      </c>
      <c r="ES394" s="27">
        <v>97.4</v>
      </c>
    </row>
    <row r="395" customHeight="1" spans="1:314">
      <c r="A395" s="28">
        <v>12</v>
      </c>
      <c r="B395" s="4" t="s">
        <v>592</v>
      </c>
      <c r="C395" s="5" t="s">
        <v>620</v>
      </c>
      <c r="D395" s="4" t="s">
        <v>611</v>
      </c>
      <c r="H395" s="4" t="s">
        <v>328</v>
      </c>
      <c r="I395" s="4" t="s">
        <v>612</v>
      </c>
      <c r="Q395" s="4" t="s">
        <v>540</v>
      </c>
      <c r="AA395" s="4" t="s">
        <v>613</v>
      </c>
      <c r="AB395" s="4" t="s">
        <v>614</v>
      </c>
      <c r="AC395" s="4" t="s">
        <v>615</v>
      </c>
      <c r="AD395" s="4" t="s">
        <v>616</v>
      </c>
      <c r="AE395" s="4" t="s">
        <v>617</v>
      </c>
      <c r="AF395" s="4" t="s">
        <v>618</v>
      </c>
      <c r="AG395" s="4" t="s">
        <v>316</v>
      </c>
      <c r="AH395" s="4" t="s">
        <v>596</v>
      </c>
      <c r="AL395" s="4" t="s">
        <v>597</v>
      </c>
      <c r="BD395" s="4" t="s">
        <v>619</v>
      </c>
      <c r="BI395" s="4" t="s">
        <v>321</v>
      </c>
      <c r="BO395" s="4">
        <v>0.1</v>
      </c>
      <c r="BS395" s="4">
        <v>7.04</v>
      </c>
      <c r="BU395" s="4">
        <v>30</v>
      </c>
      <c r="BV395" s="4">
        <v>1440</v>
      </c>
      <c r="CB395" s="4" t="s">
        <v>372</v>
      </c>
      <c r="CD395" s="4">
        <v>394</v>
      </c>
      <c r="DO395" s="4">
        <v>3</v>
      </c>
      <c r="EP395" s="27">
        <v>98.01</v>
      </c>
      <c r="EQ395" s="1">
        <v>0</v>
      </c>
      <c r="ES395" s="27">
        <v>98.01</v>
      </c>
    </row>
    <row r="396" customHeight="1" spans="1:314">
      <c r="A396" s="28">
        <v>12</v>
      </c>
      <c r="B396" s="4" t="s">
        <v>592</v>
      </c>
      <c r="C396" s="5" t="s">
        <v>620</v>
      </c>
      <c r="D396" s="4" t="s">
        <v>611</v>
      </c>
      <c r="H396" s="4" t="s">
        <v>328</v>
      </c>
      <c r="I396" s="4" t="s">
        <v>612</v>
      </c>
      <c r="Q396" s="4" t="s">
        <v>540</v>
      </c>
      <c r="AA396" s="4" t="s">
        <v>613</v>
      </c>
      <c r="AB396" s="4" t="s">
        <v>614</v>
      </c>
      <c r="AC396" s="4" t="s">
        <v>615</v>
      </c>
      <c r="AD396" s="4" t="s">
        <v>616</v>
      </c>
      <c r="AE396" s="4" t="s">
        <v>617</v>
      </c>
      <c r="AF396" s="4" t="s">
        <v>618</v>
      </c>
      <c r="AG396" s="4" t="s">
        <v>316</v>
      </c>
      <c r="AH396" s="4" t="s">
        <v>596</v>
      </c>
      <c r="AL396" s="4" t="s">
        <v>597</v>
      </c>
      <c r="BI396" s="4" t="s">
        <v>321</v>
      </c>
      <c r="BO396" s="4">
        <v>0.03</v>
      </c>
      <c r="BS396" s="4">
        <v>7.04</v>
      </c>
      <c r="BU396" s="4">
        <v>30</v>
      </c>
      <c r="BV396" s="4">
        <v>1440</v>
      </c>
      <c r="CB396" s="4" t="s">
        <v>372</v>
      </c>
      <c r="CD396" s="4">
        <v>200</v>
      </c>
      <c r="DO396" s="4">
        <v>3</v>
      </c>
      <c r="EP396" s="27">
        <v>90.84</v>
      </c>
      <c r="EQ396" s="1">
        <v>0</v>
      </c>
      <c r="ES396" s="27">
        <v>90.84</v>
      </c>
    </row>
    <row r="397" customHeight="1" spans="1:314">
      <c r="A397" s="28">
        <v>12</v>
      </c>
      <c r="B397" s="4" t="s">
        <v>592</v>
      </c>
      <c r="C397" s="5" t="s">
        <v>620</v>
      </c>
      <c r="D397" s="4" t="s">
        <v>611</v>
      </c>
      <c r="H397" s="4" t="s">
        <v>328</v>
      </c>
      <c r="I397" s="4" t="s">
        <v>612</v>
      </c>
      <c r="Q397" s="4" t="s">
        <v>540</v>
      </c>
      <c r="AA397" s="4" t="s">
        <v>613</v>
      </c>
      <c r="AB397" s="4" t="s">
        <v>614</v>
      </c>
      <c r="AC397" s="4" t="s">
        <v>615</v>
      </c>
      <c r="AD397" s="4" t="s">
        <v>616</v>
      </c>
      <c r="AE397" s="4" t="s">
        <v>617</v>
      </c>
      <c r="AF397" s="4" t="s">
        <v>618</v>
      </c>
      <c r="AG397" s="4" t="s">
        <v>316</v>
      </c>
      <c r="AH397" s="4" t="s">
        <v>596</v>
      </c>
      <c r="AL397" s="4" t="s">
        <v>597</v>
      </c>
      <c r="BI397" s="4" t="s">
        <v>321</v>
      </c>
      <c r="BO397" s="4">
        <v>0.03</v>
      </c>
      <c r="BS397" s="4">
        <v>7.04</v>
      </c>
      <c r="BU397" s="4">
        <v>30</v>
      </c>
      <c r="BV397" s="4">
        <v>1440</v>
      </c>
      <c r="CB397" s="4" t="s">
        <v>372</v>
      </c>
      <c r="CD397" s="4">
        <v>400</v>
      </c>
      <c r="DO397" s="4">
        <v>3</v>
      </c>
      <c r="EP397" s="27">
        <v>93.41</v>
      </c>
      <c r="EQ397" s="1">
        <v>2.56</v>
      </c>
      <c r="ES397" s="27">
        <v>93.41</v>
      </c>
    </row>
    <row r="398" customHeight="1" spans="1:314">
      <c r="A398" s="28">
        <v>12</v>
      </c>
      <c r="B398" s="4" t="s">
        <v>592</v>
      </c>
      <c r="C398" s="5" t="s">
        <v>620</v>
      </c>
      <c r="D398" s="4" t="s">
        <v>611</v>
      </c>
      <c r="H398" s="4" t="s">
        <v>328</v>
      </c>
      <c r="I398" s="4" t="s">
        <v>612</v>
      </c>
      <c r="Q398" s="4" t="s">
        <v>540</v>
      </c>
      <c r="AA398" s="4" t="s">
        <v>613</v>
      </c>
      <c r="AB398" s="4" t="s">
        <v>614</v>
      </c>
      <c r="AC398" s="4" t="s">
        <v>615</v>
      </c>
      <c r="AD398" s="4" t="s">
        <v>616</v>
      </c>
      <c r="AE398" s="4" t="s">
        <v>617</v>
      </c>
      <c r="AF398" s="4" t="s">
        <v>618</v>
      </c>
      <c r="AG398" s="4" t="s">
        <v>316</v>
      </c>
      <c r="AH398" s="4" t="s">
        <v>596</v>
      </c>
      <c r="AL398" s="4" t="s">
        <v>597</v>
      </c>
      <c r="BI398" s="4" t="s">
        <v>321</v>
      </c>
      <c r="BO398" s="4">
        <v>0.03</v>
      </c>
      <c r="BS398" s="4">
        <v>7.04</v>
      </c>
      <c r="BU398" s="4">
        <v>30</v>
      </c>
      <c r="BV398" s="4">
        <v>1440</v>
      </c>
      <c r="CB398" s="4" t="s">
        <v>372</v>
      </c>
      <c r="CD398" s="4">
        <v>600</v>
      </c>
      <c r="DO398" s="4">
        <v>3</v>
      </c>
      <c r="EP398" s="27">
        <v>91.39</v>
      </c>
      <c r="EQ398" s="1">
        <v>0.18</v>
      </c>
      <c r="ES398" s="27">
        <v>91.39</v>
      </c>
    </row>
    <row r="399" customHeight="1" spans="1:314">
      <c r="A399" s="28">
        <v>12</v>
      </c>
      <c r="B399" s="4" t="s">
        <v>592</v>
      </c>
      <c r="C399" s="5" t="s">
        <v>620</v>
      </c>
      <c r="D399" s="4" t="s">
        <v>611</v>
      </c>
      <c r="H399" s="4" t="s">
        <v>328</v>
      </c>
      <c r="I399" s="4" t="s">
        <v>612</v>
      </c>
      <c r="Q399" s="4" t="s">
        <v>540</v>
      </c>
      <c r="AA399" s="4" t="s">
        <v>613</v>
      </c>
      <c r="AB399" s="4" t="s">
        <v>614</v>
      </c>
      <c r="AC399" s="4" t="s">
        <v>615</v>
      </c>
      <c r="AD399" s="4" t="s">
        <v>616</v>
      </c>
      <c r="AE399" s="4" t="s">
        <v>617</v>
      </c>
      <c r="AF399" s="4" t="s">
        <v>618</v>
      </c>
      <c r="AG399" s="4" t="s">
        <v>316</v>
      </c>
      <c r="AH399" s="4" t="s">
        <v>596</v>
      </c>
      <c r="AL399" s="4" t="s">
        <v>597</v>
      </c>
      <c r="BI399" s="4" t="s">
        <v>321</v>
      </c>
      <c r="BO399" s="4">
        <v>0.03</v>
      </c>
      <c r="BS399" s="4">
        <v>7.04</v>
      </c>
      <c r="BU399" s="4">
        <v>30</v>
      </c>
      <c r="BV399" s="4">
        <v>1440</v>
      </c>
      <c r="CB399" s="4" t="s">
        <v>372</v>
      </c>
      <c r="CD399" s="4">
        <v>800</v>
      </c>
      <c r="DO399" s="4">
        <v>3</v>
      </c>
      <c r="EP399" s="27">
        <v>74.91</v>
      </c>
      <c r="EQ399" s="1">
        <v>0</v>
      </c>
      <c r="ES399" s="27">
        <v>74.91</v>
      </c>
    </row>
    <row r="400" customHeight="1" spans="1:314">
      <c r="A400" s="28">
        <v>12</v>
      </c>
      <c r="B400" s="4" t="s">
        <v>592</v>
      </c>
      <c r="C400" s="5" t="s">
        <v>620</v>
      </c>
      <c r="D400" s="4" t="s">
        <v>611</v>
      </c>
      <c r="H400" s="4" t="s">
        <v>328</v>
      </c>
      <c r="I400" s="4" t="s">
        <v>612</v>
      </c>
      <c r="Q400" s="4" t="s">
        <v>540</v>
      </c>
      <c r="AA400" s="4" t="s">
        <v>613</v>
      </c>
      <c r="AB400" s="4" t="s">
        <v>614</v>
      </c>
      <c r="AC400" s="4" t="s">
        <v>615</v>
      </c>
      <c r="AD400" s="4" t="s">
        <v>616</v>
      </c>
      <c r="AE400" s="4" t="s">
        <v>617</v>
      </c>
      <c r="AF400" s="4" t="s">
        <v>618</v>
      </c>
      <c r="AG400" s="4" t="s">
        <v>316</v>
      </c>
      <c r="AH400" s="4" t="s">
        <v>596</v>
      </c>
      <c r="AL400" s="4" t="s">
        <v>597</v>
      </c>
      <c r="BI400" s="4" t="s">
        <v>321</v>
      </c>
      <c r="BO400" s="4">
        <v>0.03</v>
      </c>
      <c r="BS400" s="4">
        <v>7.04</v>
      </c>
      <c r="BU400" s="4">
        <v>30</v>
      </c>
      <c r="BV400" s="4">
        <v>1440</v>
      </c>
      <c r="CB400" s="4" t="s">
        <v>372</v>
      </c>
      <c r="CD400" s="4">
        <v>1000</v>
      </c>
      <c r="DO400" s="4">
        <v>3</v>
      </c>
      <c r="EP400" s="27">
        <v>76.19</v>
      </c>
      <c r="EQ400" s="1">
        <v>0.73</v>
      </c>
      <c r="ES400" s="27">
        <v>76.19</v>
      </c>
    </row>
    <row r="401" customHeight="1" spans="1:149">
      <c r="A401" s="28">
        <v>12</v>
      </c>
      <c r="B401" s="4" t="s">
        <v>592</v>
      </c>
      <c r="C401" s="5" t="s">
        <v>620</v>
      </c>
      <c r="D401" s="4" t="s">
        <v>611</v>
      </c>
      <c r="H401" s="4" t="s">
        <v>328</v>
      </c>
      <c r="I401" s="4" t="s">
        <v>612</v>
      </c>
      <c r="Q401" s="4" t="s">
        <v>540</v>
      </c>
      <c r="AA401" s="4" t="s">
        <v>613</v>
      </c>
      <c r="AB401" s="4" t="s">
        <v>614</v>
      </c>
      <c r="AC401" s="4" t="s">
        <v>615</v>
      </c>
      <c r="AD401" s="4" t="s">
        <v>616</v>
      </c>
      <c r="AE401" s="4" t="s">
        <v>617</v>
      </c>
      <c r="AF401" s="4" t="s">
        <v>618</v>
      </c>
      <c r="AG401" s="4" t="s">
        <v>316</v>
      </c>
      <c r="AH401" s="4" t="s">
        <v>596</v>
      </c>
      <c r="AL401" s="4" t="s">
        <v>597</v>
      </c>
      <c r="BI401" s="4" t="s">
        <v>321</v>
      </c>
      <c r="BO401" s="4">
        <v>0.05</v>
      </c>
      <c r="BS401" s="4">
        <v>7.04</v>
      </c>
      <c r="BU401" s="4">
        <v>30</v>
      </c>
      <c r="BV401" s="4">
        <v>1440</v>
      </c>
      <c r="CB401" s="4" t="s">
        <v>372</v>
      </c>
      <c r="CD401" s="4">
        <v>200</v>
      </c>
      <c r="DO401" s="4">
        <v>3</v>
      </c>
      <c r="EP401" s="27">
        <v>96.7</v>
      </c>
      <c r="EQ401" s="1">
        <v>0</v>
      </c>
      <c r="ES401" s="27">
        <v>96.7</v>
      </c>
    </row>
    <row r="402" customHeight="1" spans="1:149">
      <c r="A402" s="28">
        <v>12</v>
      </c>
      <c r="B402" s="4" t="s">
        <v>592</v>
      </c>
      <c r="C402" s="5" t="s">
        <v>620</v>
      </c>
      <c r="D402" s="4" t="s">
        <v>611</v>
      </c>
      <c r="H402" s="4" t="s">
        <v>328</v>
      </c>
      <c r="I402" s="4" t="s">
        <v>612</v>
      </c>
      <c r="Q402" s="4" t="s">
        <v>540</v>
      </c>
      <c r="AA402" s="4" t="s">
        <v>613</v>
      </c>
      <c r="AB402" s="4" t="s">
        <v>614</v>
      </c>
      <c r="AC402" s="4" t="s">
        <v>615</v>
      </c>
      <c r="AD402" s="4" t="s">
        <v>616</v>
      </c>
      <c r="AE402" s="4" t="s">
        <v>617</v>
      </c>
      <c r="AF402" s="4" t="s">
        <v>618</v>
      </c>
      <c r="AG402" s="4" t="s">
        <v>316</v>
      </c>
      <c r="AH402" s="4" t="s">
        <v>596</v>
      </c>
      <c r="AL402" s="4" t="s">
        <v>597</v>
      </c>
      <c r="BI402" s="4" t="s">
        <v>321</v>
      </c>
      <c r="BO402" s="4">
        <v>0.05</v>
      </c>
      <c r="BS402" s="4">
        <v>7.04</v>
      </c>
      <c r="BU402" s="4">
        <v>30</v>
      </c>
      <c r="BV402" s="4">
        <v>1440</v>
      </c>
      <c r="CB402" s="4" t="s">
        <v>372</v>
      </c>
      <c r="CD402" s="4">
        <v>400</v>
      </c>
      <c r="DO402" s="4">
        <v>3</v>
      </c>
      <c r="EP402" s="27">
        <v>94.69</v>
      </c>
      <c r="EQ402" s="1">
        <v>0.55</v>
      </c>
      <c r="ES402" s="27">
        <v>94.69</v>
      </c>
    </row>
    <row r="403" customHeight="1" spans="1:149">
      <c r="A403" s="28">
        <v>12</v>
      </c>
      <c r="B403" s="4" t="s">
        <v>592</v>
      </c>
      <c r="C403" s="5" t="s">
        <v>620</v>
      </c>
      <c r="D403" s="4" t="s">
        <v>611</v>
      </c>
      <c r="H403" s="4" t="s">
        <v>328</v>
      </c>
      <c r="I403" s="4" t="s">
        <v>612</v>
      </c>
      <c r="Q403" s="4" t="s">
        <v>540</v>
      </c>
      <c r="AA403" s="4" t="s">
        <v>613</v>
      </c>
      <c r="AB403" s="4" t="s">
        <v>614</v>
      </c>
      <c r="AC403" s="4" t="s">
        <v>615</v>
      </c>
      <c r="AD403" s="4" t="s">
        <v>616</v>
      </c>
      <c r="AE403" s="4" t="s">
        <v>617</v>
      </c>
      <c r="AF403" s="4" t="s">
        <v>618</v>
      </c>
      <c r="AG403" s="4" t="s">
        <v>316</v>
      </c>
      <c r="AH403" s="4" t="s">
        <v>596</v>
      </c>
      <c r="AL403" s="4" t="s">
        <v>597</v>
      </c>
      <c r="BI403" s="4" t="s">
        <v>321</v>
      </c>
      <c r="BO403" s="4">
        <v>0.05</v>
      </c>
      <c r="BS403" s="4">
        <v>7.04</v>
      </c>
      <c r="BU403" s="4">
        <v>30</v>
      </c>
      <c r="BV403" s="4">
        <v>1440</v>
      </c>
      <c r="CB403" s="4" t="s">
        <v>372</v>
      </c>
      <c r="CD403" s="4">
        <v>600</v>
      </c>
      <c r="DO403" s="4">
        <v>3</v>
      </c>
      <c r="EP403" s="27">
        <v>93.22</v>
      </c>
      <c r="EQ403" s="1">
        <v>1.65</v>
      </c>
      <c r="ES403" s="27">
        <v>93.22</v>
      </c>
    </row>
    <row r="404" customHeight="1" spans="1:149">
      <c r="A404" s="28">
        <v>12</v>
      </c>
      <c r="B404" s="4" t="s">
        <v>592</v>
      </c>
      <c r="C404" s="5" t="s">
        <v>620</v>
      </c>
      <c r="D404" s="4" t="s">
        <v>611</v>
      </c>
      <c r="H404" s="4" t="s">
        <v>328</v>
      </c>
      <c r="I404" s="4" t="s">
        <v>612</v>
      </c>
      <c r="Q404" s="4" t="s">
        <v>540</v>
      </c>
      <c r="AA404" s="4" t="s">
        <v>613</v>
      </c>
      <c r="AB404" s="4" t="s">
        <v>614</v>
      </c>
      <c r="AC404" s="4" t="s">
        <v>615</v>
      </c>
      <c r="AD404" s="4" t="s">
        <v>616</v>
      </c>
      <c r="AE404" s="4" t="s">
        <v>617</v>
      </c>
      <c r="AF404" s="4" t="s">
        <v>618</v>
      </c>
      <c r="AG404" s="4" t="s">
        <v>316</v>
      </c>
      <c r="AH404" s="4" t="s">
        <v>596</v>
      </c>
      <c r="AL404" s="4" t="s">
        <v>597</v>
      </c>
      <c r="BI404" s="4" t="s">
        <v>321</v>
      </c>
      <c r="BO404" s="4">
        <v>0.05</v>
      </c>
      <c r="BS404" s="4">
        <v>7.04</v>
      </c>
      <c r="BU404" s="4">
        <v>30</v>
      </c>
      <c r="BV404" s="4">
        <v>1440</v>
      </c>
      <c r="CB404" s="4" t="s">
        <v>372</v>
      </c>
      <c r="CD404" s="4">
        <v>800</v>
      </c>
      <c r="DO404" s="4">
        <v>3</v>
      </c>
      <c r="EP404" s="27">
        <v>89.38</v>
      </c>
      <c r="EQ404" s="1">
        <v>1.28</v>
      </c>
      <c r="ES404" s="27">
        <v>89.38</v>
      </c>
    </row>
    <row r="405" customHeight="1" spans="1:149">
      <c r="A405" s="28">
        <v>12</v>
      </c>
      <c r="B405" s="4" t="s">
        <v>592</v>
      </c>
      <c r="C405" s="5" t="s">
        <v>620</v>
      </c>
      <c r="D405" s="4" t="s">
        <v>611</v>
      </c>
      <c r="H405" s="4" t="s">
        <v>328</v>
      </c>
      <c r="I405" s="4" t="s">
        <v>612</v>
      </c>
      <c r="Q405" s="4" t="s">
        <v>540</v>
      </c>
      <c r="AA405" s="4" t="s">
        <v>613</v>
      </c>
      <c r="AB405" s="4" t="s">
        <v>614</v>
      </c>
      <c r="AC405" s="4" t="s">
        <v>615</v>
      </c>
      <c r="AD405" s="4" t="s">
        <v>616</v>
      </c>
      <c r="AE405" s="4" t="s">
        <v>617</v>
      </c>
      <c r="AF405" s="4" t="s">
        <v>618</v>
      </c>
      <c r="AG405" s="4" t="s">
        <v>316</v>
      </c>
      <c r="AH405" s="4" t="s">
        <v>596</v>
      </c>
      <c r="AL405" s="4" t="s">
        <v>597</v>
      </c>
      <c r="BI405" s="4" t="s">
        <v>321</v>
      </c>
      <c r="BO405" s="4">
        <v>0.05</v>
      </c>
      <c r="BS405" s="4">
        <v>7.04</v>
      </c>
      <c r="BU405" s="4">
        <v>30</v>
      </c>
      <c r="BV405" s="4">
        <v>1440</v>
      </c>
      <c r="CB405" s="4" t="s">
        <v>372</v>
      </c>
      <c r="CD405" s="4">
        <v>1000</v>
      </c>
      <c r="DO405" s="4">
        <v>3</v>
      </c>
      <c r="EP405" s="27">
        <v>86.08</v>
      </c>
      <c r="EQ405" s="1">
        <v>3.47</v>
      </c>
      <c r="ES405" s="27">
        <v>86.08</v>
      </c>
    </row>
    <row r="406" customHeight="1" spans="1:149">
      <c r="A406" s="28">
        <v>12</v>
      </c>
      <c r="B406" s="4" t="s">
        <v>592</v>
      </c>
      <c r="C406" s="5" t="s">
        <v>620</v>
      </c>
      <c r="D406" s="4" t="s">
        <v>611</v>
      </c>
      <c r="H406" s="4" t="s">
        <v>328</v>
      </c>
      <c r="I406" s="4" t="s">
        <v>612</v>
      </c>
      <c r="Q406" s="4" t="s">
        <v>540</v>
      </c>
      <c r="AA406" s="4" t="s">
        <v>613</v>
      </c>
      <c r="AB406" s="4" t="s">
        <v>614</v>
      </c>
      <c r="AC406" s="4" t="s">
        <v>615</v>
      </c>
      <c r="AD406" s="4" t="s">
        <v>616</v>
      </c>
      <c r="AE406" s="4" t="s">
        <v>617</v>
      </c>
      <c r="AF406" s="4" t="s">
        <v>618</v>
      </c>
      <c r="AG406" s="4" t="s">
        <v>316</v>
      </c>
      <c r="AH406" s="4" t="s">
        <v>596</v>
      </c>
      <c r="AL406" s="4" t="s">
        <v>597</v>
      </c>
      <c r="BI406" s="4" t="s">
        <v>321</v>
      </c>
      <c r="BO406" s="4">
        <v>0.05</v>
      </c>
      <c r="BS406" s="4">
        <v>3</v>
      </c>
      <c r="BU406" s="4">
        <v>30</v>
      </c>
      <c r="BV406" s="4">
        <v>1440</v>
      </c>
      <c r="CB406" s="4" t="s">
        <v>372</v>
      </c>
      <c r="CD406" s="4">
        <v>394</v>
      </c>
      <c r="DO406" s="4">
        <v>3</v>
      </c>
      <c r="EP406" s="4">
        <v>58.49</v>
      </c>
      <c r="EQ406" s="1">
        <v>0.72</v>
      </c>
      <c r="ES406" s="4">
        <v>58.49</v>
      </c>
    </row>
    <row r="407" customHeight="1" spans="1:149">
      <c r="A407" s="28">
        <v>12</v>
      </c>
      <c r="B407" s="4" t="s">
        <v>592</v>
      </c>
      <c r="C407" s="5" t="s">
        <v>620</v>
      </c>
      <c r="D407" s="4" t="s">
        <v>611</v>
      </c>
      <c r="H407" s="4" t="s">
        <v>328</v>
      </c>
      <c r="I407" s="4" t="s">
        <v>612</v>
      </c>
      <c r="Q407" s="4" t="s">
        <v>540</v>
      </c>
      <c r="AA407" s="4" t="s">
        <v>613</v>
      </c>
      <c r="AB407" s="4" t="s">
        <v>614</v>
      </c>
      <c r="AC407" s="4" t="s">
        <v>615</v>
      </c>
      <c r="AD407" s="4" t="s">
        <v>616</v>
      </c>
      <c r="AE407" s="4" t="s">
        <v>617</v>
      </c>
      <c r="AF407" s="4" t="s">
        <v>618</v>
      </c>
      <c r="AG407" s="4" t="s">
        <v>316</v>
      </c>
      <c r="AH407" s="4" t="s">
        <v>596</v>
      </c>
      <c r="AL407" s="4" t="s">
        <v>597</v>
      </c>
      <c r="BI407" s="4" t="s">
        <v>321</v>
      </c>
      <c r="BO407" s="4">
        <v>0.05</v>
      </c>
      <c r="BS407" s="4">
        <v>5</v>
      </c>
      <c r="BU407" s="4">
        <v>30</v>
      </c>
      <c r="BV407" s="4">
        <v>1440</v>
      </c>
      <c r="CB407" s="4" t="s">
        <v>372</v>
      </c>
      <c r="CD407" s="4">
        <v>394</v>
      </c>
      <c r="DO407" s="4">
        <v>3</v>
      </c>
      <c r="EP407" s="4">
        <v>71.14</v>
      </c>
      <c r="EQ407" s="1">
        <v>0</v>
      </c>
      <c r="ES407" s="4">
        <v>71.14</v>
      </c>
    </row>
    <row r="408" customHeight="1" spans="1:149">
      <c r="A408" s="28">
        <v>12</v>
      </c>
      <c r="B408" s="4" t="s">
        <v>592</v>
      </c>
      <c r="C408" s="5" t="s">
        <v>620</v>
      </c>
      <c r="D408" s="4" t="s">
        <v>611</v>
      </c>
      <c r="H408" s="4" t="s">
        <v>328</v>
      </c>
      <c r="I408" s="4" t="s">
        <v>612</v>
      </c>
      <c r="Q408" s="4" t="s">
        <v>540</v>
      </c>
      <c r="AA408" s="4" t="s">
        <v>613</v>
      </c>
      <c r="AB408" s="4" t="s">
        <v>614</v>
      </c>
      <c r="AC408" s="4" t="s">
        <v>615</v>
      </c>
      <c r="AD408" s="4" t="s">
        <v>616</v>
      </c>
      <c r="AE408" s="4" t="s">
        <v>617</v>
      </c>
      <c r="AF408" s="4" t="s">
        <v>618</v>
      </c>
      <c r="AG408" s="4" t="s">
        <v>316</v>
      </c>
      <c r="AH408" s="4" t="s">
        <v>596</v>
      </c>
      <c r="AL408" s="4" t="s">
        <v>597</v>
      </c>
      <c r="BI408" s="4" t="s">
        <v>321</v>
      </c>
      <c r="BO408" s="4">
        <v>0.05</v>
      </c>
      <c r="BS408" s="4">
        <v>7</v>
      </c>
      <c r="BU408" s="4">
        <v>30</v>
      </c>
      <c r="BV408" s="4">
        <v>1440</v>
      </c>
      <c r="CB408" s="4" t="s">
        <v>372</v>
      </c>
      <c r="CD408" s="4">
        <v>394</v>
      </c>
      <c r="DO408" s="4">
        <v>3</v>
      </c>
      <c r="EP408" s="4">
        <v>94.03</v>
      </c>
      <c r="EQ408" s="1">
        <v>0.14</v>
      </c>
      <c r="ES408" s="4">
        <v>94.03</v>
      </c>
    </row>
    <row r="409" customHeight="1" spans="1:149">
      <c r="A409" s="28">
        <v>12</v>
      </c>
      <c r="B409" s="4" t="s">
        <v>592</v>
      </c>
      <c r="C409" s="5" t="s">
        <v>620</v>
      </c>
      <c r="D409" s="4" t="s">
        <v>611</v>
      </c>
      <c r="H409" s="4" t="s">
        <v>328</v>
      </c>
      <c r="I409" s="4" t="s">
        <v>612</v>
      </c>
      <c r="Q409" s="4" t="s">
        <v>540</v>
      </c>
      <c r="AA409" s="4" t="s">
        <v>613</v>
      </c>
      <c r="AB409" s="4" t="s">
        <v>614</v>
      </c>
      <c r="AC409" s="4" t="s">
        <v>615</v>
      </c>
      <c r="AD409" s="4" t="s">
        <v>616</v>
      </c>
      <c r="AE409" s="4" t="s">
        <v>617</v>
      </c>
      <c r="AF409" s="4" t="s">
        <v>618</v>
      </c>
      <c r="AG409" s="4" t="s">
        <v>316</v>
      </c>
      <c r="AH409" s="4" t="s">
        <v>596</v>
      </c>
      <c r="AL409" s="4" t="s">
        <v>597</v>
      </c>
      <c r="BI409" s="4" t="s">
        <v>321</v>
      </c>
      <c r="BO409" s="4">
        <v>0.05</v>
      </c>
      <c r="BS409" s="4">
        <v>10</v>
      </c>
      <c r="BU409" s="4">
        <v>30</v>
      </c>
      <c r="BV409" s="4">
        <v>1440</v>
      </c>
      <c r="CB409" s="4" t="s">
        <v>372</v>
      </c>
      <c r="CD409" s="4">
        <v>394</v>
      </c>
      <c r="DO409" s="4">
        <v>3</v>
      </c>
      <c r="EP409" s="4">
        <v>94.96</v>
      </c>
      <c r="ES409" s="4">
        <v>94.96</v>
      </c>
    </row>
    <row r="410" customHeight="1" spans="1:149">
      <c r="A410" s="28">
        <v>12</v>
      </c>
      <c r="B410" s="4" t="s">
        <v>592</v>
      </c>
      <c r="C410" s="33" t="s">
        <v>622</v>
      </c>
      <c r="D410" s="4" t="s">
        <v>611</v>
      </c>
      <c r="H410" s="4" t="s">
        <v>328</v>
      </c>
      <c r="I410" s="4" t="s">
        <v>612</v>
      </c>
      <c r="J410" s="4" t="s">
        <v>622</v>
      </c>
      <c r="AG410" s="4" t="s">
        <v>316</v>
      </c>
      <c r="AH410" s="4" t="s">
        <v>596</v>
      </c>
      <c r="AL410" s="4" t="s">
        <v>597</v>
      </c>
      <c r="BI410" s="4" t="s">
        <v>321</v>
      </c>
      <c r="BO410" s="4">
        <v>0.05</v>
      </c>
      <c r="BS410" s="4">
        <v>7.04</v>
      </c>
      <c r="BU410" s="4">
        <v>30</v>
      </c>
      <c r="BV410" s="4">
        <v>1440</v>
      </c>
      <c r="CB410" s="4" t="s">
        <v>372</v>
      </c>
      <c r="CD410" s="4">
        <v>394</v>
      </c>
      <c r="DO410" s="4">
        <v>3</v>
      </c>
      <c r="EP410" s="27">
        <v>96.43</v>
      </c>
      <c r="ES410" s="27">
        <v>96.43</v>
      </c>
    </row>
    <row r="411" customHeight="1" spans="1:149">
      <c r="A411" s="28">
        <v>12</v>
      </c>
      <c r="B411" s="4" t="s">
        <v>592</v>
      </c>
      <c r="C411" s="5" t="s">
        <v>620</v>
      </c>
      <c r="D411" s="4" t="s">
        <v>611</v>
      </c>
      <c r="H411" s="4" t="s">
        <v>328</v>
      </c>
      <c r="I411" s="4" t="s">
        <v>612</v>
      </c>
      <c r="J411" s="4" t="s">
        <v>620</v>
      </c>
      <c r="Q411" s="4" t="s">
        <v>540</v>
      </c>
      <c r="AA411" s="4" t="s">
        <v>613</v>
      </c>
      <c r="AB411" s="4" t="s">
        <v>614</v>
      </c>
      <c r="AC411" s="4" t="s">
        <v>615</v>
      </c>
      <c r="AD411" s="4" t="s">
        <v>616</v>
      </c>
      <c r="AE411" s="4" t="s">
        <v>617</v>
      </c>
      <c r="AF411" s="4" t="s">
        <v>618</v>
      </c>
      <c r="AG411" s="4" t="s">
        <v>316</v>
      </c>
      <c r="AH411" s="4" t="s">
        <v>596</v>
      </c>
      <c r="AL411" s="4" t="s">
        <v>597</v>
      </c>
      <c r="BI411" s="4" t="s">
        <v>321</v>
      </c>
      <c r="BO411" s="4">
        <v>0.05</v>
      </c>
      <c r="BS411" s="4">
        <v>7.04</v>
      </c>
      <c r="BU411" s="4">
        <v>30</v>
      </c>
      <c r="BV411" s="4">
        <v>1440</v>
      </c>
      <c r="CB411" s="4" t="s">
        <v>372</v>
      </c>
      <c r="CD411" s="4">
        <v>394</v>
      </c>
      <c r="DO411" s="4">
        <v>3</v>
      </c>
      <c r="EP411" s="27">
        <v>94.35</v>
      </c>
      <c r="ES411" s="27">
        <v>94.35</v>
      </c>
    </row>
    <row r="412" customHeight="1" spans="1:149">
      <c r="A412" s="28">
        <v>12</v>
      </c>
      <c r="B412" s="4" t="s">
        <v>592</v>
      </c>
      <c r="C412" s="34" t="s">
        <v>623</v>
      </c>
      <c r="D412" s="4" t="s">
        <v>611</v>
      </c>
      <c r="H412" s="4" t="s">
        <v>328</v>
      </c>
      <c r="I412" s="4" t="s">
        <v>612</v>
      </c>
      <c r="J412" s="4" t="s">
        <v>623</v>
      </c>
      <c r="Q412" s="4" t="s">
        <v>540</v>
      </c>
      <c r="AA412" s="4" t="s">
        <v>613</v>
      </c>
      <c r="AB412" s="4" t="s">
        <v>614</v>
      </c>
      <c r="AC412" s="4" t="s">
        <v>615</v>
      </c>
      <c r="AD412" s="4" t="s">
        <v>616</v>
      </c>
      <c r="AE412" s="4" t="s">
        <v>617</v>
      </c>
      <c r="AF412" s="4" t="s">
        <v>618</v>
      </c>
      <c r="AG412" s="4" t="s">
        <v>316</v>
      </c>
      <c r="AH412" s="4" t="s">
        <v>596</v>
      </c>
      <c r="AL412" s="4" t="s">
        <v>597</v>
      </c>
      <c r="BI412" s="4" t="s">
        <v>321</v>
      </c>
      <c r="BO412" s="4">
        <v>0.05</v>
      </c>
      <c r="BS412" s="4">
        <v>7.04</v>
      </c>
      <c r="BU412" s="4">
        <v>30</v>
      </c>
      <c r="BV412" s="4">
        <v>1440</v>
      </c>
      <c r="CB412" s="4" t="s">
        <v>372</v>
      </c>
      <c r="CD412" s="4">
        <v>394</v>
      </c>
      <c r="DO412" s="4">
        <v>3</v>
      </c>
      <c r="EP412" s="27">
        <v>93.91</v>
      </c>
      <c r="ES412" s="27">
        <v>93.91</v>
      </c>
    </row>
    <row r="413" customHeight="1" spans="1:149">
      <c r="A413" s="28">
        <v>12</v>
      </c>
      <c r="B413" s="4" t="s">
        <v>592</v>
      </c>
      <c r="C413" s="34" t="s">
        <v>624</v>
      </c>
      <c r="D413" s="4" t="s">
        <v>611</v>
      </c>
      <c r="H413" s="4" t="s">
        <v>328</v>
      </c>
      <c r="I413" s="4" t="s">
        <v>612</v>
      </c>
      <c r="J413" s="4" t="s">
        <v>624</v>
      </c>
      <c r="Q413" s="4" t="s">
        <v>540</v>
      </c>
      <c r="AA413" s="4" t="s">
        <v>613</v>
      </c>
      <c r="AB413" s="4" t="s">
        <v>614</v>
      </c>
      <c r="AC413" s="4" t="s">
        <v>615</v>
      </c>
      <c r="AD413" s="4" t="s">
        <v>616</v>
      </c>
      <c r="AE413" s="4" t="s">
        <v>617</v>
      </c>
      <c r="AF413" s="4" t="s">
        <v>618</v>
      </c>
      <c r="AG413" s="4" t="s">
        <v>316</v>
      </c>
      <c r="AH413" s="4" t="s">
        <v>596</v>
      </c>
      <c r="AL413" s="4" t="s">
        <v>597</v>
      </c>
      <c r="BI413" s="4" t="s">
        <v>321</v>
      </c>
      <c r="BO413" s="4">
        <v>0.05</v>
      </c>
      <c r="BS413" s="4">
        <v>7.04</v>
      </c>
      <c r="BU413" s="4">
        <v>30</v>
      </c>
      <c r="BV413" s="4">
        <v>1440</v>
      </c>
      <c r="CB413" s="4" t="s">
        <v>372</v>
      </c>
      <c r="CD413" s="4">
        <v>394</v>
      </c>
      <c r="DO413" s="4">
        <v>3</v>
      </c>
      <c r="EP413" s="27">
        <v>92.12</v>
      </c>
      <c r="ES413" s="27">
        <v>92.12</v>
      </c>
    </row>
    <row r="414" customHeight="1" spans="1:149">
      <c r="A414" s="28">
        <v>12</v>
      </c>
      <c r="B414" s="4" t="s">
        <v>592</v>
      </c>
      <c r="C414" s="5" t="s">
        <v>620</v>
      </c>
      <c r="D414" s="4" t="s">
        <v>611</v>
      </c>
      <c r="H414" s="4" t="s">
        <v>328</v>
      </c>
      <c r="I414" s="4" t="s">
        <v>612</v>
      </c>
      <c r="J414" s="4" t="s">
        <v>620</v>
      </c>
      <c r="Q414" s="4" t="s">
        <v>540</v>
      </c>
      <c r="AA414" s="4" t="s">
        <v>613</v>
      </c>
      <c r="AB414" s="4" t="s">
        <v>614</v>
      </c>
      <c r="AC414" s="4" t="s">
        <v>615</v>
      </c>
      <c r="AD414" s="4" t="s">
        <v>616</v>
      </c>
      <c r="AE414" s="4" t="s">
        <v>617</v>
      </c>
      <c r="AF414" s="4" t="s">
        <v>618</v>
      </c>
      <c r="AG414" s="4" t="s">
        <v>316</v>
      </c>
      <c r="AH414" s="4" t="s">
        <v>596</v>
      </c>
      <c r="AL414" s="4" t="s">
        <v>597</v>
      </c>
      <c r="BI414" s="4" t="s">
        <v>321</v>
      </c>
      <c r="BO414" s="4">
        <v>0</v>
      </c>
      <c r="BS414" s="4">
        <v>7.04</v>
      </c>
      <c r="BV414" s="4">
        <v>1440</v>
      </c>
      <c r="DO414" s="4">
        <v>3</v>
      </c>
      <c r="EH414" s="4">
        <v>79.05</v>
      </c>
    </row>
    <row r="415" customHeight="1" spans="1:149">
      <c r="A415" s="28">
        <v>12</v>
      </c>
      <c r="B415" s="4" t="s">
        <v>592</v>
      </c>
      <c r="C415" s="5" t="s">
        <v>620</v>
      </c>
      <c r="D415" s="4" t="s">
        <v>611</v>
      </c>
      <c r="H415" s="4" t="s">
        <v>328</v>
      </c>
      <c r="I415" s="4" t="s">
        <v>612</v>
      </c>
      <c r="J415" s="4" t="s">
        <v>620</v>
      </c>
      <c r="Q415" s="4" t="s">
        <v>540</v>
      </c>
      <c r="AA415" s="4" t="s">
        <v>613</v>
      </c>
      <c r="AB415" s="4" t="s">
        <v>614</v>
      </c>
      <c r="AC415" s="4" t="s">
        <v>615</v>
      </c>
      <c r="AD415" s="4" t="s">
        <v>616</v>
      </c>
      <c r="AE415" s="4" t="s">
        <v>617</v>
      </c>
      <c r="AF415" s="4" t="s">
        <v>618</v>
      </c>
      <c r="AG415" s="4" t="s">
        <v>316</v>
      </c>
      <c r="AH415" s="4" t="s">
        <v>596</v>
      </c>
      <c r="AL415" s="4" t="s">
        <v>597</v>
      </c>
      <c r="BI415" s="4" t="s">
        <v>321</v>
      </c>
      <c r="BO415" s="4">
        <v>0.05</v>
      </c>
      <c r="BS415" s="4">
        <v>7.04</v>
      </c>
      <c r="BV415" s="4">
        <v>1440</v>
      </c>
      <c r="DO415" s="4">
        <v>3</v>
      </c>
      <c r="EF415" s="4">
        <v>79.05</v>
      </c>
      <c r="EH415" s="4">
        <v>2.3</v>
      </c>
      <c r="ER415" s="1">
        <f>(EF415-EH415)/EF415*100</f>
        <v>97.090449082859</v>
      </c>
      <c r="ES415" s="1">
        <v>97.090449082859</v>
      </c>
    </row>
    <row r="416" customHeight="1" spans="1:149">
      <c r="A416" s="28">
        <v>12</v>
      </c>
      <c r="B416" s="4" t="s">
        <v>592</v>
      </c>
      <c r="C416" s="5" t="s">
        <v>620</v>
      </c>
      <c r="D416" s="4" t="s">
        <v>611</v>
      </c>
      <c r="H416" s="4" t="s">
        <v>328</v>
      </c>
      <c r="I416" s="4" t="s">
        <v>612</v>
      </c>
      <c r="J416" s="4" t="s">
        <v>620</v>
      </c>
      <c r="Q416" s="4" t="s">
        <v>540</v>
      </c>
      <c r="AA416" s="4" t="s">
        <v>613</v>
      </c>
      <c r="AB416" s="4" t="s">
        <v>614</v>
      </c>
      <c r="AC416" s="4" t="s">
        <v>615</v>
      </c>
      <c r="AD416" s="4" t="s">
        <v>616</v>
      </c>
      <c r="AE416" s="4" t="s">
        <v>617</v>
      </c>
      <c r="AF416" s="4" t="s">
        <v>618</v>
      </c>
      <c r="AG416" s="4" t="s">
        <v>316</v>
      </c>
      <c r="AH416" s="4" t="s">
        <v>596</v>
      </c>
      <c r="AL416" s="4" t="s">
        <v>597</v>
      </c>
      <c r="DO416" s="4">
        <v>3</v>
      </c>
    </row>
    <row r="417" customHeight="1" spans="1:313">
      <c r="A417" s="28">
        <v>12</v>
      </c>
      <c r="B417" s="4" t="s">
        <v>592</v>
      </c>
      <c r="C417" s="5" t="s">
        <v>620</v>
      </c>
      <c r="D417" s="4" t="s">
        <v>611</v>
      </c>
      <c r="H417" s="4" t="s">
        <v>328</v>
      </c>
      <c r="I417" s="4" t="s">
        <v>612</v>
      </c>
      <c r="J417" s="4" t="s">
        <v>620</v>
      </c>
      <c r="Q417" s="4" t="s">
        <v>540</v>
      </c>
      <c r="AA417" s="4" t="s">
        <v>613</v>
      </c>
      <c r="AB417" s="4" t="s">
        <v>614</v>
      </c>
      <c r="AC417" s="4" t="s">
        <v>615</v>
      </c>
      <c r="AD417" s="4" t="s">
        <v>616</v>
      </c>
      <c r="AE417" s="4" t="s">
        <v>617</v>
      </c>
      <c r="AF417" s="4" t="s">
        <v>618</v>
      </c>
      <c r="AG417" s="4" t="s">
        <v>316</v>
      </c>
      <c r="AH417" s="4" t="s">
        <v>596</v>
      </c>
      <c r="AL417" s="4" t="s">
        <v>597</v>
      </c>
      <c r="DO417" s="4">
        <v>3</v>
      </c>
    </row>
    <row r="418" customHeight="1" spans="1:313">
      <c r="A418" s="28">
        <v>12</v>
      </c>
      <c r="B418" s="4" t="s">
        <v>592</v>
      </c>
      <c r="C418" s="5" t="s">
        <v>620</v>
      </c>
      <c r="D418" s="4" t="s">
        <v>611</v>
      </c>
      <c r="H418" s="4" t="s">
        <v>328</v>
      </c>
      <c r="I418" s="4" t="s">
        <v>612</v>
      </c>
      <c r="J418" s="4" t="s">
        <v>620</v>
      </c>
      <c r="Q418" s="4" t="s">
        <v>540</v>
      </c>
      <c r="AA418" s="4" t="s">
        <v>613</v>
      </c>
      <c r="AB418" s="4" t="s">
        <v>614</v>
      </c>
      <c r="AC418" s="4" t="s">
        <v>615</v>
      </c>
      <c r="AD418" s="4" t="s">
        <v>616</v>
      </c>
      <c r="AE418" s="4" t="s">
        <v>617</v>
      </c>
      <c r="AF418" s="4" t="s">
        <v>618</v>
      </c>
      <c r="AG418" s="4" t="s">
        <v>316</v>
      </c>
      <c r="AH418" s="4" t="s">
        <v>596</v>
      </c>
      <c r="AL418" s="4" t="s">
        <v>597</v>
      </c>
      <c r="DO418" s="4">
        <v>3</v>
      </c>
    </row>
    <row r="419" customHeight="1" spans="1:313">
      <c r="A419" s="28">
        <v>12</v>
      </c>
      <c r="B419" s="4" t="s">
        <v>592</v>
      </c>
      <c r="C419" s="5" t="s">
        <v>620</v>
      </c>
      <c r="D419" s="4" t="s">
        <v>611</v>
      </c>
      <c r="H419" s="4" t="s">
        <v>328</v>
      </c>
      <c r="I419" s="4" t="s">
        <v>612</v>
      </c>
      <c r="J419" s="4" t="s">
        <v>620</v>
      </c>
      <c r="Q419" s="4" t="s">
        <v>540</v>
      </c>
      <c r="AA419" s="4" t="s">
        <v>613</v>
      </c>
      <c r="AB419" s="4" t="s">
        <v>614</v>
      </c>
      <c r="AC419" s="4" t="s">
        <v>615</v>
      </c>
      <c r="AD419" s="4" t="s">
        <v>616</v>
      </c>
      <c r="AE419" s="4" t="s">
        <v>617</v>
      </c>
      <c r="AF419" s="4" t="s">
        <v>618</v>
      </c>
      <c r="AG419" s="4" t="s">
        <v>316</v>
      </c>
      <c r="AH419" s="4" t="s">
        <v>596</v>
      </c>
      <c r="AL419" s="4" t="s">
        <v>597</v>
      </c>
      <c r="DO419" s="4">
        <v>3</v>
      </c>
    </row>
    <row r="420" customHeight="1" spans="1:313">
      <c r="A420" s="3">
        <v>13</v>
      </c>
      <c r="B420" s="4" t="s">
        <v>625</v>
      </c>
      <c r="C420" s="5" t="s">
        <v>626</v>
      </c>
      <c r="D420" s="4" t="s">
        <v>300</v>
      </c>
      <c r="H420" s="4" t="s">
        <v>328</v>
      </c>
      <c r="I420" s="4" t="s">
        <v>627</v>
      </c>
      <c r="N420" s="4" t="s">
        <v>628</v>
      </c>
      <c r="O420" s="4" t="s">
        <v>502</v>
      </c>
      <c r="T420" s="4">
        <v>287.27</v>
      </c>
      <c r="U420" s="4">
        <v>0.39</v>
      </c>
      <c r="V420" s="4">
        <v>3.8</v>
      </c>
      <c r="AB420" s="4" t="s">
        <v>629</v>
      </c>
      <c r="AC420" s="4" t="s">
        <v>630</v>
      </c>
      <c r="AD420" s="4" t="s">
        <v>631</v>
      </c>
      <c r="AE420" s="4" t="s">
        <v>632</v>
      </c>
      <c r="AF420" s="63" t="s">
        <v>633</v>
      </c>
      <c r="BI420" s="4" t="s">
        <v>309</v>
      </c>
      <c r="BJ420" s="4" t="s">
        <v>634</v>
      </c>
      <c r="BN420" s="4">
        <v>0.6</v>
      </c>
      <c r="BU420" s="4">
        <v>200</v>
      </c>
      <c r="BV420" s="4" t="s">
        <v>635</v>
      </c>
      <c r="CB420" s="4" t="s">
        <v>464</v>
      </c>
      <c r="CC420" s="4">
        <v>40</v>
      </c>
      <c r="CV420" s="4">
        <v>120</v>
      </c>
      <c r="CX420" s="4" t="s">
        <v>314</v>
      </c>
      <c r="DO420" s="4">
        <v>3</v>
      </c>
      <c r="KZ420" s="1" t="s">
        <v>12</v>
      </c>
      <c r="LA420" s="1" t="s">
        <v>636</v>
      </c>
    </row>
    <row r="421" customHeight="1" spans="1:313">
      <c r="A421" s="3">
        <v>13</v>
      </c>
      <c r="B421" s="4" t="s">
        <v>625</v>
      </c>
      <c r="C421" s="5" t="s">
        <v>626</v>
      </c>
      <c r="D421" s="4" t="s">
        <v>300</v>
      </c>
      <c r="H421" s="4" t="s">
        <v>328</v>
      </c>
      <c r="I421" s="4" t="s">
        <v>627</v>
      </c>
      <c r="N421" s="4" t="s">
        <v>628</v>
      </c>
      <c r="O421" s="4" t="s">
        <v>502</v>
      </c>
      <c r="T421" s="4">
        <v>287.27</v>
      </c>
      <c r="U421" s="4">
        <v>0.39</v>
      </c>
      <c r="V421" s="4">
        <v>3.8</v>
      </c>
      <c r="AB421" s="4" t="s">
        <v>629</v>
      </c>
      <c r="AC421" s="4" t="s">
        <v>630</v>
      </c>
      <c r="AD421" s="4" t="s">
        <v>631</v>
      </c>
      <c r="AE421" s="4" t="s">
        <v>632</v>
      </c>
      <c r="AF421" s="63" t="s">
        <v>633</v>
      </c>
      <c r="BI421" s="4" t="s">
        <v>309</v>
      </c>
      <c r="BJ421" s="4" t="s">
        <v>634</v>
      </c>
      <c r="BN421" s="4">
        <v>1</v>
      </c>
      <c r="BU421" s="4">
        <v>200</v>
      </c>
      <c r="BV421" s="4" t="s">
        <v>635</v>
      </c>
      <c r="CB421" s="4" t="s">
        <v>496</v>
      </c>
      <c r="CC421" s="4">
        <v>8</v>
      </c>
      <c r="CV421" s="4">
        <v>10</v>
      </c>
      <c r="CX421" s="4" t="s">
        <v>637</v>
      </c>
      <c r="DO421" s="4">
        <v>3</v>
      </c>
      <c r="KZ421" s="1" t="s">
        <v>507</v>
      </c>
      <c r="LA421" s="1" t="s">
        <v>638</v>
      </c>
    </row>
    <row r="422" customHeight="1" spans="1:313">
      <c r="A422" s="3">
        <v>13</v>
      </c>
      <c r="B422" s="4" t="s">
        <v>625</v>
      </c>
      <c r="C422" s="5" t="s">
        <v>626</v>
      </c>
      <c r="D422" s="4" t="s">
        <v>300</v>
      </c>
      <c r="H422" s="4" t="s">
        <v>328</v>
      </c>
      <c r="I422" s="4" t="s">
        <v>627</v>
      </c>
      <c r="N422" s="4" t="s">
        <v>628</v>
      </c>
      <c r="O422" s="4" t="s">
        <v>502</v>
      </c>
      <c r="T422" s="4">
        <v>287.27</v>
      </c>
      <c r="U422" s="4">
        <v>0.39</v>
      </c>
      <c r="V422" s="4">
        <v>3.8</v>
      </c>
      <c r="AB422" s="4" t="s">
        <v>629</v>
      </c>
      <c r="AC422" s="4" t="s">
        <v>630</v>
      </c>
      <c r="AD422" s="4" t="s">
        <v>631</v>
      </c>
      <c r="AE422" s="4" t="s">
        <v>632</v>
      </c>
      <c r="AF422" s="63" t="s">
        <v>633</v>
      </c>
      <c r="BI422" s="4" t="s">
        <v>309</v>
      </c>
      <c r="BN422" s="4">
        <v>0.6</v>
      </c>
      <c r="BU422" s="4">
        <v>200</v>
      </c>
      <c r="BV422" s="4">
        <v>480</v>
      </c>
      <c r="CC422" s="4" t="s">
        <v>639</v>
      </c>
      <c r="DB422" s="4" t="s">
        <v>312</v>
      </c>
      <c r="DC422" s="4" t="s">
        <v>640</v>
      </c>
      <c r="DE422" s="4">
        <v>91.53</v>
      </c>
      <c r="DO422" s="4">
        <v>3</v>
      </c>
      <c r="GT422" s="1">
        <v>91.53</v>
      </c>
    </row>
    <row r="423" customHeight="1" spans="1:313">
      <c r="A423" s="3">
        <v>13</v>
      </c>
      <c r="B423" s="4" t="s">
        <v>625</v>
      </c>
      <c r="C423" s="5" t="s">
        <v>626</v>
      </c>
      <c r="D423" s="4" t="s">
        <v>300</v>
      </c>
      <c r="H423" s="4" t="s">
        <v>328</v>
      </c>
      <c r="I423" s="4" t="s">
        <v>627</v>
      </c>
      <c r="N423" s="4" t="s">
        <v>628</v>
      </c>
      <c r="O423" s="4" t="s">
        <v>502</v>
      </c>
      <c r="T423" s="4">
        <v>287.27</v>
      </c>
      <c r="U423" s="4">
        <v>0.39</v>
      </c>
      <c r="V423" s="4">
        <v>3.8</v>
      </c>
      <c r="AB423" s="4" t="s">
        <v>629</v>
      </c>
      <c r="AC423" s="4" t="s">
        <v>630</v>
      </c>
      <c r="AD423" s="4" t="s">
        <v>631</v>
      </c>
      <c r="AE423" s="4" t="s">
        <v>632</v>
      </c>
      <c r="AF423" s="63" t="s">
        <v>633</v>
      </c>
      <c r="BF423" s="35"/>
      <c r="BG423" s="35"/>
      <c r="BH423" s="35"/>
      <c r="BI423" s="4" t="s">
        <v>309</v>
      </c>
      <c r="BN423" s="4">
        <v>1</v>
      </c>
      <c r="BU423" s="4">
        <v>200</v>
      </c>
      <c r="BV423" s="4">
        <v>480</v>
      </c>
      <c r="CC423" s="4" t="s">
        <v>641</v>
      </c>
      <c r="DB423" s="4" t="s">
        <v>312</v>
      </c>
      <c r="DC423" s="4" t="s">
        <v>640</v>
      </c>
      <c r="DE423" s="4">
        <v>7.25</v>
      </c>
      <c r="DO423" s="4">
        <v>3</v>
      </c>
      <c r="JJ423" s="35"/>
      <c r="JK423" s="35"/>
      <c r="JL423" s="35"/>
      <c r="JM423" s="35"/>
      <c r="JN423" s="35"/>
      <c r="JO423" s="35"/>
      <c r="JP423" s="35"/>
      <c r="JQ423" s="35"/>
      <c r="JR423" s="35"/>
      <c r="JS423" s="35"/>
      <c r="JT423" s="35"/>
      <c r="JU423" s="35"/>
      <c r="JV423" s="35"/>
      <c r="JW423" s="35"/>
      <c r="JX423" s="35"/>
      <c r="JY423" s="35"/>
      <c r="JZ423" s="35"/>
      <c r="KA423" s="35"/>
      <c r="KB423" s="35"/>
      <c r="KC423" s="35"/>
      <c r="KD423" s="35"/>
      <c r="KE423" s="35"/>
      <c r="KF423" s="35"/>
      <c r="KG423" s="35"/>
      <c r="KH423" s="35"/>
      <c r="KI423" s="35"/>
      <c r="KJ423" s="35"/>
      <c r="KK423" s="35"/>
      <c r="KL423" s="35"/>
      <c r="KM423" s="35"/>
      <c r="KN423" s="35"/>
      <c r="KO423" s="35"/>
      <c r="KP423" s="35"/>
      <c r="KQ423" s="35"/>
      <c r="KR423" s="35"/>
      <c r="KS423" s="35"/>
      <c r="KT423" s="35"/>
      <c r="KU423" s="35"/>
      <c r="KV423" s="35"/>
      <c r="KW423" s="35"/>
      <c r="KX423" s="35"/>
      <c r="KY423" s="35"/>
      <c r="KZ423" s="35"/>
      <c r="LA423" s="35"/>
    </row>
    <row r="424" customHeight="1" spans="1:313">
      <c r="A424" s="3">
        <v>13</v>
      </c>
      <c r="B424" s="4" t="s">
        <v>625</v>
      </c>
      <c r="C424" s="5" t="s">
        <v>626</v>
      </c>
      <c r="D424" s="4" t="s">
        <v>300</v>
      </c>
      <c r="H424" s="4" t="s">
        <v>328</v>
      </c>
      <c r="I424" s="4" t="s">
        <v>627</v>
      </c>
      <c r="N424" s="4" t="s">
        <v>628</v>
      </c>
      <c r="O424" s="4" t="s">
        <v>502</v>
      </c>
      <c r="T424" s="4">
        <v>287.27</v>
      </c>
      <c r="U424" s="4">
        <v>0.39</v>
      </c>
      <c r="V424" s="4">
        <v>3.8</v>
      </c>
      <c r="AB424" s="4" t="s">
        <v>629</v>
      </c>
      <c r="AC424" s="4" t="s">
        <v>630</v>
      </c>
      <c r="AD424" s="4" t="s">
        <v>631</v>
      </c>
      <c r="AE424" s="4" t="s">
        <v>632</v>
      </c>
      <c r="AF424" s="63" t="s">
        <v>633</v>
      </c>
      <c r="AH424" s="4" t="s">
        <v>394</v>
      </c>
      <c r="AI424" s="4" t="s">
        <v>642</v>
      </c>
      <c r="AL424" s="4" t="s">
        <v>643</v>
      </c>
      <c r="BD424" s="4" t="s">
        <v>644</v>
      </c>
      <c r="BI424" s="4" t="s">
        <v>321</v>
      </c>
      <c r="BL424" s="4">
        <v>200</v>
      </c>
      <c r="BP424" s="4">
        <v>0</v>
      </c>
      <c r="BW424" s="4">
        <v>25</v>
      </c>
      <c r="BX424" s="4" t="s">
        <v>645</v>
      </c>
      <c r="CB424" s="4" t="s">
        <v>646</v>
      </c>
      <c r="CE424" s="4" t="s">
        <v>647</v>
      </c>
      <c r="DO424" s="4">
        <v>3</v>
      </c>
      <c r="FJ424" s="1">
        <v>70.18</v>
      </c>
      <c r="FL424" s="27" t="s">
        <v>648</v>
      </c>
      <c r="FM424" s="1">
        <v>1.62</v>
      </c>
      <c r="FV424" s="1" t="e">
        <f>(FJ424-FL424)/FJ424*100</f>
        <v>#VALUE!</v>
      </c>
      <c r="FW424" s="1">
        <v>0</v>
      </c>
      <c r="GN424" s="1">
        <v>3625.5</v>
      </c>
      <c r="GP424" s="1" t="s">
        <v>649</v>
      </c>
      <c r="GQ424" s="1">
        <v>2.16</v>
      </c>
      <c r="GZ424" s="1" t="e">
        <f>(GN424-GP424)/GN424*100</f>
        <v>#VALUE!</v>
      </c>
      <c r="HA424" s="1">
        <v>0</v>
      </c>
    </row>
    <row r="425" customHeight="1" spans="1:313">
      <c r="A425" s="3">
        <v>13</v>
      </c>
      <c r="B425" s="4" t="s">
        <v>625</v>
      </c>
      <c r="C425" s="5" t="s">
        <v>626</v>
      </c>
      <c r="D425" s="4" t="s">
        <v>300</v>
      </c>
      <c r="H425" s="4" t="s">
        <v>328</v>
      </c>
      <c r="I425" s="4" t="s">
        <v>627</v>
      </c>
      <c r="N425" s="4" t="s">
        <v>628</v>
      </c>
      <c r="O425" s="4" t="s">
        <v>502</v>
      </c>
      <c r="T425" s="4">
        <v>287.27</v>
      </c>
      <c r="U425" s="4">
        <v>0.39</v>
      </c>
      <c r="V425" s="4">
        <v>3.8</v>
      </c>
      <c r="AB425" s="4" t="s">
        <v>629</v>
      </c>
      <c r="AC425" s="4" t="s">
        <v>630</v>
      </c>
      <c r="AD425" s="4" t="s">
        <v>631</v>
      </c>
      <c r="AE425" s="4" t="s">
        <v>632</v>
      </c>
      <c r="AF425" s="63" t="s">
        <v>633</v>
      </c>
      <c r="AH425" s="4" t="s">
        <v>394</v>
      </c>
      <c r="AI425" s="4" t="s">
        <v>642</v>
      </c>
      <c r="AL425" s="4" t="s">
        <v>643</v>
      </c>
      <c r="BD425" s="4" t="s">
        <v>644</v>
      </c>
      <c r="BI425" s="4" t="s">
        <v>321</v>
      </c>
      <c r="BL425" s="4">
        <v>200</v>
      </c>
      <c r="BP425" s="4">
        <v>0.1</v>
      </c>
      <c r="BW425" s="4">
        <v>25</v>
      </c>
      <c r="BX425" s="4" t="s">
        <v>645</v>
      </c>
      <c r="CB425" s="4" t="s">
        <v>646</v>
      </c>
      <c r="CE425" s="4" t="s">
        <v>647</v>
      </c>
      <c r="DO425" s="4">
        <v>3</v>
      </c>
      <c r="FJ425" s="1">
        <v>70.18</v>
      </c>
      <c r="FL425" s="27">
        <v>64.27</v>
      </c>
      <c r="FM425" s="1">
        <v>0.49</v>
      </c>
      <c r="FV425" s="1">
        <f>(FJ425-FL425)/FJ425*100</f>
        <v>8.4212026218296</v>
      </c>
      <c r="FW425" s="1">
        <v>8.4212026218296</v>
      </c>
      <c r="GN425" s="1">
        <v>3625.5</v>
      </c>
      <c r="GP425" s="1">
        <v>2334.66135458167</v>
      </c>
      <c r="GQ425" s="1">
        <v>9.37</v>
      </c>
      <c r="GZ425" s="1">
        <f>(GN425-GP425)/GN425*100</f>
        <v>35.6044309865765</v>
      </c>
      <c r="HA425" s="1">
        <v>35.6044309865765</v>
      </c>
    </row>
    <row r="426" customHeight="1" spans="1:313">
      <c r="A426" s="3">
        <v>13</v>
      </c>
      <c r="B426" s="4" t="s">
        <v>625</v>
      </c>
      <c r="C426" s="5" t="s">
        <v>626</v>
      </c>
      <c r="D426" s="4" t="s">
        <v>300</v>
      </c>
      <c r="H426" s="4" t="s">
        <v>328</v>
      </c>
      <c r="I426" s="4" t="s">
        <v>627</v>
      </c>
      <c r="N426" s="4" t="s">
        <v>628</v>
      </c>
      <c r="O426" s="4" t="s">
        <v>502</v>
      </c>
      <c r="T426" s="4">
        <v>287.27</v>
      </c>
      <c r="U426" s="4">
        <v>0.39</v>
      </c>
      <c r="V426" s="4">
        <v>3.8</v>
      </c>
      <c r="AB426" s="4" t="s">
        <v>629</v>
      </c>
      <c r="AC426" s="4" t="s">
        <v>630</v>
      </c>
      <c r="AD426" s="4" t="s">
        <v>631</v>
      </c>
      <c r="AE426" s="4" t="s">
        <v>632</v>
      </c>
      <c r="AF426" s="63" t="s">
        <v>633</v>
      </c>
      <c r="AH426" s="4" t="s">
        <v>394</v>
      </c>
      <c r="AI426" s="4" t="s">
        <v>642</v>
      </c>
      <c r="AL426" s="4" t="s">
        <v>643</v>
      </c>
      <c r="BD426" s="4" t="s">
        <v>644</v>
      </c>
      <c r="BI426" s="4" t="s">
        <v>321</v>
      </c>
      <c r="BL426" s="4">
        <v>200</v>
      </c>
      <c r="BP426" s="4">
        <v>0.5</v>
      </c>
      <c r="BW426" s="4">
        <v>25</v>
      </c>
      <c r="BX426" s="4" t="s">
        <v>645</v>
      </c>
      <c r="CB426" s="4" t="s">
        <v>646</v>
      </c>
      <c r="CE426" s="4" t="s">
        <v>647</v>
      </c>
      <c r="DO426" s="4">
        <v>3</v>
      </c>
      <c r="FJ426" s="1">
        <v>70.18</v>
      </c>
      <c r="FL426" s="27">
        <v>63.2</v>
      </c>
      <c r="FM426" s="1">
        <v>1.94</v>
      </c>
      <c r="FV426" s="1">
        <f>(FJ426-FL426)/FJ426*100</f>
        <v>9.94585351952124</v>
      </c>
      <c r="FW426" s="1">
        <v>9.94585351952124</v>
      </c>
      <c r="GN426" s="1">
        <v>3625.5</v>
      </c>
      <c r="GP426" s="1">
        <v>2000</v>
      </c>
      <c r="GQ426" s="1">
        <v>2.16</v>
      </c>
      <c r="GZ426" s="1">
        <f>(GN426-GP426)/GN426*100</f>
        <v>44.8351951454972</v>
      </c>
      <c r="HA426" s="1">
        <v>44.8351951454972</v>
      </c>
    </row>
    <row r="427" customHeight="1" spans="1:313">
      <c r="A427" s="3">
        <v>13</v>
      </c>
      <c r="B427" s="4" t="s">
        <v>625</v>
      </c>
      <c r="C427" s="5" t="s">
        <v>626</v>
      </c>
      <c r="D427" s="4" t="s">
        <v>300</v>
      </c>
      <c r="H427" s="4" t="s">
        <v>328</v>
      </c>
      <c r="I427" s="4" t="s">
        <v>627</v>
      </c>
      <c r="N427" s="4" t="s">
        <v>628</v>
      </c>
      <c r="O427" s="4" t="s">
        <v>502</v>
      </c>
      <c r="T427" s="4">
        <v>287.27</v>
      </c>
      <c r="U427" s="4">
        <v>0.39</v>
      </c>
      <c r="V427" s="4">
        <v>3.8</v>
      </c>
      <c r="AB427" s="4" t="s">
        <v>629</v>
      </c>
      <c r="AC427" s="4" t="s">
        <v>630</v>
      </c>
      <c r="AD427" s="4" t="s">
        <v>631</v>
      </c>
      <c r="AE427" s="4" t="s">
        <v>632</v>
      </c>
      <c r="AF427" s="63" t="s">
        <v>633</v>
      </c>
      <c r="AH427" s="4" t="s">
        <v>394</v>
      </c>
      <c r="AI427" s="4" t="s">
        <v>642</v>
      </c>
      <c r="AL427" s="4" t="s">
        <v>643</v>
      </c>
      <c r="BD427" s="4" t="s">
        <v>644</v>
      </c>
      <c r="BI427" s="4" t="s">
        <v>321</v>
      </c>
      <c r="BL427" s="4">
        <v>200</v>
      </c>
      <c r="BP427" s="4">
        <v>1</v>
      </c>
      <c r="BW427" s="4">
        <v>25</v>
      </c>
      <c r="BX427" s="4" t="s">
        <v>645</v>
      </c>
      <c r="CB427" s="4" t="s">
        <v>646</v>
      </c>
      <c r="CE427" s="4" t="s">
        <v>647</v>
      </c>
      <c r="DO427" s="4">
        <v>3</v>
      </c>
      <c r="FJ427" s="1">
        <v>70.18</v>
      </c>
      <c r="FL427" s="27">
        <v>61.5</v>
      </c>
      <c r="FM427" s="1">
        <v>4.94</v>
      </c>
      <c r="FV427" s="1">
        <f>(FJ427-FL427)/FJ427*100</f>
        <v>12.3681960672556</v>
      </c>
      <c r="FW427" s="1">
        <v>12.3681960672556</v>
      </c>
      <c r="GN427" s="1">
        <v>3625.5</v>
      </c>
      <c r="GP427" s="1">
        <v>1657.37051792828</v>
      </c>
      <c r="GQ427" s="1">
        <v>2.16</v>
      </c>
      <c r="GZ427" s="1">
        <f>(GN427-GP427)/GN427*100</f>
        <v>54.2857394034401</v>
      </c>
      <c r="HA427" s="1">
        <v>54.2857394034401</v>
      </c>
    </row>
    <row r="428" customHeight="1" spans="1:313">
      <c r="A428" s="3">
        <v>13</v>
      </c>
      <c r="B428" s="4" t="s">
        <v>625</v>
      </c>
      <c r="C428" s="5" t="s">
        <v>626</v>
      </c>
      <c r="D428" s="4" t="s">
        <v>300</v>
      </c>
      <c r="H428" s="4" t="s">
        <v>328</v>
      </c>
      <c r="I428" s="4" t="s">
        <v>627</v>
      </c>
      <c r="N428" s="4" t="s">
        <v>628</v>
      </c>
      <c r="O428" s="4" t="s">
        <v>502</v>
      </c>
      <c r="T428" s="4">
        <v>287.27</v>
      </c>
      <c r="U428" s="4">
        <v>0.39</v>
      </c>
      <c r="V428" s="4">
        <v>3.8</v>
      </c>
      <c r="AB428" s="4" t="s">
        <v>629</v>
      </c>
      <c r="AC428" s="4" t="s">
        <v>630</v>
      </c>
      <c r="AD428" s="4" t="s">
        <v>631</v>
      </c>
      <c r="AE428" s="4" t="s">
        <v>632</v>
      </c>
      <c r="AF428" s="63" t="s">
        <v>633</v>
      </c>
      <c r="AH428" s="4" t="s">
        <v>394</v>
      </c>
      <c r="AI428" s="4" t="s">
        <v>642</v>
      </c>
      <c r="AL428" s="4" t="s">
        <v>643</v>
      </c>
      <c r="BD428" s="4" t="s">
        <v>644</v>
      </c>
      <c r="BI428" s="4" t="s">
        <v>321</v>
      </c>
      <c r="BL428" s="4">
        <v>200</v>
      </c>
      <c r="BP428" s="4">
        <v>2</v>
      </c>
      <c r="BW428" s="4">
        <v>25</v>
      </c>
      <c r="BX428" s="4" t="s">
        <v>645</v>
      </c>
      <c r="CB428" s="4" t="s">
        <v>646</v>
      </c>
      <c r="CE428" s="4" t="s">
        <v>647</v>
      </c>
      <c r="DO428" s="4">
        <v>3</v>
      </c>
      <c r="FJ428" s="1">
        <v>70.18</v>
      </c>
      <c r="FL428" s="27">
        <v>49.78</v>
      </c>
      <c r="FM428" s="1">
        <v>1.78</v>
      </c>
      <c r="FV428" s="1">
        <f>(FJ428-FL428)/FJ428*100</f>
        <v>29.0681105728128</v>
      </c>
      <c r="FW428" s="1">
        <v>29.0681105728128</v>
      </c>
      <c r="GN428" s="1">
        <v>3625.5</v>
      </c>
      <c r="GP428" s="1">
        <v>1346.61354581673</v>
      </c>
      <c r="GQ428" s="1">
        <v>2.16</v>
      </c>
      <c r="GZ428" s="1">
        <f>(GN428-GP428)/GN428*100</f>
        <v>62.857163265295</v>
      </c>
      <c r="HA428" s="1">
        <v>62.857163265295</v>
      </c>
    </row>
    <row r="429" customHeight="1" spans="1:313">
      <c r="A429" s="16">
        <v>13</v>
      </c>
      <c r="B429" s="4" t="s">
        <v>625</v>
      </c>
      <c r="C429" s="5" t="s">
        <v>626</v>
      </c>
      <c r="D429" s="4" t="s">
        <v>300</v>
      </c>
      <c r="H429" s="4" t="s">
        <v>328</v>
      </c>
      <c r="I429" s="4" t="s">
        <v>627</v>
      </c>
      <c r="N429" s="4" t="s">
        <v>628</v>
      </c>
      <c r="O429" s="4" t="s">
        <v>502</v>
      </c>
      <c r="T429" s="4">
        <v>287.27</v>
      </c>
      <c r="U429" s="4">
        <v>0.39</v>
      </c>
      <c r="V429" s="4">
        <v>3.8</v>
      </c>
      <c r="AB429" s="4" t="s">
        <v>629</v>
      </c>
      <c r="AC429" s="4" t="s">
        <v>630</v>
      </c>
      <c r="AD429" s="4" t="s">
        <v>631</v>
      </c>
      <c r="AE429" s="4" t="s">
        <v>632</v>
      </c>
      <c r="AF429" s="63" t="s">
        <v>633</v>
      </c>
      <c r="BI429" s="1" t="s">
        <v>309</v>
      </c>
      <c r="BJ429" s="1"/>
      <c r="BK429" s="1"/>
      <c r="BL429" s="1"/>
      <c r="BM429" s="1"/>
      <c r="BN429" s="1">
        <v>0.6</v>
      </c>
      <c r="BO429" s="1"/>
      <c r="BP429" s="1"/>
      <c r="BQ429" s="1"/>
      <c r="BS429" s="1">
        <v>1</v>
      </c>
      <c r="BT429" s="1"/>
      <c r="BU429" s="1">
        <v>200</v>
      </c>
      <c r="BV429" s="1">
        <v>480</v>
      </c>
      <c r="BW429" s="1"/>
      <c r="BX429" s="1"/>
      <c r="BY429" s="1"/>
      <c r="BZ429" s="1"/>
      <c r="CB429" s="29" t="s">
        <v>464</v>
      </c>
      <c r="CC429" s="1">
        <v>40</v>
      </c>
      <c r="CD429" s="29"/>
      <c r="CE429" s="1"/>
      <c r="FL429" s="27"/>
      <c r="GX429" s="1">
        <v>18.94</v>
      </c>
      <c r="GY429" s="1">
        <v>0.56</v>
      </c>
      <c r="HA429" s="4">
        <v>18.94</v>
      </c>
    </row>
    <row r="430" customHeight="1" spans="1:313">
      <c r="A430" s="16">
        <v>13</v>
      </c>
      <c r="B430" s="4" t="s">
        <v>625</v>
      </c>
      <c r="C430" s="5" t="s">
        <v>626</v>
      </c>
      <c r="D430" s="4" t="s">
        <v>300</v>
      </c>
      <c r="H430" s="4" t="s">
        <v>328</v>
      </c>
      <c r="I430" s="4" t="s">
        <v>627</v>
      </c>
      <c r="N430" s="4" t="s">
        <v>628</v>
      </c>
      <c r="O430" s="4" t="s">
        <v>502</v>
      </c>
      <c r="T430" s="4">
        <v>287.27</v>
      </c>
      <c r="U430" s="4">
        <v>0.39</v>
      </c>
      <c r="V430" s="4">
        <v>3.8</v>
      </c>
      <c r="AB430" s="4" t="s">
        <v>629</v>
      </c>
      <c r="AC430" s="4" t="s">
        <v>630</v>
      </c>
      <c r="AD430" s="4" t="s">
        <v>631</v>
      </c>
      <c r="AE430" s="4" t="s">
        <v>632</v>
      </c>
      <c r="AF430" s="63" t="s">
        <v>633</v>
      </c>
      <c r="BI430" s="1" t="s">
        <v>309</v>
      </c>
      <c r="BJ430" s="1"/>
      <c r="BK430" s="1"/>
      <c r="BL430" s="1"/>
      <c r="BM430" s="1"/>
      <c r="BN430" s="1">
        <v>0.6</v>
      </c>
      <c r="BO430" s="1"/>
      <c r="BP430" s="1"/>
      <c r="BQ430" s="1"/>
      <c r="BS430" s="1">
        <v>2</v>
      </c>
      <c r="BT430" s="1"/>
      <c r="BU430" s="1">
        <v>200</v>
      </c>
      <c r="BV430" s="1">
        <v>480</v>
      </c>
      <c r="BW430" s="1"/>
      <c r="BX430" s="1"/>
      <c r="BY430" s="1"/>
      <c r="BZ430" s="1"/>
      <c r="CB430" s="29" t="s">
        <v>464</v>
      </c>
      <c r="CC430" s="1">
        <v>40</v>
      </c>
      <c r="CD430" s="29"/>
      <c r="CE430" s="1"/>
      <c r="FL430" s="27"/>
      <c r="GX430" s="1">
        <v>23.96</v>
      </c>
      <c r="GY430" s="1">
        <v>0.84</v>
      </c>
      <c r="HA430" s="4">
        <v>23.96</v>
      </c>
    </row>
    <row r="431" customHeight="1" spans="1:313">
      <c r="A431" s="16">
        <v>13</v>
      </c>
      <c r="B431" s="4" t="s">
        <v>625</v>
      </c>
      <c r="C431" s="5" t="s">
        <v>626</v>
      </c>
      <c r="D431" s="4" t="s">
        <v>300</v>
      </c>
      <c r="H431" s="4" t="s">
        <v>328</v>
      </c>
      <c r="I431" s="4" t="s">
        <v>627</v>
      </c>
      <c r="N431" s="4" t="s">
        <v>628</v>
      </c>
      <c r="O431" s="4" t="s">
        <v>502</v>
      </c>
      <c r="T431" s="4">
        <v>287.27</v>
      </c>
      <c r="U431" s="4">
        <v>0.39</v>
      </c>
      <c r="V431" s="4">
        <v>3.8</v>
      </c>
      <c r="AB431" s="4" t="s">
        <v>629</v>
      </c>
      <c r="AC431" s="4" t="s">
        <v>630</v>
      </c>
      <c r="AD431" s="4" t="s">
        <v>631</v>
      </c>
      <c r="AE431" s="4" t="s">
        <v>632</v>
      </c>
      <c r="AF431" s="63" t="s">
        <v>633</v>
      </c>
      <c r="BI431" s="1" t="s">
        <v>309</v>
      </c>
      <c r="BJ431" s="1"/>
      <c r="BK431" s="1"/>
      <c r="BL431" s="1"/>
      <c r="BM431" s="1"/>
      <c r="BN431" s="1">
        <v>0.6</v>
      </c>
      <c r="BO431" s="1"/>
      <c r="BP431" s="1"/>
      <c r="BQ431" s="1"/>
      <c r="BS431" s="1">
        <v>3</v>
      </c>
      <c r="BT431" s="1"/>
      <c r="BU431" s="1">
        <v>200</v>
      </c>
      <c r="BV431" s="1">
        <v>480</v>
      </c>
      <c r="BW431" s="1"/>
      <c r="BX431" s="1"/>
      <c r="BY431" s="1"/>
      <c r="BZ431" s="1"/>
      <c r="CB431" s="29" t="s">
        <v>464</v>
      </c>
      <c r="CC431" s="1">
        <v>40</v>
      </c>
      <c r="CD431" s="29"/>
      <c r="CE431" s="1"/>
      <c r="FL431" s="27"/>
      <c r="GT431" s="4"/>
      <c r="GX431" s="4">
        <v>94.99</v>
      </c>
      <c r="GY431" s="1">
        <v>1.11</v>
      </c>
      <c r="HA431" s="4">
        <v>94.99</v>
      </c>
    </row>
    <row r="432" customHeight="1" spans="1:313">
      <c r="A432" s="16">
        <v>13</v>
      </c>
      <c r="B432" s="4" t="s">
        <v>625</v>
      </c>
      <c r="C432" s="5" t="s">
        <v>626</v>
      </c>
      <c r="D432" s="4" t="s">
        <v>300</v>
      </c>
      <c r="H432" s="4" t="s">
        <v>328</v>
      </c>
      <c r="I432" s="4" t="s">
        <v>627</v>
      </c>
      <c r="N432" s="4" t="s">
        <v>628</v>
      </c>
      <c r="O432" s="4" t="s">
        <v>502</v>
      </c>
      <c r="T432" s="4">
        <v>287.27</v>
      </c>
      <c r="U432" s="4">
        <v>0.39</v>
      </c>
      <c r="V432" s="4">
        <v>3.8</v>
      </c>
      <c r="AB432" s="4" t="s">
        <v>629</v>
      </c>
      <c r="AC432" s="4" t="s">
        <v>630</v>
      </c>
      <c r="AD432" s="4" t="s">
        <v>631</v>
      </c>
      <c r="AE432" s="4" t="s">
        <v>632</v>
      </c>
      <c r="AF432" s="63" t="s">
        <v>633</v>
      </c>
      <c r="BI432" s="1" t="s">
        <v>309</v>
      </c>
      <c r="BJ432" s="1"/>
      <c r="BK432" s="1"/>
      <c r="BL432" s="1"/>
      <c r="BM432" s="1"/>
      <c r="BN432" s="1">
        <v>0.6</v>
      </c>
      <c r="BO432" s="1"/>
      <c r="BP432" s="1"/>
      <c r="BQ432" s="1"/>
      <c r="BS432" s="1">
        <v>4</v>
      </c>
      <c r="BT432" s="1"/>
      <c r="BU432" s="1">
        <v>200</v>
      </c>
      <c r="BV432" s="1">
        <v>480</v>
      </c>
      <c r="BW432" s="1"/>
      <c r="BX432" s="1"/>
      <c r="BY432" s="1"/>
      <c r="BZ432" s="1"/>
      <c r="CB432" s="29" t="s">
        <v>464</v>
      </c>
      <c r="CC432" s="1">
        <v>40</v>
      </c>
      <c r="CD432" s="29"/>
      <c r="CE432" s="1"/>
      <c r="FL432" s="27"/>
      <c r="GT432" s="4"/>
      <c r="GX432" s="4">
        <v>100</v>
      </c>
      <c r="GY432" s="1">
        <v>1.67</v>
      </c>
      <c r="HA432" s="4">
        <v>100</v>
      </c>
    </row>
    <row r="433" customHeight="1" spans="1:313">
      <c r="A433" s="16">
        <v>13</v>
      </c>
      <c r="B433" s="4" t="s">
        <v>625</v>
      </c>
      <c r="C433" s="5" t="s">
        <v>626</v>
      </c>
      <c r="D433" s="4" t="s">
        <v>300</v>
      </c>
      <c r="H433" s="4" t="s">
        <v>328</v>
      </c>
      <c r="I433" s="4" t="s">
        <v>627</v>
      </c>
      <c r="N433" s="4" t="s">
        <v>628</v>
      </c>
      <c r="O433" s="4" t="s">
        <v>502</v>
      </c>
      <c r="T433" s="4">
        <v>287.27</v>
      </c>
      <c r="U433" s="4">
        <v>0.39</v>
      </c>
      <c r="V433" s="4">
        <v>3.8</v>
      </c>
      <c r="AB433" s="4" t="s">
        <v>629</v>
      </c>
      <c r="AC433" s="4" t="s">
        <v>630</v>
      </c>
      <c r="AD433" s="4" t="s">
        <v>631</v>
      </c>
      <c r="AE433" s="4" t="s">
        <v>632</v>
      </c>
      <c r="AF433" s="63" t="s">
        <v>633</v>
      </c>
      <c r="BI433" s="1" t="s">
        <v>309</v>
      </c>
      <c r="BJ433" s="1"/>
      <c r="BK433" s="1"/>
      <c r="BL433" s="1"/>
      <c r="BM433" s="1"/>
      <c r="BN433" s="1">
        <v>0.6</v>
      </c>
      <c r="BO433" s="1"/>
      <c r="BP433" s="1"/>
      <c r="BQ433" s="1"/>
      <c r="BS433" s="1">
        <v>5</v>
      </c>
      <c r="BT433" s="1"/>
      <c r="BU433" s="1">
        <v>200</v>
      </c>
      <c r="BV433" s="1">
        <v>480</v>
      </c>
      <c r="BW433" s="1"/>
      <c r="BX433" s="1"/>
      <c r="BY433" s="1"/>
      <c r="BZ433" s="1"/>
      <c r="CB433" s="29" t="s">
        <v>464</v>
      </c>
      <c r="CC433" s="1">
        <v>40</v>
      </c>
      <c r="CD433" s="29"/>
      <c r="CE433" s="1"/>
      <c r="FL433" s="27"/>
      <c r="GT433" s="4"/>
      <c r="GX433" s="4">
        <v>100</v>
      </c>
      <c r="GY433" s="1">
        <v>0.56</v>
      </c>
      <c r="HA433" s="4">
        <v>100</v>
      </c>
    </row>
    <row r="434" customHeight="1" spans="1:313">
      <c r="A434" s="16">
        <v>13</v>
      </c>
      <c r="B434" s="4" t="s">
        <v>625</v>
      </c>
      <c r="C434" s="5" t="s">
        <v>626</v>
      </c>
      <c r="D434" s="4" t="s">
        <v>300</v>
      </c>
      <c r="H434" s="4" t="s">
        <v>328</v>
      </c>
      <c r="I434" s="4" t="s">
        <v>627</v>
      </c>
      <c r="N434" s="4" t="s">
        <v>628</v>
      </c>
      <c r="O434" s="4" t="s">
        <v>502</v>
      </c>
      <c r="T434" s="4">
        <v>287.27</v>
      </c>
      <c r="U434" s="4">
        <v>0.39</v>
      </c>
      <c r="V434" s="4">
        <v>3.8</v>
      </c>
      <c r="AB434" s="4" t="s">
        <v>629</v>
      </c>
      <c r="AC434" s="4" t="s">
        <v>630</v>
      </c>
      <c r="AD434" s="4" t="s">
        <v>631</v>
      </c>
      <c r="AE434" s="4" t="s">
        <v>632</v>
      </c>
      <c r="AF434" s="63" t="s">
        <v>633</v>
      </c>
      <c r="BI434" s="1" t="s">
        <v>309</v>
      </c>
      <c r="BJ434" s="1"/>
      <c r="BK434" s="1"/>
      <c r="BL434" s="1"/>
      <c r="BM434" s="1"/>
      <c r="BN434" s="1">
        <v>0.6</v>
      </c>
      <c r="BO434" s="1"/>
      <c r="BP434" s="1"/>
      <c r="BQ434" s="1"/>
      <c r="BS434" s="1">
        <v>6</v>
      </c>
      <c r="BT434" s="1"/>
      <c r="BU434" s="1">
        <v>200</v>
      </c>
      <c r="BV434" s="1">
        <v>480</v>
      </c>
      <c r="BW434" s="1"/>
      <c r="BX434" s="1"/>
      <c r="BY434" s="1"/>
      <c r="BZ434" s="1"/>
      <c r="CB434" s="29" t="s">
        <v>464</v>
      </c>
      <c r="CC434" s="1">
        <v>40</v>
      </c>
      <c r="CD434" s="29"/>
      <c r="CE434" s="1"/>
      <c r="FL434" s="27"/>
      <c r="GT434" s="4"/>
      <c r="GX434" s="4">
        <v>100</v>
      </c>
      <c r="GY434" s="1">
        <v>0.28</v>
      </c>
      <c r="HA434" s="4">
        <v>100</v>
      </c>
    </row>
    <row r="435" customHeight="1" spans="1:313">
      <c r="A435" s="16">
        <v>13</v>
      </c>
      <c r="B435" s="4" t="s">
        <v>625</v>
      </c>
      <c r="C435" s="5" t="s">
        <v>626</v>
      </c>
      <c r="D435" s="4" t="s">
        <v>300</v>
      </c>
      <c r="H435" s="4" t="s">
        <v>328</v>
      </c>
      <c r="I435" s="4" t="s">
        <v>627</v>
      </c>
      <c r="N435" s="4" t="s">
        <v>628</v>
      </c>
      <c r="O435" s="4" t="s">
        <v>502</v>
      </c>
      <c r="T435" s="4">
        <v>287.27</v>
      </c>
      <c r="U435" s="4">
        <v>0.39</v>
      </c>
      <c r="V435" s="4">
        <v>3.8</v>
      </c>
      <c r="AB435" s="4" t="s">
        <v>629</v>
      </c>
      <c r="AC435" s="4" t="s">
        <v>630</v>
      </c>
      <c r="AD435" s="4" t="s">
        <v>631</v>
      </c>
      <c r="AE435" s="4" t="s">
        <v>632</v>
      </c>
      <c r="AF435" s="63" t="s">
        <v>633</v>
      </c>
      <c r="BI435" s="1" t="s">
        <v>309</v>
      </c>
      <c r="BJ435" s="1"/>
      <c r="BK435" s="1"/>
      <c r="BL435" s="1"/>
      <c r="BM435" s="1"/>
      <c r="BN435" s="1">
        <v>1</v>
      </c>
      <c r="BO435" s="1"/>
      <c r="BP435" s="1"/>
      <c r="BQ435" s="1"/>
      <c r="BS435" s="1">
        <v>1</v>
      </c>
      <c r="BT435" s="1"/>
      <c r="BU435" s="1">
        <v>200</v>
      </c>
      <c r="BV435" s="1">
        <v>480</v>
      </c>
      <c r="BW435" s="1"/>
      <c r="BX435" s="1"/>
      <c r="BY435" s="1"/>
      <c r="BZ435" s="1"/>
      <c r="CB435" s="29" t="s">
        <v>496</v>
      </c>
      <c r="CC435" s="1">
        <v>8</v>
      </c>
      <c r="CD435" s="29"/>
      <c r="CE435" s="1"/>
      <c r="FE435" s="4">
        <v>96.05</v>
      </c>
      <c r="FF435" s="1">
        <v>1.48</v>
      </c>
      <c r="FH435" s="4">
        <v>96.05</v>
      </c>
      <c r="FL435" s="27"/>
      <c r="GT435" s="4"/>
    </row>
    <row r="436" customHeight="1" spans="1:313">
      <c r="A436" s="16">
        <v>13</v>
      </c>
      <c r="B436" s="4" t="s">
        <v>625</v>
      </c>
      <c r="C436" s="5" t="s">
        <v>626</v>
      </c>
      <c r="D436" s="4" t="s">
        <v>300</v>
      </c>
      <c r="H436" s="4" t="s">
        <v>328</v>
      </c>
      <c r="I436" s="4" t="s">
        <v>627</v>
      </c>
      <c r="N436" s="4" t="s">
        <v>628</v>
      </c>
      <c r="O436" s="4" t="s">
        <v>502</v>
      </c>
      <c r="T436" s="4">
        <v>287.27</v>
      </c>
      <c r="U436" s="4">
        <v>0.39</v>
      </c>
      <c r="V436" s="4">
        <v>3.8</v>
      </c>
      <c r="AB436" s="4" t="s">
        <v>629</v>
      </c>
      <c r="AC436" s="4" t="s">
        <v>630</v>
      </c>
      <c r="AD436" s="4" t="s">
        <v>631</v>
      </c>
      <c r="AE436" s="4" t="s">
        <v>632</v>
      </c>
      <c r="AF436" s="63" t="s">
        <v>633</v>
      </c>
      <c r="BI436" s="1" t="s">
        <v>309</v>
      </c>
      <c r="BJ436" s="1"/>
      <c r="BK436" s="1"/>
      <c r="BL436" s="1"/>
      <c r="BM436" s="1"/>
      <c r="BN436" s="1">
        <v>1</v>
      </c>
      <c r="BO436" s="1"/>
      <c r="BP436" s="1"/>
      <c r="BQ436" s="1"/>
      <c r="BS436" s="1">
        <v>2</v>
      </c>
      <c r="BT436" s="1"/>
      <c r="BU436" s="1">
        <v>200</v>
      </c>
      <c r="BV436" s="1">
        <v>480</v>
      </c>
      <c r="BW436" s="1"/>
      <c r="BX436" s="1"/>
      <c r="BY436" s="1"/>
      <c r="BZ436" s="1"/>
      <c r="CB436" s="29" t="s">
        <v>496</v>
      </c>
      <c r="CC436" s="1">
        <v>8</v>
      </c>
      <c r="CD436" s="29"/>
      <c r="CE436" s="1"/>
      <c r="FE436" s="4">
        <v>97.04</v>
      </c>
      <c r="FF436" s="1">
        <v>3.45</v>
      </c>
      <c r="FH436" s="4">
        <v>97.04</v>
      </c>
      <c r="FL436" s="27"/>
      <c r="GT436" s="4"/>
    </row>
    <row r="437" customHeight="1" spans="1:313">
      <c r="A437" s="16">
        <v>13</v>
      </c>
      <c r="B437" s="4" t="s">
        <v>625</v>
      </c>
      <c r="C437" s="5" t="s">
        <v>626</v>
      </c>
      <c r="D437" s="4" t="s">
        <v>300</v>
      </c>
      <c r="H437" s="4" t="s">
        <v>328</v>
      </c>
      <c r="I437" s="4" t="s">
        <v>627</v>
      </c>
      <c r="N437" s="4" t="s">
        <v>628</v>
      </c>
      <c r="O437" s="4" t="s">
        <v>502</v>
      </c>
      <c r="T437" s="4">
        <v>287.27</v>
      </c>
      <c r="U437" s="4">
        <v>0.39</v>
      </c>
      <c r="V437" s="4">
        <v>3.8</v>
      </c>
      <c r="AB437" s="4" t="s">
        <v>629</v>
      </c>
      <c r="AC437" s="4" t="s">
        <v>630</v>
      </c>
      <c r="AD437" s="4" t="s">
        <v>631</v>
      </c>
      <c r="AE437" s="4" t="s">
        <v>632</v>
      </c>
      <c r="AF437" s="63" t="s">
        <v>633</v>
      </c>
      <c r="BI437" s="1" t="s">
        <v>309</v>
      </c>
      <c r="BJ437" s="1"/>
      <c r="BK437" s="1"/>
      <c r="BL437" s="1"/>
      <c r="BM437" s="1"/>
      <c r="BN437" s="1">
        <v>1</v>
      </c>
      <c r="BO437" s="1"/>
      <c r="BP437" s="1"/>
      <c r="BQ437" s="1"/>
      <c r="BS437" s="1">
        <v>3</v>
      </c>
      <c r="BT437" s="1"/>
      <c r="BU437" s="1">
        <v>200</v>
      </c>
      <c r="BV437" s="1">
        <v>480</v>
      </c>
      <c r="BW437" s="1"/>
      <c r="BX437" s="1"/>
      <c r="BY437" s="1"/>
      <c r="BZ437" s="1"/>
      <c r="CB437" s="29" t="s">
        <v>496</v>
      </c>
      <c r="CC437" s="1">
        <v>8</v>
      </c>
      <c r="CD437" s="29"/>
      <c r="CE437" s="1"/>
      <c r="FE437" s="4">
        <v>96.05</v>
      </c>
      <c r="FF437" s="1">
        <v>0.66</v>
      </c>
      <c r="FH437" s="4">
        <v>96.05</v>
      </c>
      <c r="FL437" s="27"/>
      <c r="GT437" s="4"/>
    </row>
    <row r="438" customHeight="1" spans="1:313">
      <c r="A438" s="16">
        <v>13</v>
      </c>
      <c r="B438" s="4" t="s">
        <v>625</v>
      </c>
      <c r="C438" s="5" t="s">
        <v>626</v>
      </c>
      <c r="D438" s="4" t="s">
        <v>300</v>
      </c>
      <c r="H438" s="4" t="s">
        <v>328</v>
      </c>
      <c r="I438" s="4" t="s">
        <v>627</v>
      </c>
      <c r="N438" s="4" t="s">
        <v>628</v>
      </c>
      <c r="O438" s="4" t="s">
        <v>502</v>
      </c>
      <c r="T438" s="4">
        <v>287.27</v>
      </c>
      <c r="U438" s="4">
        <v>0.39</v>
      </c>
      <c r="V438" s="4">
        <v>3.8</v>
      </c>
      <c r="AB438" s="4" t="s">
        <v>629</v>
      </c>
      <c r="AC438" s="4" t="s">
        <v>630</v>
      </c>
      <c r="AD438" s="4" t="s">
        <v>631</v>
      </c>
      <c r="AE438" s="4" t="s">
        <v>632</v>
      </c>
      <c r="AF438" s="63" t="s">
        <v>633</v>
      </c>
      <c r="BI438" s="1" t="s">
        <v>309</v>
      </c>
      <c r="BJ438" s="1"/>
      <c r="BK438" s="1"/>
      <c r="BL438" s="1"/>
      <c r="BM438" s="1"/>
      <c r="BN438" s="1">
        <v>1</v>
      </c>
      <c r="BO438" s="1"/>
      <c r="BP438" s="1"/>
      <c r="BQ438" s="1"/>
      <c r="BS438" s="1">
        <v>4</v>
      </c>
      <c r="BT438" s="1"/>
      <c r="BU438" s="1">
        <v>200</v>
      </c>
      <c r="BV438" s="1">
        <v>480</v>
      </c>
      <c r="BW438" s="1"/>
      <c r="BX438" s="1"/>
      <c r="BY438" s="1"/>
      <c r="BZ438" s="1"/>
      <c r="CB438" s="29" t="s">
        <v>496</v>
      </c>
      <c r="CC438" s="1">
        <v>8</v>
      </c>
      <c r="CD438" s="29"/>
      <c r="CE438" s="1"/>
      <c r="FE438" s="4">
        <v>93.1</v>
      </c>
      <c r="FF438" s="1">
        <v>0</v>
      </c>
      <c r="FH438" s="4">
        <v>93.1</v>
      </c>
      <c r="FL438" s="27"/>
      <c r="GT438" s="4"/>
    </row>
    <row r="439" customHeight="1" spans="1:313">
      <c r="A439" s="16">
        <v>13</v>
      </c>
      <c r="B439" s="4" t="s">
        <v>625</v>
      </c>
      <c r="C439" s="5" t="s">
        <v>626</v>
      </c>
      <c r="D439" s="4" t="s">
        <v>300</v>
      </c>
      <c r="H439" s="4" t="s">
        <v>328</v>
      </c>
      <c r="I439" s="4" t="s">
        <v>627</v>
      </c>
      <c r="N439" s="4" t="s">
        <v>628</v>
      </c>
      <c r="O439" s="4" t="s">
        <v>502</v>
      </c>
      <c r="T439" s="4">
        <v>287.27</v>
      </c>
      <c r="U439" s="4">
        <v>0.39</v>
      </c>
      <c r="V439" s="4">
        <v>3.8</v>
      </c>
      <c r="AB439" s="4" t="s">
        <v>629</v>
      </c>
      <c r="AC439" s="4" t="s">
        <v>630</v>
      </c>
      <c r="AD439" s="4" t="s">
        <v>631</v>
      </c>
      <c r="AE439" s="4" t="s">
        <v>632</v>
      </c>
      <c r="AF439" s="63" t="s">
        <v>633</v>
      </c>
      <c r="BI439" s="1" t="s">
        <v>309</v>
      </c>
      <c r="BJ439" s="1"/>
      <c r="BK439" s="1"/>
      <c r="BL439" s="1"/>
      <c r="BM439" s="1"/>
      <c r="BN439" s="1">
        <v>1</v>
      </c>
      <c r="BO439" s="1"/>
      <c r="BP439" s="1"/>
      <c r="BQ439" s="1"/>
      <c r="BS439" s="1">
        <v>5</v>
      </c>
      <c r="BT439" s="1"/>
      <c r="BU439" s="1">
        <v>200</v>
      </c>
      <c r="BV439" s="1">
        <v>480</v>
      </c>
      <c r="BW439" s="1"/>
      <c r="BX439" s="1"/>
      <c r="BY439" s="1"/>
      <c r="BZ439" s="1"/>
      <c r="CB439" s="29" t="s">
        <v>496</v>
      </c>
      <c r="CC439" s="1">
        <v>8</v>
      </c>
      <c r="CD439" s="29"/>
      <c r="CE439" s="1"/>
      <c r="FE439" s="4">
        <v>89.85</v>
      </c>
      <c r="FF439" s="1">
        <v>0</v>
      </c>
      <c r="FH439" s="4">
        <v>89.85</v>
      </c>
      <c r="FL439" s="27"/>
      <c r="GT439" s="4"/>
    </row>
    <row r="440" customHeight="1" spans="1:313">
      <c r="A440" s="16">
        <v>13</v>
      </c>
      <c r="B440" s="4" t="s">
        <v>625</v>
      </c>
      <c r="C440" s="5" t="s">
        <v>626</v>
      </c>
      <c r="D440" s="4" t="s">
        <v>300</v>
      </c>
      <c r="H440" s="4" t="s">
        <v>328</v>
      </c>
      <c r="I440" s="4" t="s">
        <v>627</v>
      </c>
      <c r="N440" s="4" t="s">
        <v>628</v>
      </c>
      <c r="O440" s="4" t="s">
        <v>502</v>
      </c>
      <c r="T440" s="4">
        <v>287.27</v>
      </c>
      <c r="U440" s="4">
        <v>0.39</v>
      </c>
      <c r="V440" s="4">
        <v>3.8</v>
      </c>
      <c r="AB440" s="4" t="s">
        <v>629</v>
      </c>
      <c r="AC440" s="4" t="s">
        <v>630</v>
      </c>
      <c r="AD440" s="4" t="s">
        <v>631</v>
      </c>
      <c r="AE440" s="4" t="s">
        <v>632</v>
      </c>
      <c r="AF440" s="63" t="s">
        <v>633</v>
      </c>
      <c r="BI440" s="1" t="s">
        <v>309</v>
      </c>
      <c r="BJ440" s="1"/>
      <c r="BK440" s="1"/>
      <c r="BL440" s="1"/>
      <c r="BM440" s="1"/>
      <c r="BN440" s="1">
        <v>1</v>
      </c>
      <c r="BO440" s="1"/>
      <c r="BP440" s="1"/>
      <c r="BQ440" s="1"/>
      <c r="BS440" s="1">
        <v>6</v>
      </c>
      <c r="BT440" s="1"/>
      <c r="BU440" s="1">
        <v>200</v>
      </c>
      <c r="BV440" s="1">
        <v>480</v>
      </c>
      <c r="BW440" s="1"/>
      <c r="BX440" s="1"/>
      <c r="BY440" s="1"/>
      <c r="BZ440" s="1"/>
      <c r="CB440" s="29" t="s">
        <v>496</v>
      </c>
      <c r="CC440" s="1">
        <v>8</v>
      </c>
      <c r="CD440" s="29"/>
      <c r="CE440" s="1"/>
      <c r="FE440" s="4">
        <v>86.85</v>
      </c>
      <c r="FF440" s="1">
        <v>0</v>
      </c>
      <c r="FH440" s="4">
        <v>86.85</v>
      </c>
      <c r="FL440" s="27"/>
      <c r="GT440" s="4"/>
    </row>
    <row r="441" customHeight="1" spans="1:313">
      <c r="A441" s="16">
        <v>13</v>
      </c>
      <c r="B441" s="4" t="s">
        <v>625</v>
      </c>
      <c r="C441" s="5" t="s">
        <v>626</v>
      </c>
      <c r="D441" s="4" t="s">
        <v>300</v>
      </c>
      <c r="H441" s="4" t="s">
        <v>328</v>
      </c>
      <c r="I441" s="4" t="s">
        <v>627</v>
      </c>
      <c r="N441" s="4" t="s">
        <v>628</v>
      </c>
      <c r="O441" s="4" t="s">
        <v>502</v>
      </c>
      <c r="T441" s="4">
        <v>287.27</v>
      </c>
      <c r="U441" s="4">
        <v>0.39</v>
      </c>
      <c r="V441" s="4">
        <v>3.8</v>
      </c>
      <c r="AB441" s="4" t="s">
        <v>629</v>
      </c>
      <c r="AC441" s="4" t="s">
        <v>630</v>
      </c>
      <c r="AD441" s="4" t="s">
        <v>631</v>
      </c>
      <c r="AE441" s="4" t="s">
        <v>632</v>
      </c>
      <c r="AF441" s="63" t="s">
        <v>633</v>
      </c>
      <c r="BI441" s="1" t="s">
        <v>309</v>
      </c>
      <c r="BJ441" s="1"/>
      <c r="BK441" s="1"/>
      <c r="BL441" s="1"/>
      <c r="BM441" s="1"/>
      <c r="BN441" s="1">
        <v>1</v>
      </c>
      <c r="BO441" s="1"/>
      <c r="BP441" s="1"/>
      <c r="BQ441" s="1"/>
      <c r="BS441" s="1">
        <v>7</v>
      </c>
      <c r="BT441" s="1"/>
      <c r="BU441" s="1">
        <v>200</v>
      </c>
      <c r="BV441" s="1">
        <v>480</v>
      </c>
      <c r="BW441" s="1"/>
      <c r="BX441" s="1"/>
      <c r="BY441" s="1"/>
      <c r="BZ441" s="1"/>
      <c r="CB441" s="29" t="s">
        <v>496</v>
      </c>
      <c r="CC441" s="1">
        <v>8</v>
      </c>
      <c r="CD441" s="29"/>
      <c r="CE441" s="1"/>
      <c r="FE441" s="4">
        <v>85.04</v>
      </c>
      <c r="FF441" s="1">
        <v>0.66</v>
      </c>
      <c r="FH441" s="4">
        <v>85.04</v>
      </c>
      <c r="FL441" s="27"/>
      <c r="GT441" s="4"/>
    </row>
    <row r="442" customHeight="1" spans="1:313">
      <c r="A442" s="17">
        <v>13</v>
      </c>
      <c r="B442" s="4" t="s">
        <v>625</v>
      </c>
      <c r="C442" s="5" t="s">
        <v>626</v>
      </c>
      <c r="D442" s="4" t="s">
        <v>300</v>
      </c>
      <c r="H442" s="4" t="s">
        <v>328</v>
      </c>
      <c r="I442" s="4" t="s">
        <v>627</v>
      </c>
      <c r="N442" s="4" t="s">
        <v>628</v>
      </c>
      <c r="O442" s="4" t="s">
        <v>502</v>
      </c>
      <c r="T442" s="4">
        <v>287.27</v>
      </c>
      <c r="U442" s="4">
        <v>0.39</v>
      </c>
      <c r="V442" s="4">
        <v>3.8</v>
      </c>
      <c r="AB442" s="4" t="s">
        <v>629</v>
      </c>
      <c r="AC442" s="4" t="s">
        <v>630</v>
      </c>
      <c r="AD442" s="4" t="s">
        <v>631</v>
      </c>
      <c r="AE442" s="4" t="s">
        <v>632</v>
      </c>
      <c r="AF442" s="63" t="s">
        <v>633</v>
      </c>
      <c r="BI442" s="1" t="s">
        <v>309</v>
      </c>
      <c r="BJ442" s="1"/>
      <c r="BK442" s="1"/>
      <c r="BL442" s="1"/>
      <c r="BM442" s="1"/>
      <c r="BN442" s="1">
        <v>1</v>
      </c>
      <c r="BO442" s="1"/>
      <c r="BP442" s="1"/>
      <c r="BQ442" s="1"/>
      <c r="BS442" s="1">
        <v>8</v>
      </c>
      <c r="BT442" s="1"/>
      <c r="BU442" s="1">
        <v>200</v>
      </c>
      <c r="BV442" s="1">
        <v>480</v>
      </c>
      <c r="BW442" s="1"/>
      <c r="BX442" s="1"/>
      <c r="BY442" s="1"/>
      <c r="BZ442" s="1"/>
      <c r="CB442" s="29" t="s">
        <v>496</v>
      </c>
      <c r="CC442" s="1">
        <v>8</v>
      </c>
      <c r="CD442" s="29"/>
      <c r="CE442" s="1"/>
      <c r="FE442" s="4">
        <v>80.11</v>
      </c>
      <c r="FF442" s="1">
        <v>0.66</v>
      </c>
      <c r="FH442" s="4">
        <v>80.11</v>
      </c>
      <c r="FL442" s="27"/>
      <c r="GT442" s="4"/>
    </row>
    <row r="443" customHeight="1" spans="1:313">
      <c r="A443" s="16">
        <v>14</v>
      </c>
      <c r="B443" s="4" t="s">
        <v>650</v>
      </c>
      <c r="C443" s="5" t="s">
        <v>651</v>
      </c>
      <c r="D443" s="4" t="s">
        <v>559</v>
      </c>
      <c r="E443" s="4" t="s">
        <v>652</v>
      </c>
      <c r="N443" s="4" t="s">
        <v>536</v>
      </c>
      <c r="O443" s="4" t="s">
        <v>343</v>
      </c>
      <c r="Q443" s="4" t="s">
        <v>541</v>
      </c>
      <c r="AB443" s="4" t="s">
        <v>653</v>
      </c>
      <c r="AC443" s="4" t="s">
        <v>654</v>
      </c>
      <c r="AD443" s="4" t="s">
        <v>655</v>
      </c>
      <c r="AE443" s="4" t="s">
        <v>656</v>
      </c>
      <c r="AF443" s="4" t="s">
        <v>657</v>
      </c>
      <c r="BI443" s="4" t="s">
        <v>309</v>
      </c>
      <c r="BN443" s="4">
        <v>0.2</v>
      </c>
      <c r="BS443" s="4">
        <v>5.4</v>
      </c>
      <c r="CB443" s="4" t="s">
        <v>658</v>
      </c>
      <c r="CC443" s="4">
        <v>120</v>
      </c>
      <c r="DO443" s="4">
        <v>3</v>
      </c>
      <c r="GT443" s="4">
        <v>502.4</v>
      </c>
      <c r="GX443" s="4">
        <v>83.7</v>
      </c>
      <c r="HA443" s="4">
        <v>83.7</v>
      </c>
      <c r="KZ443" s="1" t="s">
        <v>659</v>
      </c>
      <c r="LA443" s="1" t="s">
        <v>660</v>
      </c>
    </row>
    <row r="444" customHeight="1" spans="1:313">
      <c r="A444" s="16">
        <v>14</v>
      </c>
      <c r="B444" s="4" t="s">
        <v>650</v>
      </c>
      <c r="C444" s="5" t="s">
        <v>651</v>
      </c>
      <c r="D444" s="4" t="s">
        <v>559</v>
      </c>
      <c r="E444" s="4" t="s">
        <v>652</v>
      </c>
      <c r="N444" s="4" t="s">
        <v>536</v>
      </c>
      <c r="O444" s="4" t="s">
        <v>343</v>
      </c>
      <c r="Q444" s="4" t="s">
        <v>541</v>
      </c>
      <c r="AB444" s="4" t="s">
        <v>653</v>
      </c>
      <c r="AC444" s="4" t="s">
        <v>654</v>
      </c>
      <c r="AD444" s="4" t="s">
        <v>655</v>
      </c>
      <c r="AE444" s="4" t="s">
        <v>656</v>
      </c>
      <c r="AF444" s="4" t="s">
        <v>657</v>
      </c>
      <c r="BI444" s="4" t="s">
        <v>309</v>
      </c>
      <c r="BN444" s="4">
        <v>0.2</v>
      </c>
      <c r="BS444" s="4">
        <v>5.5</v>
      </c>
      <c r="CB444" s="4" t="s">
        <v>661</v>
      </c>
      <c r="CC444" s="4">
        <v>120</v>
      </c>
      <c r="DO444" s="4">
        <v>3</v>
      </c>
      <c r="HX444" s="1">
        <v>315.2</v>
      </c>
      <c r="IB444" s="1">
        <v>52.5</v>
      </c>
      <c r="IE444" s="1">
        <v>52.5</v>
      </c>
      <c r="KZ444" s="1" t="s">
        <v>662</v>
      </c>
      <c r="LA444" s="1" t="s">
        <v>663</v>
      </c>
    </row>
    <row r="445" customHeight="1" spans="1:313">
      <c r="A445" s="16">
        <v>14</v>
      </c>
      <c r="B445" s="4" t="s">
        <v>650</v>
      </c>
      <c r="C445" s="5" t="s">
        <v>651</v>
      </c>
      <c r="D445" s="4" t="s">
        <v>559</v>
      </c>
      <c r="E445" s="4" t="s">
        <v>652</v>
      </c>
      <c r="N445" s="4" t="s">
        <v>536</v>
      </c>
      <c r="O445" s="4" t="s">
        <v>343</v>
      </c>
      <c r="Q445" s="4" t="s">
        <v>541</v>
      </c>
      <c r="AB445" s="4" t="s">
        <v>653</v>
      </c>
      <c r="AC445" s="4" t="s">
        <v>654</v>
      </c>
      <c r="AD445" s="4" t="s">
        <v>655</v>
      </c>
      <c r="AE445" s="4" t="s">
        <v>656</v>
      </c>
      <c r="AF445" s="4" t="s">
        <v>657</v>
      </c>
      <c r="BI445" s="4" t="s">
        <v>309</v>
      </c>
      <c r="BN445" s="4">
        <v>0.2</v>
      </c>
      <c r="BS445" s="4">
        <v>5.7</v>
      </c>
      <c r="CB445" s="4" t="s">
        <v>664</v>
      </c>
      <c r="CC445" s="4">
        <v>120</v>
      </c>
      <c r="CV445" s="4">
        <v>10</v>
      </c>
      <c r="DO445" s="4">
        <v>3</v>
      </c>
      <c r="GI445" s="4">
        <v>100</v>
      </c>
      <c r="GL445" s="4">
        <v>100</v>
      </c>
    </row>
    <row r="446" customHeight="1" spans="1:313">
      <c r="A446" s="16">
        <v>14</v>
      </c>
      <c r="B446" s="4" t="s">
        <v>650</v>
      </c>
      <c r="C446" s="5" t="s">
        <v>651</v>
      </c>
      <c r="D446" s="4" t="s">
        <v>559</v>
      </c>
      <c r="E446" s="4" t="s">
        <v>652</v>
      </c>
      <c r="N446" s="4" t="s">
        <v>536</v>
      </c>
      <c r="O446" s="4" t="s">
        <v>343</v>
      </c>
      <c r="Q446" s="4" t="s">
        <v>541</v>
      </c>
      <c r="AB446" s="4" t="s">
        <v>653</v>
      </c>
      <c r="AC446" s="4" t="s">
        <v>654</v>
      </c>
      <c r="AD446" s="4" t="s">
        <v>655</v>
      </c>
      <c r="AE446" s="4" t="s">
        <v>656</v>
      </c>
      <c r="AF446" s="4" t="s">
        <v>657</v>
      </c>
      <c r="AH446" s="4" t="s">
        <v>665</v>
      </c>
      <c r="AI446" s="4" t="s">
        <v>666</v>
      </c>
      <c r="AL446" s="4" t="s">
        <v>486</v>
      </c>
      <c r="BE446" s="4" t="s">
        <v>667</v>
      </c>
      <c r="BI446" s="4" t="s">
        <v>321</v>
      </c>
      <c r="BK446" s="4">
        <v>175</v>
      </c>
      <c r="BL446" s="4">
        <v>700</v>
      </c>
      <c r="BP446" s="4">
        <v>0</v>
      </c>
      <c r="BV446" s="4" t="s">
        <v>408</v>
      </c>
      <c r="BX446" s="4" t="s">
        <v>668</v>
      </c>
      <c r="CB446" s="4" t="s">
        <v>646</v>
      </c>
      <c r="CE446" s="4" t="s">
        <v>669</v>
      </c>
      <c r="CH446" s="4" t="s">
        <v>526</v>
      </c>
      <c r="CK446" s="4" t="s">
        <v>670</v>
      </c>
      <c r="DO446" s="4">
        <v>3</v>
      </c>
      <c r="DS446" s="1" t="s">
        <v>671</v>
      </c>
      <c r="DT446" s="1">
        <v>0.08475</v>
      </c>
      <c r="DU446" s="27"/>
      <c r="ED446" s="1">
        <v>0</v>
      </c>
      <c r="FY446" s="1">
        <v>0.00672</v>
      </c>
      <c r="GA446" s="1" t="s">
        <v>672</v>
      </c>
      <c r="GB446" s="1">
        <v>0.00172</v>
      </c>
      <c r="GK446" s="1" t="e">
        <f>(FY446-GA446)/FY446*100</f>
        <v>#VALUE!</v>
      </c>
      <c r="GL446" s="1">
        <v>0</v>
      </c>
      <c r="GN446" s="1">
        <v>1.15</v>
      </c>
      <c r="GP446" s="27" t="s">
        <v>673</v>
      </c>
      <c r="GQ446" s="1">
        <v>0.02834</v>
      </c>
      <c r="GZ446" s="1" t="e">
        <f t="shared" ref="GZ446:GZ450" si="15">(GN446-GP446)/GN446*100</f>
        <v>#VALUE!</v>
      </c>
      <c r="HA446" s="1">
        <v>0</v>
      </c>
      <c r="HR446" s="1">
        <v>4.678</v>
      </c>
      <c r="HT446" s="1" t="s">
        <v>674</v>
      </c>
      <c r="HU446" s="1">
        <v>0.13363</v>
      </c>
      <c r="ID446" s="1" t="e">
        <f t="shared" ref="ID446:ID450" si="16">(HR446-HT446)/HR446*100</f>
        <v>#VALUE!</v>
      </c>
      <c r="IE446" s="1">
        <v>0</v>
      </c>
    </row>
    <row r="447" customHeight="1" spans="1:313">
      <c r="A447" s="16">
        <v>14</v>
      </c>
      <c r="B447" s="4" t="s">
        <v>650</v>
      </c>
      <c r="C447" s="5" t="s">
        <v>651</v>
      </c>
      <c r="D447" s="4" t="s">
        <v>559</v>
      </c>
      <c r="E447" s="4" t="s">
        <v>652</v>
      </c>
      <c r="N447" s="4" t="s">
        <v>536</v>
      </c>
      <c r="O447" s="4" t="s">
        <v>343</v>
      </c>
      <c r="Q447" s="4" t="s">
        <v>541</v>
      </c>
      <c r="AB447" s="4" t="s">
        <v>653</v>
      </c>
      <c r="AC447" s="4" t="s">
        <v>654</v>
      </c>
      <c r="AD447" s="4" t="s">
        <v>655</v>
      </c>
      <c r="AE447" s="4" t="s">
        <v>656</v>
      </c>
      <c r="AF447" s="4" t="s">
        <v>657</v>
      </c>
      <c r="AH447" s="4" t="s">
        <v>665</v>
      </c>
      <c r="AI447" s="4" t="s">
        <v>666</v>
      </c>
      <c r="AL447" s="4" t="s">
        <v>486</v>
      </c>
      <c r="BE447" s="4" t="s">
        <v>667</v>
      </c>
      <c r="BI447" s="4" t="s">
        <v>321</v>
      </c>
      <c r="BP447" s="4">
        <v>0.2</v>
      </c>
      <c r="BV447" s="4" t="s">
        <v>408</v>
      </c>
      <c r="BX447" s="4" t="s">
        <v>668</v>
      </c>
      <c r="CB447" s="4" t="s">
        <v>646</v>
      </c>
      <c r="CE447" s="4" t="s">
        <v>669</v>
      </c>
      <c r="CH447" s="4" t="s">
        <v>526</v>
      </c>
      <c r="CK447" s="4" t="s">
        <v>670</v>
      </c>
      <c r="DO447" s="4">
        <v>3</v>
      </c>
      <c r="DQ447" s="1">
        <v>0.6043</v>
      </c>
      <c r="DR447" s="1">
        <v>0.08475</v>
      </c>
      <c r="DS447" s="1">
        <v>0.1491</v>
      </c>
      <c r="DT447" s="1">
        <v>0.00942</v>
      </c>
      <c r="DU447" s="27"/>
      <c r="EC447" s="1">
        <f>(DQ447-DS447)/DQ447*100</f>
        <v>75.3268244249545</v>
      </c>
      <c r="ED447" s="1">
        <v>75.3268244249545</v>
      </c>
      <c r="FY447" s="1">
        <v>0.00672</v>
      </c>
      <c r="GA447" s="1">
        <v>0.00447</v>
      </c>
      <c r="GB447" s="1">
        <v>0.00067</v>
      </c>
      <c r="GK447" s="1">
        <f>(FY447-GA447)/FY447*100</f>
        <v>33.4821428571429</v>
      </c>
      <c r="GL447" s="1">
        <v>33.4821428571429</v>
      </c>
      <c r="GN447" s="1">
        <v>1.15</v>
      </c>
      <c r="GP447" s="27">
        <v>0.4073</v>
      </c>
      <c r="GQ447" s="1">
        <v>0.02267</v>
      </c>
      <c r="GZ447" s="1">
        <f t="shared" si="15"/>
        <v>64.5826086956522</v>
      </c>
      <c r="HA447" s="1">
        <v>64.5826086956522</v>
      </c>
      <c r="HR447" s="1">
        <v>4.678</v>
      </c>
      <c r="HT447" s="1">
        <v>0.5667</v>
      </c>
      <c r="HU447" s="1">
        <v>0.08909</v>
      </c>
      <c r="ID447" s="1">
        <f t="shared" si="16"/>
        <v>87.8858486532706</v>
      </c>
      <c r="IE447" s="1">
        <v>87.8858486532706</v>
      </c>
    </row>
    <row r="448" customHeight="1" spans="1:313">
      <c r="A448" s="16">
        <v>14</v>
      </c>
      <c r="B448" s="4" t="s">
        <v>650</v>
      </c>
      <c r="C448" s="5" t="s">
        <v>651</v>
      </c>
      <c r="D448" s="4" t="s">
        <v>559</v>
      </c>
      <c r="E448" s="4" t="s">
        <v>652</v>
      </c>
      <c r="N448" s="4" t="s">
        <v>536</v>
      </c>
      <c r="O448" s="4" t="s">
        <v>343</v>
      </c>
      <c r="Q448" s="4" t="s">
        <v>541</v>
      </c>
      <c r="AB448" s="4" t="s">
        <v>653</v>
      </c>
      <c r="AC448" s="4" t="s">
        <v>654</v>
      </c>
      <c r="AD448" s="4" t="s">
        <v>655</v>
      </c>
      <c r="AE448" s="4" t="s">
        <v>656</v>
      </c>
      <c r="AF448" s="4" t="s">
        <v>657</v>
      </c>
      <c r="AH448" s="4" t="s">
        <v>665</v>
      </c>
      <c r="AI448" s="4" t="s">
        <v>666</v>
      </c>
      <c r="AL448" s="4" t="s">
        <v>486</v>
      </c>
      <c r="BE448" s="4" t="s">
        <v>667</v>
      </c>
      <c r="BI448" s="4" t="s">
        <v>321</v>
      </c>
      <c r="BP448" s="4">
        <v>0.5</v>
      </c>
      <c r="BV448" s="4" t="s">
        <v>408</v>
      </c>
      <c r="BX448" s="4" t="s">
        <v>668</v>
      </c>
      <c r="CB448" s="4" t="s">
        <v>646</v>
      </c>
      <c r="CE448" s="4" t="s">
        <v>669</v>
      </c>
      <c r="CH448" s="4" t="s">
        <v>526</v>
      </c>
      <c r="CK448" s="4" t="s">
        <v>670</v>
      </c>
      <c r="DO448" s="4">
        <v>3</v>
      </c>
      <c r="DQ448" s="1">
        <v>0.6043</v>
      </c>
      <c r="DR448" s="1">
        <v>0.08475</v>
      </c>
      <c r="DS448" s="1">
        <v>0.0706</v>
      </c>
      <c r="DT448" s="1">
        <v>0.00314</v>
      </c>
      <c r="DU448" s="27"/>
      <c r="EC448" s="1">
        <f t="shared" ref="EC448:EC456" si="17">(DQ448-DS448)/DQ448*100</f>
        <v>88.3170610623862</v>
      </c>
      <c r="ED448" s="1">
        <v>88.3170610623862</v>
      </c>
      <c r="FY448" s="1">
        <v>0.00672</v>
      </c>
      <c r="GA448" s="1">
        <v>0.00443</v>
      </c>
      <c r="GB448" s="1">
        <v>0.00079</v>
      </c>
      <c r="GK448" s="1">
        <f t="shared" ref="GK448:GK476" si="18">(FY448-GA448)/FY448*100</f>
        <v>34.077380952381</v>
      </c>
      <c r="GL448" s="1">
        <v>34.077380952381</v>
      </c>
      <c r="GN448" s="1">
        <v>1.15</v>
      </c>
      <c r="GP448" s="27">
        <v>0.3309</v>
      </c>
      <c r="GQ448" s="1">
        <v>0.02834</v>
      </c>
      <c r="GZ448" s="1">
        <f t="shared" si="15"/>
        <v>71.2260869565217</v>
      </c>
      <c r="HA448" s="1">
        <v>71.2260869565217</v>
      </c>
      <c r="HR448" s="1">
        <v>4.678</v>
      </c>
      <c r="HT448" s="1">
        <v>0.1889</v>
      </c>
      <c r="HU448" s="1">
        <v>0.01114</v>
      </c>
      <c r="ID448" s="1">
        <f t="shared" si="16"/>
        <v>95.9619495510902</v>
      </c>
      <c r="IE448" s="1">
        <v>95.9619495510902</v>
      </c>
    </row>
    <row r="449" customHeight="1" spans="1:313">
      <c r="A449" s="16">
        <v>14</v>
      </c>
      <c r="B449" s="4" t="s">
        <v>650</v>
      </c>
      <c r="C449" s="5" t="s">
        <v>651</v>
      </c>
      <c r="D449" s="4" t="s">
        <v>559</v>
      </c>
      <c r="E449" s="4" t="s">
        <v>652</v>
      </c>
      <c r="N449" s="4" t="s">
        <v>536</v>
      </c>
      <c r="O449" s="4" t="s">
        <v>343</v>
      </c>
      <c r="Q449" s="4" t="s">
        <v>541</v>
      </c>
      <c r="AB449" s="4" t="s">
        <v>653</v>
      </c>
      <c r="AC449" s="4" t="s">
        <v>654</v>
      </c>
      <c r="AD449" s="4" t="s">
        <v>655</v>
      </c>
      <c r="AE449" s="4" t="s">
        <v>656</v>
      </c>
      <c r="AF449" s="4" t="s">
        <v>657</v>
      </c>
      <c r="AH449" s="4" t="s">
        <v>665</v>
      </c>
      <c r="AI449" s="4" t="s">
        <v>666</v>
      </c>
      <c r="AL449" s="4" t="s">
        <v>486</v>
      </c>
      <c r="BE449" s="4" t="s">
        <v>667</v>
      </c>
      <c r="BI449" s="4" t="s">
        <v>321</v>
      </c>
      <c r="BP449" s="4">
        <v>1</v>
      </c>
      <c r="BV449" s="4" t="s">
        <v>408</v>
      </c>
      <c r="BX449" s="4" t="s">
        <v>668</v>
      </c>
      <c r="CB449" s="4" t="s">
        <v>646</v>
      </c>
      <c r="CE449" s="4" t="s">
        <v>669</v>
      </c>
      <c r="CH449" s="4" t="s">
        <v>526</v>
      </c>
      <c r="CK449" s="4" t="s">
        <v>670</v>
      </c>
      <c r="DO449" s="4">
        <v>3</v>
      </c>
      <c r="DQ449" s="1">
        <v>0.6043</v>
      </c>
      <c r="DR449" s="1">
        <v>0.08475</v>
      </c>
      <c r="DS449" s="1">
        <v>0.0926</v>
      </c>
      <c r="DT449" s="1">
        <v>0.08161</v>
      </c>
      <c r="DU449" s="27"/>
      <c r="EC449" s="1">
        <f t="shared" si="17"/>
        <v>84.6764851894754</v>
      </c>
      <c r="ED449" s="1">
        <v>84.6764851894754</v>
      </c>
      <c r="FY449" s="1">
        <v>0.00672</v>
      </c>
      <c r="GA449" s="1">
        <v>0.00509</v>
      </c>
      <c r="GB449" s="1">
        <v>0.00105</v>
      </c>
      <c r="GK449" s="1">
        <f t="shared" si="18"/>
        <v>24.2559523809524</v>
      </c>
      <c r="GL449" s="1">
        <v>24.2559523809524</v>
      </c>
      <c r="GN449" s="1">
        <v>1.15</v>
      </c>
      <c r="GP449" s="27">
        <v>0.2093</v>
      </c>
      <c r="GQ449" s="1">
        <v>0.017</v>
      </c>
      <c r="GZ449" s="1">
        <f t="shared" si="15"/>
        <v>81.8</v>
      </c>
      <c r="HA449" s="1">
        <v>81.8</v>
      </c>
      <c r="HR449" s="1">
        <v>4.678</v>
      </c>
      <c r="HT449" s="1">
        <v>0.1111</v>
      </c>
      <c r="HU449" s="1">
        <v>0.01114</v>
      </c>
      <c r="ID449" s="1">
        <f t="shared" si="16"/>
        <v>97.6250534416417</v>
      </c>
      <c r="IE449" s="1">
        <v>97.6250534416417</v>
      </c>
    </row>
    <row r="450" customHeight="1" spans="1:313">
      <c r="A450" s="16">
        <v>14</v>
      </c>
      <c r="B450" s="4" t="s">
        <v>650</v>
      </c>
      <c r="C450" s="5" t="s">
        <v>651</v>
      </c>
      <c r="D450" s="4" t="s">
        <v>559</v>
      </c>
      <c r="E450" s="4" t="s">
        <v>652</v>
      </c>
      <c r="N450" s="4" t="s">
        <v>536</v>
      </c>
      <c r="O450" s="4" t="s">
        <v>343</v>
      </c>
      <c r="Q450" s="4" t="s">
        <v>541</v>
      </c>
      <c r="AB450" s="4" t="s">
        <v>653</v>
      </c>
      <c r="AC450" s="4" t="s">
        <v>654</v>
      </c>
      <c r="AD450" s="4" t="s">
        <v>655</v>
      </c>
      <c r="AE450" s="4" t="s">
        <v>656</v>
      </c>
      <c r="AF450" s="4" t="s">
        <v>657</v>
      </c>
      <c r="AH450" s="4" t="s">
        <v>665</v>
      </c>
      <c r="AI450" s="4" t="s">
        <v>666</v>
      </c>
      <c r="AL450" s="4" t="s">
        <v>486</v>
      </c>
      <c r="BE450" s="4" t="s">
        <v>667</v>
      </c>
      <c r="BI450" s="4" t="s">
        <v>321</v>
      </c>
      <c r="BP450" s="4">
        <v>2</v>
      </c>
      <c r="BV450" s="4" t="s">
        <v>408</v>
      </c>
      <c r="BX450" s="4" t="s">
        <v>668</v>
      </c>
      <c r="CB450" s="4" t="s">
        <v>646</v>
      </c>
      <c r="CE450" s="4" t="s">
        <v>669</v>
      </c>
      <c r="CH450" s="4" t="s">
        <v>526</v>
      </c>
      <c r="CK450" s="4" t="s">
        <v>670</v>
      </c>
      <c r="DO450" s="4">
        <v>3</v>
      </c>
      <c r="DQ450" s="1">
        <v>0.6043</v>
      </c>
      <c r="DR450" s="1">
        <v>0.08475</v>
      </c>
      <c r="DS450" s="1">
        <v>0.0173</v>
      </c>
      <c r="DT450" s="1">
        <v>0.00942</v>
      </c>
      <c r="DU450" s="27"/>
      <c r="EC450" s="1">
        <f t="shared" si="17"/>
        <v>97.1371835181201</v>
      </c>
      <c r="ED450" s="1">
        <v>97.1371835181201</v>
      </c>
      <c r="FY450" s="1">
        <v>0.00672</v>
      </c>
      <c r="GA450" s="1">
        <v>0.00555</v>
      </c>
      <c r="GB450" s="1">
        <v>0.00071</v>
      </c>
      <c r="GK450" s="1">
        <f t="shared" si="18"/>
        <v>17.4107142857143</v>
      </c>
      <c r="GL450" s="1">
        <v>17.4107142857143</v>
      </c>
      <c r="GN450" s="1">
        <v>1.15</v>
      </c>
      <c r="GP450" s="27">
        <v>0.1923</v>
      </c>
      <c r="GQ450" s="1">
        <v>0.01134</v>
      </c>
      <c r="GZ450" s="1">
        <f t="shared" si="15"/>
        <v>83.2782608695652</v>
      </c>
      <c r="HA450" s="1">
        <v>83.2782608695652</v>
      </c>
      <c r="HR450" s="1">
        <v>4.678</v>
      </c>
      <c r="HT450" s="1">
        <v>0.0444</v>
      </c>
      <c r="HU450" s="1">
        <v>0.01114</v>
      </c>
      <c r="ID450" s="1">
        <f t="shared" si="16"/>
        <v>99.0508764429243</v>
      </c>
      <c r="IE450" s="1">
        <v>99.0508764429243</v>
      </c>
    </row>
    <row r="451" customHeight="1" spans="1:313">
      <c r="A451" s="16">
        <v>14</v>
      </c>
      <c r="B451" s="4" t="s">
        <v>650</v>
      </c>
      <c r="C451" s="5" t="s">
        <v>651</v>
      </c>
      <c r="D451" s="4" t="s">
        <v>559</v>
      </c>
      <c r="E451" s="4" t="s">
        <v>652</v>
      </c>
      <c r="N451" s="4" t="s">
        <v>536</v>
      </c>
      <c r="O451" s="4" t="s">
        <v>343</v>
      </c>
      <c r="Q451" s="4" t="s">
        <v>541</v>
      </c>
      <c r="AB451" s="4" t="s">
        <v>653</v>
      </c>
      <c r="AC451" s="4" t="s">
        <v>654</v>
      </c>
      <c r="AD451" s="4" t="s">
        <v>655</v>
      </c>
      <c r="AE451" s="4" t="s">
        <v>656</v>
      </c>
      <c r="AF451" s="4" t="s">
        <v>657</v>
      </c>
      <c r="AH451" s="4" t="s">
        <v>665</v>
      </c>
      <c r="AI451" s="4" t="s">
        <v>666</v>
      </c>
      <c r="AL451" s="4" t="s">
        <v>486</v>
      </c>
      <c r="BE451" s="4" t="s">
        <v>667</v>
      </c>
      <c r="BF451" s="4" t="s">
        <v>328</v>
      </c>
      <c r="BG451" s="4" t="s">
        <v>675</v>
      </c>
      <c r="BH451" s="4" t="s">
        <v>676</v>
      </c>
      <c r="BI451" s="4" t="s">
        <v>321</v>
      </c>
      <c r="BQ451" s="1">
        <v>0</v>
      </c>
      <c r="BV451" s="4" t="s">
        <v>677</v>
      </c>
      <c r="CB451" s="4" t="s">
        <v>646</v>
      </c>
      <c r="CC451" s="4">
        <v>0.4109</v>
      </c>
      <c r="CE451" s="1" t="s">
        <v>669</v>
      </c>
      <c r="CH451" s="1" t="s">
        <v>526</v>
      </c>
      <c r="CK451" s="1" t="s">
        <v>670</v>
      </c>
      <c r="DO451" s="4">
        <v>3</v>
      </c>
      <c r="GA451" s="1">
        <v>0.009324</v>
      </c>
      <c r="GB451" s="1">
        <v>0.00156</v>
      </c>
      <c r="GL451" s="1">
        <v>0</v>
      </c>
    </row>
    <row r="452" customHeight="1" spans="1:313">
      <c r="A452" s="16">
        <v>14</v>
      </c>
      <c r="B452" s="4" t="s">
        <v>650</v>
      </c>
      <c r="C452" s="5" t="s">
        <v>651</v>
      </c>
      <c r="D452" s="4" t="s">
        <v>559</v>
      </c>
      <c r="E452" s="4" t="s">
        <v>652</v>
      </c>
      <c r="N452" s="4" t="s">
        <v>536</v>
      </c>
      <c r="O452" s="4" t="s">
        <v>343</v>
      </c>
      <c r="Q452" s="4" t="s">
        <v>541</v>
      </c>
      <c r="AB452" s="4" t="s">
        <v>653</v>
      </c>
      <c r="AC452" s="4" t="s">
        <v>654</v>
      </c>
      <c r="AD452" s="4" t="s">
        <v>655</v>
      </c>
      <c r="AE452" s="4" t="s">
        <v>656</v>
      </c>
      <c r="AF452" s="4" t="s">
        <v>657</v>
      </c>
      <c r="AH452" s="4" t="s">
        <v>665</v>
      </c>
      <c r="AI452" s="4" t="s">
        <v>666</v>
      </c>
      <c r="AL452" s="4" t="s">
        <v>486</v>
      </c>
      <c r="BE452" s="4" t="s">
        <v>667</v>
      </c>
      <c r="BF452" s="4" t="s">
        <v>328</v>
      </c>
      <c r="BG452" s="4" t="s">
        <v>675</v>
      </c>
      <c r="BH452" s="4" t="s">
        <v>676</v>
      </c>
      <c r="BI452" s="4" t="s">
        <v>321</v>
      </c>
      <c r="BQ452" s="1">
        <v>50000</v>
      </c>
      <c r="BV452" s="4" t="s">
        <v>677</v>
      </c>
      <c r="CB452" s="4" t="s">
        <v>646</v>
      </c>
      <c r="CC452" s="4">
        <v>0.287</v>
      </c>
      <c r="CE452" s="1" t="s">
        <v>669</v>
      </c>
      <c r="CH452" s="1" t="s">
        <v>526</v>
      </c>
      <c r="CK452" s="1" t="s">
        <v>670</v>
      </c>
      <c r="DO452" s="4">
        <v>3</v>
      </c>
      <c r="FY452" s="1">
        <v>0.009324</v>
      </c>
      <c r="FZ452" s="1">
        <v>0.00156</v>
      </c>
      <c r="GA452" s="1">
        <v>0.005673</v>
      </c>
      <c r="GB452" s="1">
        <v>0.00209</v>
      </c>
      <c r="GL452" s="1">
        <v>38.71</v>
      </c>
    </row>
    <row r="453" customHeight="1" spans="1:313">
      <c r="A453" s="3">
        <v>15</v>
      </c>
      <c r="B453" s="4" t="s">
        <v>678</v>
      </c>
      <c r="C453" s="5" t="s">
        <v>558</v>
      </c>
      <c r="D453" s="4" t="s">
        <v>559</v>
      </c>
      <c r="E453" s="4" t="s">
        <v>679</v>
      </c>
      <c r="N453" s="4" t="s">
        <v>532</v>
      </c>
      <c r="O453" s="4" t="s">
        <v>343</v>
      </c>
      <c r="P453" s="4">
        <v>3</v>
      </c>
      <c r="R453" s="4" t="s">
        <v>680</v>
      </c>
      <c r="S453" s="4" t="s">
        <v>681</v>
      </c>
      <c r="T453" s="4">
        <v>65.563</v>
      </c>
      <c r="U453" s="4">
        <v>0.065</v>
      </c>
      <c r="V453" s="4">
        <v>3.671</v>
      </c>
      <c r="X453" s="4">
        <v>0.779</v>
      </c>
      <c r="Y453" s="4">
        <v>0.39</v>
      </c>
      <c r="AB453" s="4" t="s">
        <v>682</v>
      </c>
      <c r="AC453" s="4" t="s">
        <v>683</v>
      </c>
      <c r="AD453" s="4" t="s">
        <v>684</v>
      </c>
      <c r="AE453" s="4" t="s">
        <v>685</v>
      </c>
      <c r="AF453" s="4" t="s">
        <v>686</v>
      </c>
      <c r="AH453" s="4" t="s">
        <v>543</v>
      </c>
      <c r="AI453" s="4" t="s">
        <v>687</v>
      </c>
      <c r="AJ453" s="4" t="s">
        <v>545</v>
      </c>
      <c r="AK453" s="4" t="s">
        <v>688</v>
      </c>
      <c r="AL453" s="4" t="s">
        <v>689</v>
      </c>
      <c r="AM453" s="4" t="s">
        <v>690</v>
      </c>
      <c r="AN453" s="4">
        <v>13.68</v>
      </c>
      <c r="AO453" s="4">
        <v>4.775</v>
      </c>
      <c r="AQ453" s="4" t="s">
        <v>424</v>
      </c>
      <c r="AR453" s="4" t="s">
        <v>691</v>
      </c>
      <c r="AS453" s="4" t="s">
        <v>7</v>
      </c>
      <c r="AT453" s="4" t="s">
        <v>692</v>
      </c>
      <c r="AU453" s="4" t="s">
        <v>374</v>
      </c>
      <c r="AV453" s="4" t="s">
        <v>693</v>
      </c>
      <c r="BC453" s="4" t="s">
        <v>694</v>
      </c>
      <c r="BE453" s="4" t="s">
        <v>695</v>
      </c>
      <c r="BI453" s="4" t="s">
        <v>321</v>
      </c>
      <c r="BL453" s="4">
        <v>50</v>
      </c>
      <c r="BP453" s="4">
        <v>0</v>
      </c>
      <c r="BS453" s="4">
        <v>8.2</v>
      </c>
      <c r="BV453" s="4" t="s">
        <v>696</v>
      </c>
      <c r="BW453" s="4" t="s">
        <v>323</v>
      </c>
      <c r="BX453" s="4" t="s">
        <v>557</v>
      </c>
      <c r="BZ453" s="4">
        <v>3</v>
      </c>
      <c r="CB453" s="4" t="s">
        <v>438</v>
      </c>
      <c r="CE453" s="4" t="s">
        <v>435</v>
      </c>
      <c r="CH453" s="4" t="s">
        <v>697</v>
      </c>
      <c r="DO453" s="4">
        <v>3</v>
      </c>
      <c r="DS453" s="27" t="s">
        <v>698</v>
      </c>
      <c r="DT453" s="36">
        <v>0.02051</v>
      </c>
      <c r="EC453" s="1" t="e">
        <f t="shared" si="17"/>
        <v>#VALUE!</v>
      </c>
      <c r="ED453" s="1">
        <v>0</v>
      </c>
      <c r="FJ453" s="1">
        <v>3.61</v>
      </c>
      <c r="FL453" s="27" t="s">
        <v>699</v>
      </c>
      <c r="FM453" s="36">
        <v>0.36129</v>
      </c>
      <c r="FV453" s="1" t="e">
        <f t="shared" ref="FV453:FV476" si="19">(FJ453-FL453)/FJ453*100</f>
        <v>#VALUE!</v>
      </c>
      <c r="FW453" s="1">
        <v>0</v>
      </c>
      <c r="FY453" s="27">
        <v>1.663</v>
      </c>
      <c r="GA453" s="27" t="s">
        <v>700</v>
      </c>
      <c r="GB453" s="36">
        <v>0.11429</v>
      </c>
      <c r="GK453" s="1" t="e">
        <f t="shared" si="18"/>
        <v>#VALUE!</v>
      </c>
      <c r="GL453" s="1">
        <v>0</v>
      </c>
      <c r="KZ453" s="1" t="s">
        <v>424</v>
      </c>
      <c r="LA453" s="1" t="s">
        <v>701</v>
      </c>
    </row>
    <row r="454" customHeight="1" spans="1:313">
      <c r="A454" s="3">
        <v>15</v>
      </c>
      <c r="B454" s="4" t="s">
        <v>678</v>
      </c>
      <c r="C454" s="5" t="s">
        <v>558</v>
      </c>
      <c r="D454" s="4" t="s">
        <v>559</v>
      </c>
      <c r="E454" s="4" t="s">
        <v>679</v>
      </c>
      <c r="N454" s="4" t="s">
        <v>532</v>
      </c>
      <c r="O454" s="4" t="s">
        <v>343</v>
      </c>
      <c r="P454" s="4">
        <v>3</v>
      </c>
      <c r="R454" s="4" t="s">
        <v>680</v>
      </c>
      <c r="S454" s="4" t="s">
        <v>681</v>
      </c>
      <c r="T454" s="4">
        <v>65.563</v>
      </c>
      <c r="U454" s="4">
        <v>0.065</v>
      </c>
      <c r="V454" s="4">
        <v>3.671</v>
      </c>
      <c r="X454" s="4">
        <v>0.779</v>
      </c>
      <c r="Y454" s="4">
        <v>0.39</v>
      </c>
      <c r="AB454" s="4" t="s">
        <v>682</v>
      </c>
      <c r="AC454" s="4" t="s">
        <v>683</v>
      </c>
      <c r="AD454" s="4" t="s">
        <v>684</v>
      </c>
      <c r="AE454" s="4" t="s">
        <v>685</v>
      </c>
      <c r="AF454" s="4" t="s">
        <v>686</v>
      </c>
      <c r="AH454" s="4" t="s">
        <v>543</v>
      </c>
      <c r="AI454" s="4" t="s">
        <v>687</v>
      </c>
      <c r="AJ454" s="4" t="s">
        <v>545</v>
      </c>
      <c r="AK454" s="4" t="s">
        <v>688</v>
      </c>
      <c r="AL454" s="4" t="s">
        <v>689</v>
      </c>
      <c r="AM454" s="4" t="s">
        <v>690</v>
      </c>
      <c r="AN454" s="4">
        <v>13.68</v>
      </c>
      <c r="AO454" s="4">
        <v>4.775</v>
      </c>
      <c r="AQ454" s="4" t="s">
        <v>424</v>
      </c>
      <c r="AR454" s="4" t="s">
        <v>691</v>
      </c>
      <c r="AS454" s="4" t="s">
        <v>7</v>
      </c>
      <c r="AT454" s="4" t="s">
        <v>692</v>
      </c>
      <c r="AU454" s="4" t="s">
        <v>374</v>
      </c>
      <c r="AV454" s="4" t="s">
        <v>693</v>
      </c>
      <c r="BC454" s="4" t="s">
        <v>694</v>
      </c>
      <c r="BE454" s="4" t="s">
        <v>695</v>
      </c>
      <c r="BI454" s="4" t="s">
        <v>321</v>
      </c>
      <c r="BL454" s="4">
        <v>50</v>
      </c>
      <c r="BP454" s="4">
        <v>10</v>
      </c>
      <c r="BV454" s="4" t="s">
        <v>696</v>
      </c>
      <c r="CB454" s="4" t="s">
        <v>438</v>
      </c>
      <c r="CE454" s="4" t="s">
        <v>435</v>
      </c>
      <c r="CH454" s="4" t="s">
        <v>697</v>
      </c>
      <c r="DO454" s="4">
        <v>3</v>
      </c>
      <c r="DQ454" s="27">
        <v>0.187</v>
      </c>
      <c r="DR454" s="36">
        <v>0.02051</v>
      </c>
      <c r="DS454" s="27">
        <v>0.187</v>
      </c>
      <c r="DT454" s="36">
        <v>0.02051</v>
      </c>
      <c r="EC454" s="1">
        <f t="shared" ref="EC454:EC476" si="20">(DQ454-DS454)/DQ454*100</f>
        <v>0</v>
      </c>
      <c r="ED454" s="1">
        <v>0</v>
      </c>
      <c r="FJ454" s="1">
        <v>3.61</v>
      </c>
      <c r="FL454" s="27">
        <v>2.84</v>
      </c>
      <c r="FM454" s="36">
        <v>0.23226</v>
      </c>
      <c r="FV454" s="1">
        <f t="shared" si="19"/>
        <v>21.3296398891967</v>
      </c>
      <c r="FW454" s="1">
        <v>21.3296398891967</v>
      </c>
      <c r="FY454" s="27">
        <v>1.663</v>
      </c>
      <c r="GA454" s="27">
        <v>1.143</v>
      </c>
      <c r="GB454" s="36">
        <v>0.24127</v>
      </c>
      <c r="GK454" s="1">
        <f t="shared" si="18"/>
        <v>31.2687913409501</v>
      </c>
      <c r="GL454" s="1">
        <v>31.2687913409501</v>
      </c>
      <c r="KZ454" s="1" t="s">
        <v>7</v>
      </c>
      <c r="LA454" s="1" t="s">
        <v>701</v>
      </c>
    </row>
    <row r="455" customHeight="1" spans="1:313">
      <c r="A455" s="3">
        <v>15</v>
      </c>
      <c r="B455" s="4" t="s">
        <v>678</v>
      </c>
      <c r="C455" s="5" t="s">
        <v>558</v>
      </c>
      <c r="D455" s="4" t="s">
        <v>559</v>
      </c>
      <c r="E455" s="4" t="s">
        <v>679</v>
      </c>
      <c r="N455" s="4" t="s">
        <v>532</v>
      </c>
      <c r="O455" s="4" t="s">
        <v>343</v>
      </c>
      <c r="P455" s="4">
        <v>3</v>
      </c>
      <c r="R455" s="4" t="s">
        <v>680</v>
      </c>
      <c r="S455" s="4" t="s">
        <v>681</v>
      </c>
      <c r="T455" s="4">
        <v>65.563</v>
      </c>
      <c r="U455" s="4">
        <v>0.065</v>
      </c>
      <c r="V455" s="4">
        <v>3.671</v>
      </c>
      <c r="X455" s="4">
        <v>0.779</v>
      </c>
      <c r="Y455" s="4">
        <v>0.39</v>
      </c>
      <c r="AB455" s="4" t="s">
        <v>682</v>
      </c>
      <c r="AC455" s="4" t="s">
        <v>683</v>
      </c>
      <c r="AD455" s="4" t="s">
        <v>684</v>
      </c>
      <c r="AE455" s="4" t="s">
        <v>685</v>
      </c>
      <c r="AF455" s="4" t="s">
        <v>686</v>
      </c>
      <c r="AH455" s="4" t="s">
        <v>543</v>
      </c>
      <c r="AI455" s="4" t="s">
        <v>687</v>
      </c>
      <c r="AJ455" s="4" t="s">
        <v>545</v>
      </c>
      <c r="AK455" s="4" t="s">
        <v>688</v>
      </c>
      <c r="AL455" s="4" t="s">
        <v>689</v>
      </c>
      <c r="AM455" s="4" t="s">
        <v>690</v>
      </c>
      <c r="AN455" s="4">
        <v>13.68</v>
      </c>
      <c r="AO455" s="4">
        <v>4.775</v>
      </c>
      <c r="AQ455" s="4" t="s">
        <v>424</v>
      </c>
      <c r="AR455" s="4" t="s">
        <v>691</v>
      </c>
      <c r="AS455" s="4" t="s">
        <v>7</v>
      </c>
      <c r="AT455" s="4" t="s">
        <v>692</v>
      </c>
      <c r="AU455" s="4" t="s">
        <v>374</v>
      </c>
      <c r="AV455" s="4" t="s">
        <v>693</v>
      </c>
      <c r="BC455" s="4" t="s">
        <v>694</v>
      </c>
      <c r="BE455" s="4" t="s">
        <v>695</v>
      </c>
      <c r="BI455" s="4" t="s">
        <v>321</v>
      </c>
      <c r="BL455" s="4">
        <v>50</v>
      </c>
      <c r="BP455" s="4">
        <v>30</v>
      </c>
      <c r="BV455" s="4" t="s">
        <v>696</v>
      </c>
      <c r="CB455" s="4" t="s">
        <v>438</v>
      </c>
      <c r="CE455" s="4" t="s">
        <v>435</v>
      </c>
      <c r="CH455" s="4" t="s">
        <v>697</v>
      </c>
      <c r="DO455" s="4">
        <v>3</v>
      </c>
      <c r="DQ455" s="27">
        <v>0.187</v>
      </c>
      <c r="DR455" s="36">
        <v>0.02051</v>
      </c>
      <c r="DS455" s="27">
        <v>0.11</v>
      </c>
      <c r="DT455" s="36">
        <v>0.01282</v>
      </c>
      <c r="EC455" s="1">
        <f t="shared" si="20"/>
        <v>41.1764705882353</v>
      </c>
      <c r="ED455" s="1">
        <v>41.1764705882353</v>
      </c>
      <c r="FJ455" s="1">
        <v>3.61</v>
      </c>
      <c r="FL455" s="27">
        <v>2.35</v>
      </c>
      <c r="FM455" s="36">
        <v>0.25806</v>
      </c>
      <c r="FV455" s="1">
        <f t="shared" si="19"/>
        <v>34.9030470914127</v>
      </c>
      <c r="FW455" s="1">
        <v>34.9030470914127</v>
      </c>
      <c r="FY455" s="27">
        <v>1.663</v>
      </c>
      <c r="GA455" s="27">
        <v>0.876</v>
      </c>
      <c r="GB455" s="36">
        <v>0.08254</v>
      </c>
      <c r="GK455" s="1">
        <f t="shared" si="18"/>
        <v>47.3241130487072</v>
      </c>
      <c r="GL455" s="1">
        <v>47.3241130487072</v>
      </c>
      <c r="KZ455" s="1" t="s">
        <v>11</v>
      </c>
      <c r="LA455" s="1" t="s">
        <v>701</v>
      </c>
    </row>
    <row r="456" customHeight="1" spans="1:313">
      <c r="A456" s="3">
        <v>15</v>
      </c>
      <c r="B456" s="4" t="s">
        <v>678</v>
      </c>
      <c r="C456" s="5" t="s">
        <v>558</v>
      </c>
      <c r="D456" s="4" t="s">
        <v>559</v>
      </c>
      <c r="E456" s="4" t="s">
        <v>679</v>
      </c>
      <c r="N456" s="4" t="s">
        <v>532</v>
      </c>
      <c r="O456" s="4" t="s">
        <v>343</v>
      </c>
      <c r="P456" s="4">
        <v>3</v>
      </c>
      <c r="R456" s="4" t="s">
        <v>680</v>
      </c>
      <c r="S456" s="4" t="s">
        <v>681</v>
      </c>
      <c r="T456" s="4">
        <v>65.563</v>
      </c>
      <c r="U456" s="4">
        <v>0.065</v>
      </c>
      <c r="V456" s="4">
        <v>3.671</v>
      </c>
      <c r="X456" s="4">
        <v>0.779</v>
      </c>
      <c r="Y456" s="4">
        <v>0.39</v>
      </c>
      <c r="AB456" s="4" t="s">
        <v>682</v>
      </c>
      <c r="AC456" s="4" t="s">
        <v>683</v>
      </c>
      <c r="AD456" s="4" t="s">
        <v>684</v>
      </c>
      <c r="AE456" s="4" t="s">
        <v>685</v>
      </c>
      <c r="AF456" s="4" t="s">
        <v>686</v>
      </c>
      <c r="AH456" s="4" t="s">
        <v>543</v>
      </c>
      <c r="AI456" s="4" t="s">
        <v>687</v>
      </c>
      <c r="AJ456" s="4" t="s">
        <v>545</v>
      </c>
      <c r="AK456" s="4" t="s">
        <v>688</v>
      </c>
      <c r="AL456" s="4" t="s">
        <v>689</v>
      </c>
      <c r="AM456" s="4" t="s">
        <v>690</v>
      </c>
      <c r="AN456" s="4">
        <v>13.68</v>
      </c>
      <c r="AO456" s="4">
        <v>4.775</v>
      </c>
      <c r="AQ456" s="4" t="s">
        <v>424</v>
      </c>
      <c r="AR456" s="4" t="s">
        <v>691</v>
      </c>
      <c r="AS456" s="4" t="s">
        <v>7</v>
      </c>
      <c r="AT456" s="4" t="s">
        <v>692</v>
      </c>
      <c r="AU456" s="4" t="s">
        <v>374</v>
      </c>
      <c r="AV456" s="4" t="s">
        <v>693</v>
      </c>
      <c r="BC456" s="4" t="s">
        <v>694</v>
      </c>
      <c r="BE456" s="4" t="s">
        <v>695</v>
      </c>
      <c r="BI456" s="4" t="s">
        <v>321</v>
      </c>
      <c r="BL456" s="4">
        <v>50</v>
      </c>
      <c r="BP456" s="4">
        <v>50</v>
      </c>
      <c r="BV456" s="4" t="s">
        <v>696</v>
      </c>
      <c r="CB456" s="4" t="s">
        <v>438</v>
      </c>
      <c r="CE456" s="4" t="s">
        <v>435</v>
      </c>
      <c r="CH456" s="4" t="s">
        <v>697</v>
      </c>
      <c r="DO456" s="4">
        <v>3</v>
      </c>
      <c r="DQ456" s="27">
        <v>0.187</v>
      </c>
      <c r="DR456" s="36">
        <v>0.02051</v>
      </c>
      <c r="DS456" s="27">
        <v>0.067</v>
      </c>
      <c r="DT456" s="36">
        <v>0.01538</v>
      </c>
      <c r="EC456" s="1">
        <f t="shared" si="20"/>
        <v>64.1711229946524</v>
      </c>
      <c r="ED456" s="1">
        <v>64.1711229946524</v>
      </c>
      <c r="FJ456" s="1">
        <v>3.61</v>
      </c>
      <c r="FL456" s="27">
        <v>1.88</v>
      </c>
      <c r="FM456" s="36">
        <v>0.07742</v>
      </c>
      <c r="FV456" s="1">
        <f t="shared" si="19"/>
        <v>47.9224376731302</v>
      </c>
      <c r="FW456" s="1">
        <v>47.9224376731302</v>
      </c>
      <c r="FY456" s="27">
        <v>1.663</v>
      </c>
      <c r="GA456" s="27">
        <v>0.413</v>
      </c>
      <c r="GB456" s="36">
        <v>0.15238</v>
      </c>
      <c r="GK456" s="1">
        <f t="shared" si="18"/>
        <v>75.1653638003608</v>
      </c>
      <c r="GL456" s="1">
        <v>75.1653638003608</v>
      </c>
    </row>
    <row r="457" customHeight="1" spans="1:313">
      <c r="A457" s="3">
        <v>15</v>
      </c>
      <c r="B457" s="4" t="s">
        <v>678</v>
      </c>
      <c r="C457" s="5" t="s">
        <v>558</v>
      </c>
      <c r="D457" s="4" t="s">
        <v>559</v>
      </c>
      <c r="E457" s="4" t="s">
        <v>679</v>
      </c>
      <c r="N457" s="4" t="s">
        <v>532</v>
      </c>
      <c r="O457" s="4" t="s">
        <v>343</v>
      </c>
      <c r="P457" s="4">
        <v>3</v>
      </c>
      <c r="R457" s="4" t="s">
        <v>680</v>
      </c>
      <c r="S457" s="4" t="s">
        <v>681</v>
      </c>
      <c r="T457" s="4">
        <v>65.563</v>
      </c>
      <c r="U457" s="4">
        <v>0.065</v>
      </c>
      <c r="V457" s="4">
        <v>3.671</v>
      </c>
      <c r="X457" s="4">
        <v>0.779</v>
      </c>
      <c r="Y457" s="4">
        <v>0.39</v>
      </c>
      <c r="AB457" s="4" t="s">
        <v>682</v>
      </c>
      <c r="AC457" s="4" t="s">
        <v>683</v>
      </c>
      <c r="AD457" s="4" t="s">
        <v>684</v>
      </c>
      <c r="AE457" s="4" t="s">
        <v>685</v>
      </c>
      <c r="AF457" s="4" t="s">
        <v>686</v>
      </c>
      <c r="AH457" s="4" t="s">
        <v>346</v>
      </c>
      <c r="AI457" s="4" t="s">
        <v>702</v>
      </c>
      <c r="AJ457" s="4" t="s">
        <v>703</v>
      </c>
      <c r="AK457" s="4" t="s">
        <v>704</v>
      </c>
      <c r="AL457" s="4" t="s">
        <v>689</v>
      </c>
      <c r="AM457" s="4" t="s">
        <v>705</v>
      </c>
      <c r="AN457" s="4">
        <v>15.96</v>
      </c>
      <c r="AO457" s="4">
        <v>0.155</v>
      </c>
      <c r="AQ457" s="4" t="s">
        <v>424</v>
      </c>
      <c r="AR457" s="4" t="s">
        <v>706</v>
      </c>
      <c r="AS457" s="4" t="s">
        <v>7</v>
      </c>
      <c r="AT457" s="4" t="s">
        <v>707</v>
      </c>
      <c r="AU457" s="4" t="s">
        <v>374</v>
      </c>
      <c r="AV457" s="4" t="s">
        <v>708</v>
      </c>
      <c r="BC457" s="4" t="s">
        <v>395</v>
      </c>
      <c r="BE457" s="4" t="s">
        <v>695</v>
      </c>
      <c r="BI457" s="4" t="s">
        <v>321</v>
      </c>
      <c r="BL457" s="4">
        <v>50</v>
      </c>
      <c r="BP457" s="4">
        <v>0</v>
      </c>
      <c r="BS457" s="4">
        <v>6.58</v>
      </c>
      <c r="BV457" s="4" t="s">
        <v>696</v>
      </c>
      <c r="BW457" s="4" t="s">
        <v>323</v>
      </c>
      <c r="BX457" s="4" t="s">
        <v>557</v>
      </c>
      <c r="BZ457" s="4">
        <v>3</v>
      </c>
      <c r="CB457" s="4" t="s">
        <v>438</v>
      </c>
      <c r="CE457" s="4" t="s">
        <v>435</v>
      </c>
      <c r="CH457" s="4" t="s">
        <v>697</v>
      </c>
      <c r="DO457" s="4">
        <v>3</v>
      </c>
      <c r="DS457" s="27">
        <v>2.077</v>
      </c>
      <c r="DT457" s="36">
        <v>0.21795</v>
      </c>
      <c r="EC457" s="1" t="e">
        <f t="shared" si="20"/>
        <v>#DIV/0!</v>
      </c>
      <c r="ED457" s="1">
        <v>0</v>
      </c>
      <c r="FJ457" s="27">
        <v>26.47</v>
      </c>
      <c r="FL457" s="27">
        <v>26.47</v>
      </c>
      <c r="FM457" s="36">
        <v>0.95808</v>
      </c>
      <c r="FV457" s="1">
        <f t="shared" si="19"/>
        <v>0</v>
      </c>
      <c r="FW457" s="1">
        <v>0</v>
      </c>
      <c r="FY457" s="27">
        <v>1.7</v>
      </c>
      <c r="GA457" s="27">
        <v>1.7</v>
      </c>
      <c r="GB457" s="36">
        <v>0.25</v>
      </c>
      <c r="GK457" s="1">
        <f t="shared" si="18"/>
        <v>0</v>
      </c>
      <c r="GL457" s="1">
        <v>0</v>
      </c>
    </row>
    <row r="458" customHeight="1" spans="1:313">
      <c r="A458" s="3">
        <v>15</v>
      </c>
      <c r="B458" s="4" t="s">
        <v>678</v>
      </c>
      <c r="C458" s="5" t="s">
        <v>558</v>
      </c>
      <c r="D458" s="4" t="s">
        <v>559</v>
      </c>
      <c r="E458" s="4" t="s">
        <v>679</v>
      </c>
      <c r="N458" s="4" t="s">
        <v>532</v>
      </c>
      <c r="O458" s="4" t="s">
        <v>343</v>
      </c>
      <c r="P458" s="4">
        <v>3</v>
      </c>
      <c r="R458" s="4" t="s">
        <v>680</v>
      </c>
      <c r="S458" s="4" t="s">
        <v>681</v>
      </c>
      <c r="T458" s="4">
        <v>65.563</v>
      </c>
      <c r="U458" s="4">
        <v>0.065</v>
      </c>
      <c r="V458" s="4">
        <v>3.671</v>
      </c>
      <c r="X458" s="4">
        <v>0.779</v>
      </c>
      <c r="Y458" s="4">
        <v>0.39</v>
      </c>
      <c r="AB458" s="4" t="s">
        <v>682</v>
      </c>
      <c r="AC458" s="4" t="s">
        <v>683</v>
      </c>
      <c r="AD458" s="4" t="s">
        <v>684</v>
      </c>
      <c r="AE458" s="4" t="s">
        <v>685</v>
      </c>
      <c r="AF458" s="4" t="s">
        <v>686</v>
      </c>
      <c r="AH458" s="4" t="s">
        <v>346</v>
      </c>
      <c r="AI458" s="4" t="s">
        <v>702</v>
      </c>
      <c r="AJ458" s="4" t="s">
        <v>703</v>
      </c>
      <c r="AK458" s="4" t="s">
        <v>704</v>
      </c>
      <c r="AL458" s="4" t="s">
        <v>689</v>
      </c>
      <c r="AM458" s="4" t="s">
        <v>705</v>
      </c>
      <c r="AN458" s="4">
        <v>15.96</v>
      </c>
      <c r="AO458" s="4">
        <v>0.155</v>
      </c>
      <c r="AQ458" s="4" t="s">
        <v>424</v>
      </c>
      <c r="AR458" s="4" t="s">
        <v>706</v>
      </c>
      <c r="AS458" s="4" t="s">
        <v>7</v>
      </c>
      <c r="AT458" s="4" t="s">
        <v>707</v>
      </c>
      <c r="AU458" s="4" t="s">
        <v>374</v>
      </c>
      <c r="AV458" s="4" t="s">
        <v>708</v>
      </c>
      <c r="BC458" s="4" t="s">
        <v>395</v>
      </c>
      <c r="BE458" s="4" t="s">
        <v>695</v>
      </c>
      <c r="BI458" s="4" t="s">
        <v>321</v>
      </c>
      <c r="BL458" s="4">
        <v>50</v>
      </c>
      <c r="BP458" s="4">
        <v>10</v>
      </c>
      <c r="BV458" s="4" t="s">
        <v>696</v>
      </c>
      <c r="CB458" s="4" t="s">
        <v>438</v>
      </c>
      <c r="CE458" s="4" t="s">
        <v>435</v>
      </c>
      <c r="CH458" s="4" t="s">
        <v>697</v>
      </c>
      <c r="DO458" s="4">
        <v>3</v>
      </c>
      <c r="DQ458" s="27">
        <v>2.077</v>
      </c>
      <c r="DR458" s="36">
        <v>0.21795</v>
      </c>
      <c r="DS458" s="27">
        <v>1.718</v>
      </c>
      <c r="DT458" s="36">
        <v>0.08974</v>
      </c>
      <c r="EC458" s="1">
        <f t="shared" si="20"/>
        <v>17.2845450168512</v>
      </c>
      <c r="ED458" s="1">
        <v>17.2845450168512</v>
      </c>
      <c r="FJ458" s="27">
        <v>26.47</v>
      </c>
      <c r="FL458" s="27">
        <v>17.13</v>
      </c>
      <c r="FM458" s="36">
        <v>1.55689</v>
      </c>
      <c r="FV458" s="1">
        <f t="shared" si="19"/>
        <v>35.2852285606347</v>
      </c>
      <c r="FW458" s="1">
        <v>35.2852285606347</v>
      </c>
      <c r="FY458" s="27">
        <v>1.7</v>
      </c>
      <c r="GA458" s="27">
        <v>0.722</v>
      </c>
      <c r="GB458" s="36">
        <v>0.14744</v>
      </c>
      <c r="GK458" s="1">
        <f t="shared" si="18"/>
        <v>57.5294117647059</v>
      </c>
      <c r="GL458" s="1">
        <v>57.5294117647059</v>
      </c>
    </row>
    <row r="459" customHeight="1" spans="1:313">
      <c r="A459" s="3">
        <v>15</v>
      </c>
      <c r="B459" s="4" t="s">
        <v>678</v>
      </c>
      <c r="C459" s="5" t="s">
        <v>558</v>
      </c>
      <c r="D459" s="4" t="s">
        <v>559</v>
      </c>
      <c r="E459" s="4" t="s">
        <v>679</v>
      </c>
      <c r="N459" s="4" t="s">
        <v>532</v>
      </c>
      <c r="O459" s="4" t="s">
        <v>343</v>
      </c>
      <c r="P459" s="4">
        <v>3</v>
      </c>
      <c r="R459" s="4" t="s">
        <v>680</v>
      </c>
      <c r="S459" s="4" t="s">
        <v>681</v>
      </c>
      <c r="T459" s="4">
        <v>65.563</v>
      </c>
      <c r="U459" s="4">
        <v>0.065</v>
      </c>
      <c r="V459" s="4">
        <v>3.671</v>
      </c>
      <c r="X459" s="4">
        <v>0.779</v>
      </c>
      <c r="Y459" s="4">
        <v>0.39</v>
      </c>
      <c r="AB459" s="4" t="s">
        <v>682</v>
      </c>
      <c r="AC459" s="4" t="s">
        <v>683</v>
      </c>
      <c r="AD459" s="4" t="s">
        <v>684</v>
      </c>
      <c r="AE459" s="4" t="s">
        <v>685</v>
      </c>
      <c r="AF459" s="4" t="s">
        <v>686</v>
      </c>
      <c r="AH459" s="4" t="s">
        <v>346</v>
      </c>
      <c r="AI459" s="4" t="s">
        <v>702</v>
      </c>
      <c r="AJ459" s="4" t="s">
        <v>703</v>
      </c>
      <c r="AK459" s="4" t="s">
        <v>704</v>
      </c>
      <c r="AL459" s="4" t="s">
        <v>689</v>
      </c>
      <c r="AM459" s="4" t="s">
        <v>705</v>
      </c>
      <c r="AN459" s="4">
        <v>15.96</v>
      </c>
      <c r="AO459" s="4">
        <v>0.155</v>
      </c>
      <c r="AQ459" s="4" t="s">
        <v>424</v>
      </c>
      <c r="AR459" s="4" t="s">
        <v>706</v>
      </c>
      <c r="AS459" s="4" t="s">
        <v>7</v>
      </c>
      <c r="AT459" s="4" t="s">
        <v>707</v>
      </c>
      <c r="AU459" s="4" t="s">
        <v>374</v>
      </c>
      <c r="AV459" s="4" t="s">
        <v>708</v>
      </c>
      <c r="BC459" s="4" t="s">
        <v>395</v>
      </c>
      <c r="BE459" s="4" t="s">
        <v>695</v>
      </c>
      <c r="BI459" s="4" t="s">
        <v>321</v>
      </c>
      <c r="BL459" s="4">
        <v>50</v>
      </c>
      <c r="BP459" s="4">
        <v>30</v>
      </c>
      <c r="BV459" s="4" t="s">
        <v>696</v>
      </c>
      <c r="CB459" s="4" t="s">
        <v>438</v>
      </c>
      <c r="CE459" s="4" t="s">
        <v>435</v>
      </c>
      <c r="CH459" s="4" t="s">
        <v>697</v>
      </c>
      <c r="DO459" s="4">
        <v>3</v>
      </c>
      <c r="DQ459" s="27">
        <v>2.077</v>
      </c>
      <c r="DR459" s="36">
        <v>0.21795</v>
      </c>
      <c r="DS459" s="27">
        <v>1.128</v>
      </c>
      <c r="DT459" s="36">
        <v>0.08974</v>
      </c>
      <c r="EC459" s="1">
        <f t="shared" si="20"/>
        <v>45.6909003370246</v>
      </c>
      <c r="ED459" s="1">
        <v>45.6909003370246</v>
      </c>
      <c r="FJ459" s="27">
        <v>26.47</v>
      </c>
      <c r="FL459" s="27">
        <v>11.02</v>
      </c>
      <c r="FM459" s="36">
        <v>1.67665</v>
      </c>
      <c r="FV459" s="1">
        <f t="shared" si="19"/>
        <v>58.3679637325274</v>
      </c>
      <c r="FW459" s="1">
        <v>58.3679637325274</v>
      </c>
      <c r="FY459" s="27">
        <v>1.7</v>
      </c>
      <c r="GA459" s="27">
        <v>0.543</v>
      </c>
      <c r="GB459" s="36">
        <v>0.09615</v>
      </c>
      <c r="GK459" s="1">
        <f t="shared" si="18"/>
        <v>68.0588235294118</v>
      </c>
      <c r="GL459" s="1">
        <v>68.0588235294118</v>
      </c>
    </row>
    <row r="460" customHeight="1" spans="1:313">
      <c r="A460" s="3">
        <v>15</v>
      </c>
      <c r="B460" s="4" t="s">
        <v>678</v>
      </c>
      <c r="C460" s="5" t="s">
        <v>558</v>
      </c>
      <c r="D460" s="4" t="s">
        <v>559</v>
      </c>
      <c r="E460" s="4" t="s">
        <v>679</v>
      </c>
      <c r="N460" s="4" t="s">
        <v>532</v>
      </c>
      <c r="O460" s="4" t="s">
        <v>343</v>
      </c>
      <c r="P460" s="4">
        <v>3</v>
      </c>
      <c r="R460" s="4" t="s">
        <v>680</v>
      </c>
      <c r="S460" s="4" t="s">
        <v>681</v>
      </c>
      <c r="T460" s="4">
        <v>65.563</v>
      </c>
      <c r="U460" s="4">
        <v>0.065</v>
      </c>
      <c r="V460" s="4">
        <v>3.671</v>
      </c>
      <c r="X460" s="4">
        <v>0.779</v>
      </c>
      <c r="Y460" s="4">
        <v>0.39</v>
      </c>
      <c r="AB460" s="4" t="s">
        <v>682</v>
      </c>
      <c r="AC460" s="4" t="s">
        <v>683</v>
      </c>
      <c r="AD460" s="4" t="s">
        <v>684</v>
      </c>
      <c r="AE460" s="4" t="s">
        <v>685</v>
      </c>
      <c r="AF460" s="4" t="s">
        <v>686</v>
      </c>
      <c r="AH460" s="4" t="s">
        <v>346</v>
      </c>
      <c r="AI460" s="4" t="s">
        <v>702</v>
      </c>
      <c r="AJ460" s="4" t="s">
        <v>703</v>
      </c>
      <c r="AK460" s="4" t="s">
        <v>704</v>
      </c>
      <c r="AL460" s="4" t="s">
        <v>689</v>
      </c>
      <c r="AM460" s="4" t="s">
        <v>705</v>
      </c>
      <c r="AN460" s="4">
        <v>15.96</v>
      </c>
      <c r="AO460" s="4">
        <v>0.155</v>
      </c>
      <c r="AQ460" s="4" t="s">
        <v>424</v>
      </c>
      <c r="AR460" s="4" t="s">
        <v>706</v>
      </c>
      <c r="AS460" s="4" t="s">
        <v>7</v>
      </c>
      <c r="AT460" s="4" t="s">
        <v>707</v>
      </c>
      <c r="AU460" s="4" t="s">
        <v>374</v>
      </c>
      <c r="AV460" s="4" t="s">
        <v>708</v>
      </c>
      <c r="BC460" s="4" t="s">
        <v>395</v>
      </c>
      <c r="BE460" s="4" t="s">
        <v>695</v>
      </c>
      <c r="BI460" s="4" t="s">
        <v>321</v>
      </c>
      <c r="BL460" s="4">
        <v>50</v>
      </c>
      <c r="BP460" s="4">
        <v>50</v>
      </c>
      <c r="BV460" s="4" t="s">
        <v>696</v>
      </c>
      <c r="CB460" s="4" t="s">
        <v>438</v>
      </c>
      <c r="CE460" s="4" t="s">
        <v>435</v>
      </c>
      <c r="CH460" s="4" t="s">
        <v>697</v>
      </c>
      <c r="DO460" s="4">
        <v>3</v>
      </c>
      <c r="DQ460" s="27">
        <v>2.077</v>
      </c>
      <c r="DR460" s="36">
        <v>0.21795</v>
      </c>
      <c r="DS460" s="27">
        <v>0.885</v>
      </c>
      <c r="DT460" s="36">
        <v>0.15385</v>
      </c>
      <c r="EC460" s="1">
        <f t="shared" si="20"/>
        <v>57.39046701974</v>
      </c>
      <c r="ED460" s="1">
        <v>57.39046701974</v>
      </c>
      <c r="FJ460" s="27">
        <v>26.47</v>
      </c>
      <c r="FL460" s="27">
        <v>6.83</v>
      </c>
      <c r="FM460" s="36">
        <v>1.1976</v>
      </c>
      <c r="FV460" s="1">
        <f t="shared" si="19"/>
        <v>74.1972043823196</v>
      </c>
      <c r="FW460" s="1">
        <v>74.1972043823196</v>
      </c>
      <c r="FY460" s="27">
        <v>1.7</v>
      </c>
      <c r="GA460" s="27">
        <v>0.364</v>
      </c>
      <c r="GB460" s="36">
        <v>0.04487</v>
      </c>
      <c r="GK460" s="1">
        <f t="shared" si="18"/>
        <v>78.5882352941176</v>
      </c>
      <c r="GL460" s="1">
        <v>78.5882352941176</v>
      </c>
    </row>
    <row r="461" customHeight="1" spans="1:313">
      <c r="A461" s="3">
        <v>15</v>
      </c>
      <c r="B461" s="4" t="s">
        <v>678</v>
      </c>
      <c r="C461" s="5" t="s">
        <v>358</v>
      </c>
      <c r="D461" s="4" t="s">
        <v>559</v>
      </c>
      <c r="E461" s="4" t="s">
        <v>709</v>
      </c>
      <c r="N461" s="4" t="s">
        <v>567</v>
      </c>
      <c r="O461" s="4" t="s">
        <v>343</v>
      </c>
      <c r="P461" s="4">
        <v>3</v>
      </c>
      <c r="R461" s="4" t="s">
        <v>680</v>
      </c>
      <c r="S461" s="4" t="s">
        <v>304</v>
      </c>
      <c r="T461" s="4">
        <v>69.041</v>
      </c>
      <c r="U461" s="4">
        <v>0.201</v>
      </c>
      <c r="V461" s="4">
        <v>8.454</v>
      </c>
      <c r="X461" s="4">
        <v>0.799</v>
      </c>
      <c r="Y461" s="4">
        <v>0.399</v>
      </c>
      <c r="AC461" s="4" t="s">
        <v>683</v>
      </c>
      <c r="AD461" s="4" t="s">
        <v>684</v>
      </c>
      <c r="AE461" s="4" t="s">
        <v>710</v>
      </c>
      <c r="AF461" s="4" t="s">
        <v>711</v>
      </c>
      <c r="AH461" s="4" t="s">
        <v>543</v>
      </c>
      <c r="AI461" s="4" t="s">
        <v>687</v>
      </c>
      <c r="AJ461" s="4" t="s">
        <v>545</v>
      </c>
      <c r="AK461" s="4" t="s">
        <v>688</v>
      </c>
      <c r="AL461" s="4" t="s">
        <v>689</v>
      </c>
      <c r="AM461" s="4" t="s">
        <v>690</v>
      </c>
      <c r="AN461" s="4">
        <v>13.68</v>
      </c>
      <c r="AO461" s="4">
        <v>4.775</v>
      </c>
      <c r="AQ461" s="4" t="s">
        <v>424</v>
      </c>
      <c r="AR461" s="4" t="s">
        <v>691</v>
      </c>
      <c r="AS461" s="4" t="s">
        <v>7</v>
      </c>
      <c r="AT461" s="4" t="s">
        <v>692</v>
      </c>
      <c r="AU461" s="4" t="s">
        <v>374</v>
      </c>
      <c r="AV461" s="4" t="s">
        <v>693</v>
      </c>
      <c r="BC461" s="4" t="s">
        <v>694</v>
      </c>
      <c r="BE461" s="4" t="s">
        <v>695</v>
      </c>
      <c r="BI461" s="4" t="s">
        <v>321</v>
      </c>
      <c r="BL461" s="4">
        <v>50</v>
      </c>
      <c r="BP461" s="4">
        <v>0</v>
      </c>
      <c r="BS461" s="4">
        <v>8.2</v>
      </c>
      <c r="BV461" s="4" t="s">
        <v>696</v>
      </c>
      <c r="BW461" s="4" t="s">
        <v>323</v>
      </c>
      <c r="BX461" s="4" t="s">
        <v>557</v>
      </c>
      <c r="BZ461" s="4">
        <v>3</v>
      </c>
      <c r="CB461" s="4" t="s">
        <v>438</v>
      </c>
      <c r="CE461" s="4" t="s">
        <v>435</v>
      </c>
      <c r="CH461" s="4" t="s">
        <v>697</v>
      </c>
      <c r="DO461" s="4">
        <v>3</v>
      </c>
      <c r="DS461" s="27">
        <v>0.187</v>
      </c>
      <c r="DT461" s="36">
        <v>0.02051</v>
      </c>
      <c r="EC461" s="1" t="e">
        <f t="shared" si="20"/>
        <v>#DIV/0!</v>
      </c>
      <c r="ED461" s="1">
        <v>0</v>
      </c>
      <c r="FJ461" s="27">
        <v>3.61</v>
      </c>
      <c r="FL461" s="27">
        <v>3.61</v>
      </c>
      <c r="FM461" s="36">
        <v>0.36129</v>
      </c>
      <c r="FV461" s="1">
        <f t="shared" si="19"/>
        <v>0</v>
      </c>
      <c r="FW461" s="1">
        <v>0</v>
      </c>
      <c r="FY461" s="27">
        <v>1.663</v>
      </c>
      <c r="GA461" s="27">
        <v>1.663</v>
      </c>
      <c r="GB461" s="36">
        <v>0.11429</v>
      </c>
      <c r="GK461" s="1">
        <f t="shared" si="18"/>
        <v>0</v>
      </c>
      <c r="GL461" s="1">
        <v>0</v>
      </c>
    </row>
    <row r="462" customHeight="1" spans="1:313">
      <c r="A462" s="3">
        <v>15</v>
      </c>
      <c r="B462" s="4" t="s">
        <v>678</v>
      </c>
      <c r="C462" s="5" t="s">
        <v>358</v>
      </c>
      <c r="D462" s="4" t="s">
        <v>559</v>
      </c>
      <c r="E462" s="4" t="s">
        <v>709</v>
      </c>
      <c r="N462" s="4" t="s">
        <v>567</v>
      </c>
      <c r="O462" s="4" t="s">
        <v>343</v>
      </c>
      <c r="P462" s="4">
        <v>3</v>
      </c>
      <c r="R462" s="4" t="s">
        <v>680</v>
      </c>
      <c r="S462" s="4" t="s">
        <v>304</v>
      </c>
      <c r="T462" s="4">
        <v>69.041</v>
      </c>
      <c r="U462" s="4">
        <v>0.201</v>
      </c>
      <c r="V462" s="4">
        <v>8.454</v>
      </c>
      <c r="X462" s="4">
        <v>0.799</v>
      </c>
      <c r="Y462" s="4">
        <v>0.399</v>
      </c>
      <c r="AC462" s="4" t="s">
        <v>683</v>
      </c>
      <c r="AD462" s="4" t="s">
        <v>684</v>
      </c>
      <c r="AE462" s="4" t="s">
        <v>710</v>
      </c>
      <c r="AF462" s="4" t="s">
        <v>711</v>
      </c>
      <c r="AH462" s="4" t="s">
        <v>543</v>
      </c>
      <c r="AI462" s="4" t="s">
        <v>687</v>
      </c>
      <c r="AJ462" s="4" t="s">
        <v>545</v>
      </c>
      <c r="AK462" s="4" t="s">
        <v>688</v>
      </c>
      <c r="AL462" s="4" t="s">
        <v>689</v>
      </c>
      <c r="AM462" s="4" t="s">
        <v>690</v>
      </c>
      <c r="AN462" s="4">
        <v>13.68</v>
      </c>
      <c r="AO462" s="4">
        <v>4.775</v>
      </c>
      <c r="AQ462" s="4" t="s">
        <v>424</v>
      </c>
      <c r="AR462" s="4" t="s">
        <v>691</v>
      </c>
      <c r="AS462" s="4" t="s">
        <v>7</v>
      </c>
      <c r="AT462" s="4" t="s">
        <v>692</v>
      </c>
      <c r="AU462" s="4" t="s">
        <v>374</v>
      </c>
      <c r="AV462" s="4" t="s">
        <v>693</v>
      </c>
      <c r="BC462" s="4" t="s">
        <v>694</v>
      </c>
      <c r="BE462" s="4" t="s">
        <v>695</v>
      </c>
      <c r="BI462" s="4" t="s">
        <v>321</v>
      </c>
      <c r="BL462" s="4">
        <v>50</v>
      </c>
      <c r="BP462" s="4">
        <v>10</v>
      </c>
      <c r="BV462" s="4" t="s">
        <v>696</v>
      </c>
      <c r="CB462" s="4" t="s">
        <v>438</v>
      </c>
      <c r="CE462" s="4" t="s">
        <v>435</v>
      </c>
      <c r="CH462" s="4" t="s">
        <v>697</v>
      </c>
      <c r="DO462" s="4">
        <v>3</v>
      </c>
      <c r="DQ462" s="27">
        <v>0.187</v>
      </c>
      <c r="DR462" s="36">
        <v>0.02051</v>
      </c>
      <c r="DS462" s="27">
        <v>0.141</v>
      </c>
      <c r="DT462" s="36">
        <v>0.01026</v>
      </c>
      <c r="EC462" s="1">
        <f t="shared" si="20"/>
        <v>24.5989304812834</v>
      </c>
      <c r="ED462" s="1">
        <v>24.5989304812834</v>
      </c>
      <c r="FJ462" s="27">
        <v>3.61</v>
      </c>
      <c r="FL462" s="27">
        <v>2.43</v>
      </c>
      <c r="FM462" s="36">
        <v>0.20645</v>
      </c>
      <c r="FV462" s="1">
        <f t="shared" si="19"/>
        <v>32.6869806094183</v>
      </c>
      <c r="FW462" s="1">
        <v>32.6869806094183</v>
      </c>
      <c r="FY462" s="27">
        <v>1.663</v>
      </c>
      <c r="GA462" s="27">
        <v>1.321</v>
      </c>
      <c r="GB462" s="36">
        <v>0.17143</v>
      </c>
      <c r="GK462" s="1">
        <f t="shared" si="18"/>
        <v>20.5652435357787</v>
      </c>
      <c r="GL462" s="1">
        <v>20.5652435357787</v>
      </c>
    </row>
    <row r="463" customHeight="1" spans="1:313">
      <c r="A463" s="3">
        <v>15</v>
      </c>
      <c r="B463" s="4" t="s">
        <v>678</v>
      </c>
      <c r="C463" s="5" t="s">
        <v>358</v>
      </c>
      <c r="D463" s="4" t="s">
        <v>559</v>
      </c>
      <c r="E463" s="4" t="s">
        <v>709</v>
      </c>
      <c r="N463" s="4" t="s">
        <v>567</v>
      </c>
      <c r="O463" s="4" t="s">
        <v>343</v>
      </c>
      <c r="P463" s="4">
        <v>3</v>
      </c>
      <c r="R463" s="4" t="s">
        <v>680</v>
      </c>
      <c r="S463" s="4" t="s">
        <v>304</v>
      </c>
      <c r="T463" s="4">
        <v>69.041</v>
      </c>
      <c r="U463" s="4">
        <v>0.201</v>
      </c>
      <c r="V463" s="4">
        <v>8.454</v>
      </c>
      <c r="X463" s="4">
        <v>0.799</v>
      </c>
      <c r="Y463" s="4">
        <v>0.399</v>
      </c>
      <c r="AC463" s="4" t="s">
        <v>683</v>
      </c>
      <c r="AD463" s="4" t="s">
        <v>684</v>
      </c>
      <c r="AE463" s="4" t="s">
        <v>710</v>
      </c>
      <c r="AF463" s="4" t="s">
        <v>711</v>
      </c>
      <c r="AH463" s="4" t="s">
        <v>543</v>
      </c>
      <c r="AI463" s="4" t="s">
        <v>687</v>
      </c>
      <c r="AJ463" s="4" t="s">
        <v>545</v>
      </c>
      <c r="AK463" s="4" t="s">
        <v>688</v>
      </c>
      <c r="AL463" s="4" t="s">
        <v>689</v>
      </c>
      <c r="AM463" s="4" t="s">
        <v>690</v>
      </c>
      <c r="AN463" s="4">
        <v>13.68</v>
      </c>
      <c r="AO463" s="4">
        <v>4.775</v>
      </c>
      <c r="AQ463" s="4" t="s">
        <v>424</v>
      </c>
      <c r="AR463" s="4" t="s">
        <v>691</v>
      </c>
      <c r="AS463" s="4" t="s">
        <v>7</v>
      </c>
      <c r="AT463" s="4" t="s">
        <v>692</v>
      </c>
      <c r="AU463" s="4" t="s">
        <v>374</v>
      </c>
      <c r="AV463" s="4" t="s">
        <v>693</v>
      </c>
      <c r="BC463" s="4" t="s">
        <v>694</v>
      </c>
      <c r="BE463" s="4" t="s">
        <v>695</v>
      </c>
      <c r="BI463" s="4" t="s">
        <v>321</v>
      </c>
      <c r="BL463" s="4">
        <v>50</v>
      </c>
      <c r="BP463" s="4">
        <v>30</v>
      </c>
      <c r="BV463" s="4" t="s">
        <v>696</v>
      </c>
      <c r="CB463" s="4" t="s">
        <v>438</v>
      </c>
      <c r="CE463" s="4" t="s">
        <v>435</v>
      </c>
      <c r="CH463" s="4" t="s">
        <v>697</v>
      </c>
      <c r="DO463" s="4">
        <v>3</v>
      </c>
      <c r="DQ463" s="27">
        <v>0.187</v>
      </c>
      <c r="DR463" s="36">
        <v>0.02051</v>
      </c>
      <c r="DS463" s="27">
        <v>0.095</v>
      </c>
      <c r="DT463" s="36">
        <v>0.00769</v>
      </c>
      <c r="EC463" s="1">
        <f t="shared" si="20"/>
        <v>49.1978609625668</v>
      </c>
      <c r="ED463" s="1">
        <v>49.1978609625668</v>
      </c>
      <c r="FJ463" s="27">
        <v>3.61</v>
      </c>
      <c r="FL463" s="27">
        <v>1.86</v>
      </c>
      <c r="FM463" s="36">
        <v>0.10323</v>
      </c>
      <c r="FV463" s="1">
        <f t="shared" si="19"/>
        <v>48.4764542936288</v>
      </c>
      <c r="FW463" s="1">
        <v>48.4764542936288</v>
      </c>
      <c r="FY463" s="27">
        <v>1.663</v>
      </c>
      <c r="GA463" s="27">
        <v>1.029</v>
      </c>
      <c r="GB463" s="36">
        <v>0.27937</v>
      </c>
      <c r="GK463" s="1">
        <f t="shared" si="18"/>
        <v>38.123872519543</v>
      </c>
      <c r="GL463" s="1">
        <v>38.123872519543</v>
      </c>
    </row>
    <row r="464" customHeight="1" spans="1:313">
      <c r="A464" s="3">
        <v>15</v>
      </c>
      <c r="B464" s="4" t="s">
        <v>678</v>
      </c>
      <c r="C464" s="5" t="s">
        <v>358</v>
      </c>
      <c r="D464" s="4" t="s">
        <v>559</v>
      </c>
      <c r="E464" s="4" t="s">
        <v>709</v>
      </c>
      <c r="N464" s="4" t="s">
        <v>567</v>
      </c>
      <c r="O464" s="4" t="s">
        <v>343</v>
      </c>
      <c r="P464" s="4">
        <v>3</v>
      </c>
      <c r="R464" s="4" t="s">
        <v>680</v>
      </c>
      <c r="S464" s="4" t="s">
        <v>304</v>
      </c>
      <c r="T464" s="4">
        <v>69.041</v>
      </c>
      <c r="U464" s="4">
        <v>0.201</v>
      </c>
      <c r="V464" s="4">
        <v>8.454</v>
      </c>
      <c r="X464" s="4">
        <v>0.799</v>
      </c>
      <c r="Y464" s="4">
        <v>0.399</v>
      </c>
      <c r="AC464" s="4" t="s">
        <v>683</v>
      </c>
      <c r="AD464" s="4" t="s">
        <v>684</v>
      </c>
      <c r="AE464" s="4" t="s">
        <v>710</v>
      </c>
      <c r="AF464" s="4" t="s">
        <v>711</v>
      </c>
      <c r="AH464" s="4" t="s">
        <v>543</v>
      </c>
      <c r="AI464" s="4" t="s">
        <v>687</v>
      </c>
      <c r="AJ464" s="4" t="s">
        <v>545</v>
      </c>
      <c r="AK464" s="4" t="s">
        <v>688</v>
      </c>
      <c r="AL464" s="4" t="s">
        <v>689</v>
      </c>
      <c r="AM464" s="4" t="s">
        <v>690</v>
      </c>
      <c r="AN464" s="4">
        <v>13.68</v>
      </c>
      <c r="AO464" s="4">
        <v>4.775</v>
      </c>
      <c r="AQ464" s="4" t="s">
        <v>424</v>
      </c>
      <c r="AR464" s="4" t="s">
        <v>691</v>
      </c>
      <c r="AS464" s="4" t="s">
        <v>7</v>
      </c>
      <c r="AT464" s="4" t="s">
        <v>692</v>
      </c>
      <c r="AU464" s="4" t="s">
        <v>374</v>
      </c>
      <c r="AV464" s="4" t="s">
        <v>693</v>
      </c>
      <c r="BC464" s="4" t="s">
        <v>694</v>
      </c>
      <c r="BE464" s="4" t="s">
        <v>695</v>
      </c>
      <c r="BI464" s="4" t="s">
        <v>321</v>
      </c>
      <c r="BL464" s="4">
        <v>50</v>
      </c>
      <c r="BP464" s="4">
        <v>50</v>
      </c>
      <c r="BV464" s="4" t="s">
        <v>696</v>
      </c>
      <c r="CB464" s="4" t="s">
        <v>438</v>
      </c>
      <c r="CE464" s="4" t="s">
        <v>435</v>
      </c>
      <c r="CH464" s="4" t="s">
        <v>697</v>
      </c>
      <c r="DO464" s="4">
        <v>3</v>
      </c>
      <c r="DQ464" s="27">
        <v>0.187</v>
      </c>
      <c r="DR464" s="36">
        <v>0.02051</v>
      </c>
      <c r="DS464" s="27">
        <v>0.049</v>
      </c>
      <c r="DT464" s="36">
        <v>0.01026</v>
      </c>
      <c r="EC464" s="1">
        <f t="shared" si="20"/>
        <v>73.7967914438503</v>
      </c>
      <c r="ED464" s="1">
        <v>73.7967914438503</v>
      </c>
      <c r="FJ464" s="27">
        <v>3.61</v>
      </c>
      <c r="FL464" s="27">
        <v>1.19</v>
      </c>
      <c r="FM464" s="36">
        <v>0.18065</v>
      </c>
      <c r="FV464" s="1">
        <f t="shared" si="19"/>
        <v>67.0360110803324</v>
      </c>
      <c r="FW464" s="1">
        <v>67.0360110803324</v>
      </c>
      <c r="FY464" s="27">
        <v>1.663</v>
      </c>
      <c r="GA464" s="27">
        <v>0.457</v>
      </c>
      <c r="GB464" s="36">
        <v>0.18413</v>
      </c>
      <c r="GK464" s="1">
        <f t="shared" si="18"/>
        <v>72.5195429945881</v>
      </c>
      <c r="GL464" s="1">
        <v>72.5195429945881</v>
      </c>
    </row>
    <row r="465" customHeight="1" spans="1:313">
      <c r="A465" s="3">
        <v>15</v>
      </c>
      <c r="B465" s="4" t="s">
        <v>678</v>
      </c>
      <c r="C465" s="5" t="s">
        <v>358</v>
      </c>
      <c r="D465" s="4" t="s">
        <v>559</v>
      </c>
      <c r="E465" s="4" t="s">
        <v>709</v>
      </c>
      <c r="N465" s="4" t="s">
        <v>567</v>
      </c>
      <c r="O465" s="4" t="s">
        <v>343</v>
      </c>
      <c r="P465" s="4">
        <v>3</v>
      </c>
      <c r="R465" s="4" t="s">
        <v>680</v>
      </c>
      <c r="S465" s="4" t="s">
        <v>304</v>
      </c>
      <c r="T465" s="4">
        <v>69.041</v>
      </c>
      <c r="U465" s="4">
        <v>0.201</v>
      </c>
      <c r="V465" s="4">
        <v>8.454</v>
      </c>
      <c r="X465" s="4">
        <v>0.799</v>
      </c>
      <c r="Y465" s="4">
        <v>0.399</v>
      </c>
      <c r="AC465" s="4" t="s">
        <v>683</v>
      </c>
      <c r="AD465" s="4" t="s">
        <v>684</v>
      </c>
      <c r="AE465" s="4" t="s">
        <v>710</v>
      </c>
      <c r="AF465" s="4" t="s">
        <v>711</v>
      </c>
      <c r="AH465" s="4" t="s">
        <v>346</v>
      </c>
      <c r="AI465" s="4" t="s">
        <v>702</v>
      </c>
      <c r="AJ465" s="4" t="s">
        <v>703</v>
      </c>
      <c r="AK465" s="4" t="s">
        <v>704</v>
      </c>
      <c r="AL465" s="4" t="s">
        <v>689</v>
      </c>
      <c r="AM465" s="4" t="s">
        <v>705</v>
      </c>
      <c r="AN465" s="4">
        <v>15.96</v>
      </c>
      <c r="AO465" s="4">
        <v>0.155</v>
      </c>
      <c r="AQ465" s="4" t="s">
        <v>424</v>
      </c>
      <c r="AR465" s="4" t="s">
        <v>706</v>
      </c>
      <c r="AS465" s="4" t="s">
        <v>7</v>
      </c>
      <c r="AT465" s="4" t="s">
        <v>707</v>
      </c>
      <c r="AU465" s="4" t="s">
        <v>374</v>
      </c>
      <c r="AV465" s="4" t="s">
        <v>708</v>
      </c>
      <c r="BC465" s="4" t="s">
        <v>395</v>
      </c>
      <c r="BE465" s="4" t="s">
        <v>695</v>
      </c>
      <c r="BI465" s="4" t="s">
        <v>321</v>
      </c>
      <c r="BL465" s="4">
        <v>50</v>
      </c>
      <c r="BP465" s="4">
        <v>0</v>
      </c>
      <c r="BS465" s="4">
        <v>6.58</v>
      </c>
      <c r="BV465" s="4" t="s">
        <v>696</v>
      </c>
      <c r="BW465" s="4" t="s">
        <v>323</v>
      </c>
      <c r="BX465" s="4" t="s">
        <v>557</v>
      </c>
      <c r="BZ465" s="4">
        <v>3</v>
      </c>
      <c r="CB465" s="4" t="s">
        <v>438</v>
      </c>
      <c r="CE465" s="4" t="s">
        <v>435</v>
      </c>
      <c r="CH465" s="4" t="s">
        <v>697</v>
      </c>
      <c r="DO465" s="4">
        <v>3</v>
      </c>
      <c r="DS465" s="27">
        <v>2.077</v>
      </c>
      <c r="DT465" s="36">
        <v>0.21795</v>
      </c>
      <c r="EC465" s="1" t="e">
        <f t="shared" si="20"/>
        <v>#DIV/0!</v>
      </c>
      <c r="ED465" s="1">
        <v>0</v>
      </c>
      <c r="FJ465" s="27">
        <v>26.47</v>
      </c>
      <c r="FL465" s="27">
        <v>26.47</v>
      </c>
      <c r="FM465" s="36">
        <v>0.95808</v>
      </c>
      <c r="FV465" s="1">
        <f t="shared" si="19"/>
        <v>0</v>
      </c>
      <c r="FW465" s="1">
        <v>0</v>
      </c>
      <c r="FY465" s="27">
        <v>1.7</v>
      </c>
      <c r="GA465" s="27">
        <v>1.7</v>
      </c>
      <c r="GB465" s="36">
        <v>0.25</v>
      </c>
      <c r="GK465" s="1">
        <f t="shared" si="18"/>
        <v>0</v>
      </c>
      <c r="GL465" s="1">
        <v>0</v>
      </c>
    </row>
    <row r="466" customHeight="1" spans="1:313">
      <c r="A466" s="3">
        <v>15</v>
      </c>
      <c r="B466" s="4" t="s">
        <v>678</v>
      </c>
      <c r="C466" s="5" t="s">
        <v>358</v>
      </c>
      <c r="D466" s="4" t="s">
        <v>559</v>
      </c>
      <c r="E466" s="4" t="s">
        <v>709</v>
      </c>
      <c r="N466" s="4" t="s">
        <v>567</v>
      </c>
      <c r="O466" s="4" t="s">
        <v>343</v>
      </c>
      <c r="P466" s="4">
        <v>3</v>
      </c>
      <c r="R466" s="4" t="s">
        <v>680</v>
      </c>
      <c r="S466" s="4" t="s">
        <v>304</v>
      </c>
      <c r="T466" s="4">
        <v>69.041</v>
      </c>
      <c r="U466" s="4">
        <v>0.201</v>
      </c>
      <c r="V466" s="4">
        <v>8.454</v>
      </c>
      <c r="X466" s="4">
        <v>0.799</v>
      </c>
      <c r="Y466" s="4">
        <v>0.399</v>
      </c>
      <c r="AC466" s="4" t="s">
        <v>683</v>
      </c>
      <c r="AD466" s="4" t="s">
        <v>684</v>
      </c>
      <c r="AE466" s="4" t="s">
        <v>710</v>
      </c>
      <c r="AF466" s="4" t="s">
        <v>711</v>
      </c>
      <c r="AH466" s="4" t="s">
        <v>346</v>
      </c>
      <c r="AI466" s="4" t="s">
        <v>702</v>
      </c>
      <c r="AJ466" s="4" t="s">
        <v>703</v>
      </c>
      <c r="AK466" s="4" t="s">
        <v>704</v>
      </c>
      <c r="AL466" s="4" t="s">
        <v>689</v>
      </c>
      <c r="AM466" s="4" t="s">
        <v>705</v>
      </c>
      <c r="AN466" s="4">
        <v>15.96</v>
      </c>
      <c r="AO466" s="4">
        <v>0.155</v>
      </c>
      <c r="AQ466" s="4" t="s">
        <v>424</v>
      </c>
      <c r="AR466" s="4" t="s">
        <v>706</v>
      </c>
      <c r="AS466" s="4" t="s">
        <v>7</v>
      </c>
      <c r="AT466" s="4" t="s">
        <v>707</v>
      </c>
      <c r="AU466" s="4" t="s">
        <v>374</v>
      </c>
      <c r="AV466" s="4" t="s">
        <v>708</v>
      </c>
      <c r="BC466" s="4" t="s">
        <v>395</v>
      </c>
      <c r="BE466" s="4" t="s">
        <v>695</v>
      </c>
      <c r="BI466" s="4" t="s">
        <v>321</v>
      </c>
      <c r="BL466" s="4">
        <v>50</v>
      </c>
      <c r="BP466" s="4">
        <v>10</v>
      </c>
      <c r="BV466" s="4" t="s">
        <v>696</v>
      </c>
      <c r="CB466" s="4" t="s">
        <v>438</v>
      </c>
      <c r="CE466" s="4" t="s">
        <v>435</v>
      </c>
      <c r="CH466" s="4" t="s">
        <v>697</v>
      </c>
      <c r="DO466" s="4">
        <v>3</v>
      </c>
      <c r="DQ466" s="27">
        <v>2.077</v>
      </c>
      <c r="DR466" s="36">
        <v>0.21795</v>
      </c>
      <c r="DS466" s="27">
        <v>1.256</v>
      </c>
      <c r="DT466" s="36">
        <v>0.17949</v>
      </c>
      <c r="EC466" s="1">
        <f t="shared" si="20"/>
        <v>39.5281656234954</v>
      </c>
      <c r="ED466" s="1">
        <v>39.5281656234954</v>
      </c>
      <c r="FJ466" s="27">
        <v>26.47</v>
      </c>
      <c r="FL466" s="27">
        <v>15.33</v>
      </c>
      <c r="FM466" s="36">
        <v>0.35928</v>
      </c>
      <c r="FV466" s="1">
        <f t="shared" si="19"/>
        <v>42.0853796751039</v>
      </c>
      <c r="FW466" s="1">
        <v>42.0853796751039</v>
      </c>
      <c r="FY466" s="27">
        <v>1.7</v>
      </c>
      <c r="GA466" s="27">
        <v>1.093</v>
      </c>
      <c r="GB466" s="36">
        <v>0.12821</v>
      </c>
      <c r="GK466" s="1">
        <f t="shared" si="18"/>
        <v>35.7058823529412</v>
      </c>
      <c r="GL466" s="1">
        <v>35.7058823529412</v>
      </c>
    </row>
    <row r="467" customHeight="1" spans="1:313">
      <c r="A467" s="3">
        <v>15</v>
      </c>
      <c r="B467" s="4" t="s">
        <v>678</v>
      </c>
      <c r="C467" s="5" t="s">
        <v>358</v>
      </c>
      <c r="D467" s="4" t="s">
        <v>559</v>
      </c>
      <c r="E467" s="4" t="s">
        <v>709</v>
      </c>
      <c r="N467" s="4" t="s">
        <v>567</v>
      </c>
      <c r="O467" s="4" t="s">
        <v>343</v>
      </c>
      <c r="P467" s="4">
        <v>3</v>
      </c>
      <c r="R467" s="4" t="s">
        <v>680</v>
      </c>
      <c r="S467" s="4" t="s">
        <v>304</v>
      </c>
      <c r="T467" s="4">
        <v>69.041</v>
      </c>
      <c r="U467" s="4">
        <v>0.201</v>
      </c>
      <c r="V467" s="4">
        <v>8.454</v>
      </c>
      <c r="X467" s="4">
        <v>0.799</v>
      </c>
      <c r="Y467" s="4">
        <v>0.399</v>
      </c>
      <c r="AC467" s="4" t="s">
        <v>683</v>
      </c>
      <c r="AD467" s="4" t="s">
        <v>684</v>
      </c>
      <c r="AE467" s="4" t="s">
        <v>710</v>
      </c>
      <c r="AF467" s="4" t="s">
        <v>711</v>
      </c>
      <c r="AH467" s="4" t="s">
        <v>346</v>
      </c>
      <c r="AI467" s="4" t="s">
        <v>702</v>
      </c>
      <c r="AJ467" s="4" t="s">
        <v>703</v>
      </c>
      <c r="AK467" s="4" t="s">
        <v>704</v>
      </c>
      <c r="AL467" s="4" t="s">
        <v>689</v>
      </c>
      <c r="AM467" s="4" t="s">
        <v>705</v>
      </c>
      <c r="AN467" s="4">
        <v>15.96</v>
      </c>
      <c r="AO467" s="4">
        <v>0.155</v>
      </c>
      <c r="AQ467" s="4" t="s">
        <v>424</v>
      </c>
      <c r="AR467" s="4" t="s">
        <v>706</v>
      </c>
      <c r="AS467" s="4" t="s">
        <v>7</v>
      </c>
      <c r="AT467" s="4" t="s">
        <v>707</v>
      </c>
      <c r="AU467" s="4" t="s">
        <v>374</v>
      </c>
      <c r="AV467" s="4" t="s">
        <v>708</v>
      </c>
      <c r="BC467" s="4" t="s">
        <v>395</v>
      </c>
      <c r="BE467" s="4" t="s">
        <v>695</v>
      </c>
      <c r="BI467" s="4" t="s">
        <v>321</v>
      </c>
      <c r="BL467" s="4">
        <v>50</v>
      </c>
      <c r="BP467" s="4">
        <v>30</v>
      </c>
      <c r="BV467" s="4" t="s">
        <v>696</v>
      </c>
      <c r="CB467" s="4" t="s">
        <v>438</v>
      </c>
      <c r="CE467" s="4" t="s">
        <v>435</v>
      </c>
      <c r="CH467" s="4" t="s">
        <v>697</v>
      </c>
      <c r="DO467" s="4">
        <v>3</v>
      </c>
      <c r="DQ467" s="27">
        <v>2.077</v>
      </c>
      <c r="DR467" s="36">
        <v>0.21795</v>
      </c>
      <c r="DS467" s="27">
        <v>1.064</v>
      </c>
      <c r="DT467" s="36">
        <v>0.08974</v>
      </c>
      <c r="EC467" s="1">
        <f t="shared" si="20"/>
        <v>48.7722676937891</v>
      </c>
      <c r="ED467" s="1">
        <v>48.7722676937891</v>
      </c>
      <c r="FJ467" s="27">
        <v>26.47</v>
      </c>
      <c r="FL467" s="27">
        <v>7.78</v>
      </c>
      <c r="FM467" s="36">
        <v>1.1976</v>
      </c>
      <c r="FV467" s="1">
        <f t="shared" si="19"/>
        <v>70.608235738572</v>
      </c>
      <c r="FW467" s="1">
        <v>70.608235738572</v>
      </c>
      <c r="FY467" s="27">
        <v>1.7</v>
      </c>
      <c r="GA467" s="27">
        <v>0.613</v>
      </c>
      <c r="GB467" s="36">
        <v>0.16026</v>
      </c>
      <c r="GK467" s="1">
        <f t="shared" si="18"/>
        <v>63.9411764705882</v>
      </c>
      <c r="GL467" s="1">
        <v>63.9411764705882</v>
      </c>
    </row>
    <row r="468" customHeight="1" spans="1:313">
      <c r="A468" s="3">
        <v>15</v>
      </c>
      <c r="B468" s="4" t="s">
        <v>678</v>
      </c>
      <c r="C468" s="5" t="s">
        <v>358</v>
      </c>
      <c r="D468" s="4" t="s">
        <v>559</v>
      </c>
      <c r="E468" s="4" t="s">
        <v>709</v>
      </c>
      <c r="N468" s="4" t="s">
        <v>567</v>
      </c>
      <c r="O468" s="4" t="s">
        <v>343</v>
      </c>
      <c r="P468" s="4">
        <v>3</v>
      </c>
      <c r="R468" s="4" t="s">
        <v>680</v>
      </c>
      <c r="S468" s="4" t="s">
        <v>304</v>
      </c>
      <c r="T468" s="4">
        <v>69.041</v>
      </c>
      <c r="U468" s="4">
        <v>0.201</v>
      </c>
      <c r="V468" s="4">
        <v>8.454</v>
      </c>
      <c r="X468" s="4">
        <v>0.799</v>
      </c>
      <c r="Y468" s="4">
        <v>0.399</v>
      </c>
      <c r="AC468" s="4" t="s">
        <v>683</v>
      </c>
      <c r="AD468" s="4" t="s">
        <v>684</v>
      </c>
      <c r="AE468" s="4" t="s">
        <v>710</v>
      </c>
      <c r="AF468" s="4" t="s">
        <v>711</v>
      </c>
      <c r="AH468" s="4" t="s">
        <v>346</v>
      </c>
      <c r="AI468" s="4" t="s">
        <v>702</v>
      </c>
      <c r="AJ468" s="4" t="s">
        <v>703</v>
      </c>
      <c r="AK468" s="4" t="s">
        <v>704</v>
      </c>
      <c r="AL468" s="4" t="s">
        <v>689</v>
      </c>
      <c r="AM468" s="4" t="s">
        <v>705</v>
      </c>
      <c r="AN468" s="4">
        <v>15.96</v>
      </c>
      <c r="AO468" s="4">
        <v>0.155</v>
      </c>
      <c r="AQ468" s="4" t="s">
        <v>424</v>
      </c>
      <c r="AR468" s="4" t="s">
        <v>706</v>
      </c>
      <c r="AS468" s="4" t="s">
        <v>7</v>
      </c>
      <c r="AT468" s="4" t="s">
        <v>707</v>
      </c>
      <c r="AU468" s="4" t="s">
        <v>374</v>
      </c>
      <c r="AV468" s="4" t="s">
        <v>708</v>
      </c>
      <c r="BC468" s="4" t="s">
        <v>395</v>
      </c>
      <c r="BE468" s="4" t="s">
        <v>695</v>
      </c>
      <c r="BI468" s="4" t="s">
        <v>321</v>
      </c>
      <c r="BL468" s="4">
        <v>50</v>
      </c>
      <c r="BP468" s="4">
        <v>50</v>
      </c>
      <c r="BV468" s="4" t="s">
        <v>696</v>
      </c>
      <c r="CB468" s="4" t="s">
        <v>438</v>
      </c>
      <c r="CE468" s="4" t="s">
        <v>435</v>
      </c>
      <c r="CH468" s="4" t="s">
        <v>697</v>
      </c>
      <c r="DO468" s="4">
        <v>3</v>
      </c>
      <c r="DQ468" s="27">
        <v>2.077</v>
      </c>
      <c r="DR468" s="36">
        <v>0.21795</v>
      </c>
      <c r="DS468" s="27">
        <v>0.513</v>
      </c>
      <c r="DT468" s="36">
        <v>0.12821</v>
      </c>
      <c r="EC468" s="1">
        <f t="shared" si="20"/>
        <v>75.3009147809341</v>
      </c>
      <c r="ED468" s="1">
        <v>75.3009147809341</v>
      </c>
      <c r="FJ468" s="27">
        <v>26.47</v>
      </c>
      <c r="FL468" s="27">
        <v>4.19</v>
      </c>
      <c r="FM468" s="36">
        <v>0.5988</v>
      </c>
      <c r="FV468" s="1">
        <f t="shared" si="19"/>
        <v>84.1707593502078</v>
      </c>
      <c r="FW468" s="1">
        <v>84.1707593502078</v>
      </c>
      <c r="FY468" s="27">
        <v>1.7</v>
      </c>
      <c r="GA468" s="27">
        <v>0.518</v>
      </c>
      <c r="GB468" s="36">
        <v>0.07051</v>
      </c>
      <c r="GK468" s="1">
        <f t="shared" si="18"/>
        <v>69.5294117647059</v>
      </c>
      <c r="GL468" s="1">
        <v>69.5294117647059</v>
      </c>
    </row>
    <row r="469" customHeight="1" spans="1:313">
      <c r="A469" s="3">
        <v>15</v>
      </c>
      <c r="B469" s="4" t="s">
        <v>678</v>
      </c>
      <c r="C469" s="5" t="s">
        <v>341</v>
      </c>
      <c r="D469" s="4" t="s">
        <v>559</v>
      </c>
      <c r="E469" s="4" t="s">
        <v>712</v>
      </c>
      <c r="N469" s="4" t="s">
        <v>536</v>
      </c>
      <c r="O469" s="4" t="s">
        <v>343</v>
      </c>
      <c r="P469" s="4">
        <v>3</v>
      </c>
      <c r="R469" s="4" t="s">
        <v>713</v>
      </c>
      <c r="S469" s="4" t="s">
        <v>304</v>
      </c>
      <c r="T469" s="4">
        <v>5.189</v>
      </c>
      <c r="U469" s="4">
        <v>0.009</v>
      </c>
      <c r="V469" s="4">
        <v>6.18</v>
      </c>
      <c r="X469" s="4">
        <v>0.782</v>
      </c>
      <c r="Y469" s="4">
        <v>0.393</v>
      </c>
      <c r="AB469" s="4" t="s">
        <v>714</v>
      </c>
      <c r="AC469" s="4" t="s">
        <v>715</v>
      </c>
      <c r="AD469" s="4" t="s">
        <v>716</v>
      </c>
      <c r="AE469" s="4" t="s">
        <v>710</v>
      </c>
      <c r="AF469" s="4" t="s">
        <v>711</v>
      </c>
      <c r="AH469" s="4" t="s">
        <v>543</v>
      </c>
      <c r="AI469" s="4" t="s">
        <v>687</v>
      </c>
      <c r="AJ469" s="4" t="s">
        <v>545</v>
      </c>
      <c r="AK469" s="4" t="s">
        <v>688</v>
      </c>
      <c r="AL469" s="4" t="s">
        <v>689</v>
      </c>
      <c r="AM469" s="4" t="s">
        <v>690</v>
      </c>
      <c r="AN469" s="4">
        <v>13.68</v>
      </c>
      <c r="AO469" s="4">
        <v>4.775</v>
      </c>
      <c r="AQ469" s="4" t="s">
        <v>424</v>
      </c>
      <c r="AR469" s="4" t="s">
        <v>691</v>
      </c>
      <c r="AS469" s="4" t="s">
        <v>7</v>
      </c>
      <c r="AT469" s="4" t="s">
        <v>692</v>
      </c>
      <c r="AU469" s="4" t="s">
        <v>374</v>
      </c>
      <c r="AV469" s="4" t="s">
        <v>693</v>
      </c>
      <c r="BC469" s="4" t="s">
        <v>694</v>
      </c>
      <c r="BE469" s="4" t="s">
        <v>695</v>
      </c>
      <c r="BI469" s="4" t="s">
        <v>321</v>
      </c>
      <c r="BL469" s="4">
        <v>50</v>
      </c>
      <c r="BP469" s="4">
        <v>0</v>
      </c>
      <c r="BS469" s="4">
        <v>8.2</v>
      </c>
      <c r="BV469" s="4" t="s">
        <v>696</v>
      </c>
      <c r="BW469" s="4" t="s">
        <v>323</v>
      </c>
      <c r="BX469" s="4" t="s">
        <v>557</v>
      </c>
      <c r="BZ469" s="4">
        <v>3</v>
      </c>
      <c r="CB469" s="4" t="s">
        <v>438</v>
      </c>
      <c r="CE469" s="4" t="s">
        <v>435</v>
      </c>
      <c r="CH469" s="4" t="s">
        <v>697</v>
      </c>
      <c r="DO469" s="4">
        <v>3</v>
      </c>
      <c r="DS469" s="27">
        <v>0.187</v>
      </c>
      <c r="DT469" s="36">
        <v>0.02051</v>
      </c>
      <c r="EC469" s="1" t="e">
        <f t="shared" si="20"/>
        <v>#DIV/0!</v>
      </c>
      <c r="ED469" s="1">
        <v>0</v>
      </c>
      <c r="FJ469" s="27">
        <v>3.61</v>
      </c>
      <c r="FL469" s="27">
        <v>3.61</v>
      </c>
      <c r="FM469" s="36">
        <v>0.36129</v>
      </c>
      <c r="FV469" s="1">
        <f t="shared" si="19"/>
        <v>0</v>
      </c>
      <c r="FW469" s="1">
        <v>0</v>
      </c>
      <c r="FY469" s="27">
        <v>1.663</v>
      </c>
      <c r="GA469" s="27">
        <v>1.663</v>
      </c>
      <c r="GB469" s="1">
        <v>0.11429</v>
      </c>
      <c r="GK469" s="1">
        <f t="shared" si="18"/>
        <v>0</v>
      </c>
      <c r="GL469" s="1">
        <v>0</v>
      </c>
    </row>
    <row r="470" customHeight="1" spans="1:313">
      <c r="A470" s="3">
        <v>15</v>
      </c>
      <c r="B470" s="4" t="s">
        <v>678</v>
      </c>
      <c r="C470" s="5" t="s">
        <v>341</v>
      </c>
      <c r="D470" s="4" t="s">
        <v>559</v>
      </c>
      <c r="E470" s="4" t="s">
        <v>712</v>
      </c>
      <c r="N470" s="4" t="s">
        <v>536</v>
      </c>
      <c r="O470" s="4" t="s">
        <v>343</v>
      </c>
      <c r="P470" s="4">
        <v>3</v>
      </c>
      <c r="R470" s="4" t="s">
        <v>713</v>
      </c>
      <c r="S470" s="4" t="s">
        <v>304</v>
      </c>
      <c r="T470" s="4">
        <v>5.189</v>
      </c>
      <c r="U470" s="4">
        <v>0.009</v>
      </c>
      <c r="V470" s="4">
        <v>6.18</v>
      </c>
      <c r="X470" s="4">
        <v>0.782</v>
      </c>
      <c r="Y470" s="4">
        <v>0.393</v>
      </c>
      <c r="AB470" s="4" t="s">
        <v>714</v>
      </c>
      <c r="AC470" s="4" t="s">
        <v>715</v>
      </c>
      <c r="AD470" s="4" t="s">
        <v>716</v>
      </c>
      <c r="AE470" s="4" t="s">
        <v>710</v>
      </c>
      <c r="AF470" s="4" t="s">
        <v>711</v>
      </c>
      <c r="AH470" s="4" t="s">
        <v>543</v>
      </c>
      <c r="AI470" s="4" t="s">
        <v>687</v>
      </c>
      <c r="AJ470" s="4" t="s">
        <v>545</v>
      </c>
      <c r="AK470" s="4" t="s">
        <v>688</v>
      </c>
      <c r="AL470" s="4" t="s">
        <v>689</v>
      </c>
      <c r="AM470" s="4" t="s">
        <v>690</v>
      </c>
      <c r="AN470" s="4">
        <v>13.68</v>
      </c>
      <c r="AO470" s="4">
        <v>4.775</v>
      </c>
      <c r="AQ470" s="4" t="s">
        <v>424</v>
      </c>
      <c r="AR470" s="4" t="s">
        <v>691</v>
      </c>
      <c r="AS470" s="4" t="s">
        <v>7</v>
      </c>
      <c r="AT470" s="4" t="s">
        <v>692</v>
      </c>
      <c r="AU470" s="4" t="s">
        <v>374</v>
      </c>
      <c r="AV470" s="4" t="s">
        <v>693</v>
      </c>
      <c r="BC470" s="4" t="s">
        <v>694</v>
      </c>
      <c r="BE470" s="4" t="s">
        <v>695</v>
      </c>
      <c r="BI470" s="4" t="s">
        <v>321</v>
      </c>
      <c r="BL470" s="4">
        <v>50</v>
      </c>
      <c r="BP470" s="4">
        <v>10</v>
      </c>
      <c r="BV470" s="4" t="s">
        <v>696</v>
      </c>
      <c r="CB470" s="4" t="s">
        <v>438</v>
      </c>
      <c r="CE470" s="4" t="s">
        <v>435</v>
      </c>
      <c r="CH470" s="4" t="s">
        <v>697</v>
      </c>
      <c r="DO470" s="4">
        <v>3</v>
      </c>
      <c r="DQ470" s="27">
        <v>0.187</v>
      </c>
      <c r="DR470" s="36">
        <v>0.02051</v>
      </c>
      <c r="DS470" s="27">
        <v>0.074</v>
      </c>
      <c r="DT470" s="36">
        <v>0.01282</v>
      </c>
      <c r="EC470" s="1">
        <f t="shared" si="20"/>
        <v>60.427807486631</v>
      </c>
      <c r="ED470" s="1">
        <v>60.427807486631</v>
      </c>
      <c r="FJ470" s="27">
        <v>3.61</v>
      </c>
      <c r="FL470" s="27">
        <v>2.06</v>
      </c>
      <c r="FM470" s="36">
        <v>0.15484</v>
      </c>
      <c r="FV470" s="1">
        <f t="shared" si="19"/>
        <v>42.9362880886427</v>
      </c>
      <c r="FW470" s="1">
        <v>42.9362880886427</v>
      </c>
      <c r="FY470" s="27">
        <v>1.663</v>
      </c>
      <c r="GA470" s="27">
        <v>0.895</v>
      </c>
      <c r="GB470" s="1">
        <v>0.17778</v>
      </c>
      <c r="GK470" s="1">
        <f t="shared" si="18"/>
        <v>46.1815995189417</v>
      </c>
      <c r="GL470" s="1">
        <v>46.1815995189417</v>
      </c>
    </row>
    <row r="471" customHeight="1" spans="1:313">
      <c r="A471" s="3">
        <v>15</v>
      </c>
      <c r="B471" s="4" t="s">
        <v>678</v>
      </c>
      <c r="C471" s="5" t="s">
        <v>341</v>
      </c>
      <c r="D471" s="4" t="s">
        <v>559</v>
      </c>
      <c r="E471" s="4" t="s">
        <v>712</v>
      </c>
      <c r="N471" s="4" t="s">
        <v>536</v>
      </c>
      <c r="O471" s="4" t="s">
        <v>343</v>
      </c>
      <c r="P471" s="4">
        <v>3</v>
      </c>
      <c r="R471" s="4" t="s">
        <v>713</v>
      </c>
      <c r="S471" s="4" t="s">
        <v>304</v>
      </c>
      <c r="T471" s="4">
        <v>5.189</v>
      </c>
      <c r="U471" s="4">
        <v>0.009</v>
      </c>
      <c r="V471" s="4">
        <v>6.18</v>
      </c>
      <c r="X471" s="4">
        <v>0.782</v>
      </c>
      <c r="Y471" s="4">
        <v>0.393</v>
      </c>
      <c r="AB471" s="4" t="s">
        <v>714</v>
      </c>
      <c r="AC471" s="4" t="s">
        <v>715</v>
      </c>
      <c r="AD471" s="4" t="s">
        <v>716</v>
      </c>
      <c r="AE471" s="4" t="s">
        <v>710</v>
      </c>
      <c r="AF471" s="4" t="s">
        <v>711</v>
      </c>
      <c r="AH471" s="4" t="s">
        <v>543</v>
      </c>
      <c r="AI471" s="4" t="s">
        <v>687</v>
      </c>
      <c r="AJ471" s="4" t="s">
        <v>545</v>
      </c>
      <c r="AK471" s="4" t="s">
        <v>688</v>
      </c>
      <c r="AL471" s="4" t="s">
        <v>689</v>
      </c>
      <c r="AM471" s="4" t="s">
        <v>690</v>
      </c>
      <c r="AN471" s="4">
        <v>13.68</v>
      </c>
      <c r="AO471" s="4">
        <v>4.775</v>
      </c>
      <c r="AQ471" s="4" t="s">
        <v>424</v>
      </c>
      <c r="AR471" s="4" t="s">
        <v>691</v>
      </c>
      <c r="AS471" s="4" t="s">
        <v>7</v>
      </c>
      <c r="AT471" s="4" t="s">
        <v>692</v>
      </c>
      <c r="AU471" s="4" t="s">
        <v>374</v>
      </c>
      <c r="AV471" s="4" t="s">
        <v>693</v>
      </c>
      <c r="BC471" s="4" t="s">
        <v>694</v>
      </c>
      <c r="BE471" s="4" t="s">
        <v>695</v>
      </c>
      <c r="BI471" s="4" t="s">
        <v>321</v>
      </c>
      <c r="BL471" s="4">
        <v>50</v>
      </c>
      <c r="BP471" s="4">
        <v>30</v>
      </c>
      <c r="BV471" s="4" t="s">
        <v>696</v>
      </c>
      <c r="CB471" s="4" t="s">
        <v>438</v>
      </c>
      <c r="CE471" s="4" t="s">
        <v>435</v>
      </c>
      <c r="CH471" s="4" t="s">
        <v>697</v>
      </c>
      <c r="DO471" s="4">
        <v>3</v>
      </c>
      <c r="DQ471" s="27">
        <v>0.187</v>
      </c>
      <c r="DR471" s="36">
        <v>0.02051</v>
      </c>
      <c r="DS471" s="27">
        <v>0.051</v>
      </c>
      <c r="DT471" s="36">
        <v>0.00769</v>
      </c>
      <c r="EC471" s="1">
        <f t="shared" si="20"/>
        <v>72.7272727272727</v>
      </c>
      <c r="ED471" s="1">
        <v>72.7272727272727</v>
      </c>
      <c r="FJ471" s="27">
        <v>3.61</v>
      </c>
      <c r="FL471" s="27">
        <v>1.39</v>
      </c>
      <c r="FM471" s="36">
        <v>0.18065</v>
      </c>
      <c r="FV471" s="1">
        <f t="shared" si="19"/>
        <v>61.4958448753463</v>
      </c>
      <c r="FW471" s="1">
        <v>61.4958448753463</v>
      </c>
      <c r="FY471" s="27">
        <v>1.663</v>
      </c>
      <c r="GA471" s="27">
        <v>0.565</v>
      </c>
      <c r="GB471" s="1">
        <v>0.10794</v>
      </c>
      <c r="GK471" s="1">
        <f t="shared" si="18"/>
        <v>66.0252555622369</v>
      </c>
      <c r="GL471" s="1">
        <v>66.0252555622369</v>
      </c>
    </row>
    <row r="472" customHeight="1" spans="1:313">
      <c r="A472" s="3">
        <v>15</v>
      </c>
      <c r="B472" s="4" t="s">
        <v>678</v>
      </c>
      <c r="C472" s="5" t="s">
        <v>341</v>
      </c>
      <c r="D472" s="4" t="s">
        <v>559</v>
      </c>
      <c r="E472" s="4" t="s">
        <v>712</v>
      </c>
      <c r="N472" s="4" t="s">
        <v>536</v>
      </c>
      <c r="O472" s="4" t="s">
        <v>343</v>
      </c>
      <c r="P472" s="4">
        <v>3</v>
      </c>
      <c r="R472" s="4" t="s">
        <v>713</v>
      </c>
      <c r="S472" s="4" t="s">
        <v>304</v>
      </c>
      <c r="T472" s="4">
        <v>5.189</v>
      </c>
      <c r="U472" s="4">
        <v>0.009</v>
      </c>
      <c r="V472" s="4">
        <v>6.18</v>
      </c>
      <c r="X472" s="4">
        <v>0.782</v>
      </c>
      <c r="Y472" s="4">
        <v>0.393</v>
      </c>
      <c r="AB472" s="4" t="s">
        <v>714</v>
      </c>
      <c r="AC472" s="4" t="s">
        <v>715</v>
      </c>
      <c r="AD472" s="4" t="s">
        <v>716</v>
      </c>
      <c r="AE472" s="4" t="s">
        <v>710</v>
      </c>
      <c r="AF472" s="4" t="s">
        <v>711</v>
      </c>
      <c r="AH472" s="4" t="s">
        <v>543</v>
      </c>
      <c r="AI472" s="4" t="s">
        <v>687</v>
      </c>
      <c r="AJ472" s="4" t="s">
        <v>545</v>
      </c>
      <c r="AK472" s="4" t="s">
        <v>688</v>
      </c>
      <c r="AL472" s="4" t="s">
        <v>689</v>
      </c>
      <c r="AM472" s="4" t="s">
        <v>690</v>
      </c>
      <c r="AN472" s="4">
        <v>13.68</v>
      </c>
      <c r="AO472" s="4">
        <v>4.775</v>
      </c>
      <c r="AQ472" s="4" t="s">
        <v>424</v>
      </c>
      <c r="AR472" s="4" t="s">
        <v>691</v>
      </c>
      <c r="AS472" s="4" t="s">
        <v>7</v>
      </c>
      <c r="AT472" s="4" t="s">
        <v>692</v>
      </c>
      <c r="AU472" s="4" t="s">
        <v>374</v>
      </c>
      <c r="AV472" s="4" t="s">
        <v>693</v>
      </c>
      <c r="BC472" s="4" t="s">
        <v>694</v>
      </c>
      <c r="BE472" s="4" t="s">
        <v>695</v>
      </c>
      <c r="BI472" s="4" t="s">
        <v>321</v>
      </c>
      <c r="BL472" s="4">
        <v>50</v>
      </c>
      <c r="BP472" s="4">
        <v>50</v>
      </c>
      <c r="BV472" s="4" t="s">
        <v>696</v>
      </c>
      <c r="CB472" s="4" t="s">
        <v>438</v>
      </c>
      <c r="CE472" s="4" t="s">
        <v>435</v>
      </c>
      <c r="CH472" s="4" t="s">
        <v>697</v>
      </c>
      <c r="DO472" s="4">
        <v>3</v>
      </c>
      <c r="DQ472" s="27">
        <v>0.187</v>
      </c>
      <c r="DR472" s="36">
        <v>0.02051</v>
      </c>
      <c r="DS472" s="27">
        <v>0.046</v>
      </c>
      <c r="DT472" s="36">
        <v>0.00769</v>
      </c>
      <c r="EC472" s="1">
        <f t="shared" si="20"/>
        <v>75.4010695187166</v>
      </c>
      <c r="ED472" s="1">
        <v>75.4010695187166</v>
      </c>
      <c r="FJ472" s="27">
        <v>3.61</v>
      </c>
      <c r="FL472" s="27">
        <v>0.85</v>
      </c>
      <c r="FM472" s="36">
        <v>0.20645</v>
      </c>
      <c r="FV472" s="1">
        <f t="shared" si="19"/>
        <v>76.4542936288089</v>
      </c>
      <c r="FW472" s="1">
        <v>76.4542936288089</v>
      </c>
      <c r="FY472" s="27">
        <v>1.663</v>
      </c>
      <c r="GA472" s="27">
        <v>0.298</v>
      </c>
      <c r="GB472" s="1">
        <v>0.06349</v>
      </c>
      <c r="GK472" s="1">
        <f t="shared" si="18"/>
        <v>82.080577269994</v>
      </c>
      <c r="GL472" s="1">
        <v>82.080577269994</v>
      </c>
    </row>
    <row r="473" customHeight="1" spans="1:313">
      <c r="A473" s="3">
        <v>15</v>
      </c>
      <c r="B473" s="4" t="s">
        <v>678</v>
      </c>
      <c r="C473" s="5" t="s">
        <v>341</v>
      </c>
      <c r="D473" s="4" t="s">
        <v>559</v>
      </c>
      <c r="E473" s="4" t="s">
        <v>712</v>
      </c>
      <c r="N473" s="4" t="s">
        <v>536</v>
      </c>
      <c r="O473" s="4" t="s">
        <v>343</v>
      </c>
      <c r="P473" s="4">
        <v>3</v>
      </c>
      <c r="R473" s="4" t="s">
        <v>713</v>
      </c>
      <c r="S473" s="4" t="s">
        <v>304</v>
      </c>
      <c r="T473" s="4">
        <v>5.189</v>
      </c>
      <c r="U473" s="4">
        <v>0.009</v>
      </c>
      <c r="V473" s="4">
        <v>6.18</v>
      </c>
      <c r="X473" s="4">
        <v>0.782</v>
      </c>
      <c r="Y473" s="4">
        <v>0.393</v>
      </c>
      <c r="AB473" s="4" t="s">
        <v>714</v>
      </c>
      <c r="AC473" s="4" t="s">
        <v>715</v>
      </c>
      <c r="AD473" s="4" t="s">
        <v>716</v>
      </c>
      <c r="AE473" s="4" t="s">
        <v>710</v>
      </c>
      <c r="AF473" s="4" t="s">
        <v>711</v>
      </c>
      <c r="AH473" s="4" t="s">
        <v>346</v>
      </c>
      <c r="AI473" s="4" t="s">
        <v>702</v>
      </c>
      <c r="AJ473" s="4" t="s">
        <v>703</v>
      </c>
      <c r="AK473" s="4" t="s">
        <v>704</v>
      </c>
      <c r="AL473" s="4" t="s">
        <v>689</v>
      </c>
      <c r="AM473" s="4" t="s">
        <v>705</v>
      </c>
      <c r="AN473" s="4">
        <v>15.96</v>
      </c>
      <c r="AO473" s="4">
        <v>0.155</v>
      </c>
      <c r="AQ473" s="4" t="s">
        <v>424</v>
      </c>
      <c r="AR473" s="4" t="s">
        <v>706</v>
      </c>
      <c r="AS473" s="4" t="s">
        <v>7</v>
      </c>
      <c r="AT473" s="4" t="s">
        <v>707</v>
      </c>
      <c r="AU473" s="4" t="s">
        <v>374</v>
      </c>
      <c r="AV473" s="4" t="s">
        <v>708</v>
      </c>
      <c r="BC473" s="4" t="s">
        <v>395</v>
      </c>
      <c r="BE473" s="4" t="s">
        <v>695</v>
      </c>
      <c r="BI473" s="4" t="s">
        <v>321</v>
      </c>
      <c r="BL473" s="4">
        <v>50</v>
      </c>
      <c r="BP473" s="4">
        <v>0</v>
      </c>
      <c r="BS473" s="4">
        <v>6.58</v>
      </c>
      <c r="BV473" s="4" t="s">
        <v>696</v>
      </c>
      <c r="BW473" s="4" t="s">
        <v>323</v>
      </c>
      <c r="BX473" s="4" t="s">
        <v>557</v>
      </c>
      <c r="BZ473" s="4">
        <v>3</v>
      </c>
      <c r="CB473" s="4" t="s">
        <v>438</v>
      </c>
      <c r="CE473" s="4" t="s">
        <v>435</v>
      </c>
      <c r="CH473" s="4" t="s">
        <v>697</v>
      </c>
      <c r="DO473" s="4">
        <v>3</v>
      </c>
      <c r="DS473" s="27">
        <v>2.077</v>
      </c>
      <c r="DT473" s="36">
        <v>0.21795</v>
      </c>
      <c r="EC473" s="1" t="e">
        <f t="shared" si="20"/>
        <v>#DIV/0!</v>
      </c>
      <c r="ED473" s="1">
        <v>0</v>
      </c>
      <c r="FJ473" s="27">
        <v>26.47</v>
      </c>
      <c r="FL473" s="27">
        <v>26.47</v>
      </c>
      <c r="FM473" s="36">
        <v>0.95808</v>
      </c>
      <c r="FV473" s="1">
        <f t="shared" si="19"/>
        <v>0</v>
      </c>
      <c r="FW473" s="1">
        <v>0</v>
      </c>
      <c r="FY473" s="27">
        <v>1.7</v>
      </c>
      <c r="GA473" s="27">
        <v>1.7</v>
      </c>
      <c r="GB473" s="36">
        <v>0.25</v>
      </c>
      <c r="GK473" s="1">
        <f t="shared" si="18"/>
        <v>0</v>
      </c>
      <c r="GL473" s="1">
        <v>0</v>
      </c>
    </row>
    <row r="474" customHeight="1" spans="1:313">
      <c r="A474" s="3">
        <v>15</v>
      </c>
      <c r="B474" s="4" t="s">
        <v>678</v>
      </c>
      <c r="C474" s="5" t="s">
        <v>341</v>
      </c>
      <c r="D474" s="4" t="s">
        <v>559</v>
      </c>
      <c r="E474" s="4" t="s">
        <v>712</v>
      </c>
      <c r="N474" s="4" t="s">
        <v>536</v>
      </c>
      <c r="O474" s="4" t="s">
        <v>343</v>
      </c>
      <c r="P474" s="4">
        <v>3</v>
      </c>
      <c r="R474" s="4" t="s">
        <v>713</v>
      </c>
      <c r="S474" s="4" t="s">
        <v>304</v>
      </c>
      <c r="T474" s="4">
        <v>5.189</v>
      </c>
      <c r="U474" s="4">
        <v>0.009</v>
      </c>
      <c r="V474" s="4">
        <v>6.18</v>
      </c>
      <c r="X474" s="4">
        <v>0.782</v>
      </c>
      <c r="Y474" s="4">
        <v>0.393</v>
      </c>
      <c r="AB474" s="4" t="s">
        <v>714</v>
      </c>
      <c r="AC474" s="4" t="s">
        <v>715</v>
      </c>
      <c r="AD474" s="4" t="s">
        <v>716</v>
      </c>
      <c r="AE474" s="4" t="s">
        <v>710</v>
      </c>
      <c r="AF474" s="4" t="s">
        <v>711</v>
      </c>
      <c r="AH474" s="4" t="s">
        <v>346</v>
      </c>
      <c r="AI474" s="4" t="s">
        <v>702</v>
      </c>
      <c r="AJ474" s="4" t="s">
        <v>703</v>
      </c>
      <c r="AK474" s="4" t="s">
        <v>704</v>
      </c>
      <c r="AL474" s="4" t="s">
        <v>689</v>
      </c>
      <c r="AM474" s="4" t="s">
        <v>705</v>
      </c>
      <c r="AN474" s="4">
        <v>15.96</v>
      </c>
      <c r="AO474" s="4">
        <v>0.155</v>
      </c>
      <c r="AQ474" s="4" t="s">
        <v>424</v>
      </c>
      <c r="AR474" s="4" t="s">
        <v>706</v>
      </c>
      <c r="AS474" s="4" t="s">
        <v>7</v>
      </c>
      <c r="AT474" s="4" t="s">
        <v>707</v>
      </c>
      <c r="AU474" s="4" t="s">
        <v>374</v>
      </c>
      <c r="AV474" s="4" t="s">
        <v>708</v>
      </c>
      <c r="BC474" s="4" t="s">
        <v>395</v>
      </c>
      <c r="BE474" s="4" t="s">
        <v>695</v>
      </c>
      <c r="BI474" s="4" t="s">
        <v>321</v>
      </c>
      <c r="BL474" s="4">
        <v>50</v>
      </c>
      <c r="BP474" s="4">
        <v>10</v>
      </c>
      <c r="BV474" s="4" t="s">
        <v>696</v>
      </c>
      <c r="CB474" s="4" t="s">
        <v>438</v>
      </c>
      <c r="CE474" s="4" t="s">
        <v>435</v>
      </c>
      <c r="CH474" s="4" t="s">
        <v>697</v>
      </c>
      <c r="DO474" s="4">
        <v>3</v>
      </c>
      <c r="DQ474" s="27">
        <v>2.077</v>
      </c>
      <c r="DR474" s="36">
        <v>0.21795</v>
      </c>
      <c r="DS474" s="27">
        <v>0.769</v>
      </c>
      <c r="DT474" s="36">
        <v>0.08974</v>
      </c>
      <c r="EC474" s="1">
        <f t="shared" si="20"/>
        <v>62.9754453538758</v>
      </c>
      <c r="ED474" s="1">
        <v>62.9754453538758</v>
      </c>
      <c r="FJ474" s="27">
        <v>26.47</v>
      </c>
      <c r="FL474" s="27">
        <v>5.87</v>
      </c>
      <c r="FM474" s="36">
        <v>0.35928</v>
      </c>
      <c r="FV474" s="1">
        <f t="shared" si="19"/>
        <v>77.8239516433699</v>
      </c>
      <c r="FW474" s="1">
        <v>77.8239516433699</v>
      </c>
      <c r="FY474" s="27">
        <v>1.7</v>
      </c>
      <c r="GA474" s="27">
        <v>0.588</v>
      </c>
      <c r="GB474" s="36">
        <v>0.16026</v>
      </c>
      <c r="GK474" s="1">
        <f t="shared" si="18"/>
        <v>65.4117647058824</v>
      </c>
      <c r="GL474" s="1">
        <v>65.4117647058824</v>
      </c>
    </row>
    <row r="475" customHeight="1" spans="1:313">
      <c r="A475" s="3">
        <v>15</v>
      </c>
      <c r="B475" s="4" t="s">
        <v>678</v>
      </c>
      <c r="C475" s="5" t="s">
        <v>341</v>
      </c>
      <c r="D475" s="4" t="s">
        <v>559</v>
      </c>
      <c r="E475" s="4" t="s">
        <v>712</v>
      </c>
      <c r="N475" s="4" t="s">
        <v>536</v>
      </c>
      <c r="O475" s="4" t="s">
        <v>343</v>
      </c>
      <c r="P475" s="4">
        <v>3</v>
      </c>
      <c r="R475" s="4" t="s">
        <v>713</v>
      </c>
      <c r="S475" s="4" t="s">
        <v>304</v>
      </c>
      <c r="T475" s="4">
        <v>5.189</v>
      </c>
      <c r="U475" s="4">
        <v>0.009</v>
      </c>
      <c r="V475" s="4">
        <v>6.18</v>
      </c>
      <c r="X475" s="4">
        <v>0.782</v>
      </c>
      <c r="Y475" s="4">
        <v>0.393</v>
      </c>
      <c r="AB475" s="4" t="s">
        <v>714</v>
      </c>
      <c r="AC475" s="4" t="s">
        <v>715</v>
      </c>
      <c r="AD475" s="4" t="s">
        <v>716</v>
      </c>
      <c r="AE475" s="4" t="s">
        <v>710</v>
      </c>
      <c r="AF475" s="4" t="s">
        <v>711</v>
      </c>
      <c r="AH475" s="4" t="s">
        <v>346</v>
      </c>
      <c r="AI475" s="4" t="s">
        <v>702</v>
      </c>
      <c r="AJ475" s="4" t="s">
        <v>703</v>
      </c>
      <c r="AK475" s="4" t="s">
        <v>704</v>
      </c>
      <c r="AL475" s="4" t="s">
        <v>689</v>
      </c>
      <c r="AM475" s="4" t="s">
        <v>705</v>
      </c>
      <c r="AN475" s="4">
        <v>15.96</v>
      </c>
      <c r="AO475" s="4">
        <v>0.155</v>
      </c>
      <c r="AQ475" s="4" t="s">
        <v>424</v>
      </c>
      <c r="AR475" s="4" t="s">
        <v>706</v>
      </c>
      <c r="AS475" s="4" t="s">
        <v>7</v>
      </c>
      <c r="AT475" s="4" t="s">
        <v>707</v>
      </c>
      <c r="AU475" s="4" t="s">
        <v>374</v>
      </c>
      <c r="AV475" s="4" t="s">
        <v>708</v>
      </c>
      <c r="BC475" s="4" t="s">
        <v>395</v>
      </c>
      <c r="BE475" s="4" t="s">
        <v>695</v>
      </c>
      <c r="BI475" s="4" t="s">
        <v>321</v>
      </c>
      <c r="BL475" s="4">
        <v>50</v>
      </c>
      <c r="BP475" s="4">
        <v>30</v>
      </c>
      <c r="BV475" s="4" t="s">
        <v>696</v>
      </c>
      <c r="CB475" s="4" t="s">
        <v>438</v>
      </c>
      <c r="CE475" s="4" t="s">
        <v>435</v>
      </c>
      <c r="CH475" s="4" t="s">
        <v>697</v>
      </c>
      <c r="DO475" s="4">
        <v>3</v>
      </c>
      <c r="DQ475" s="27">
        <v>2.077</v>
      </c>
      <c r="DR475" s="36">
        <v>0.21795</v>
      </c>
      <c r="DS475" s="27">
        <v>0.564</v>
      </c>
      <c r="DT475" s="36">
        <v>0.11538</v>
      </c>
      <c r="EC475" s="1">
        <f t="shared" si="20"/>
        <v>72.8454501685123</v>
      </c>
      <c r="ED475" s="1">
        <v>72.8454501685123</v>
      </c>
      <c r="FJ475" s="27">
        <v>26.47</v>
      </c>
      <c r="FL475" s="27">
        <v>1.68</v>
      </c>
      <c r="FM475" s="36">
        <v>0.11976</v>
      </c>
      <c r="FV475" s="1">
        <f t="shared" si="19"/>
        <v>93.6531922931621</v>
      </c>
      <c r="FW475" s="1">
        <v>93.6531922931621</v>
      </c>
      <c r="FY475" s="27">
        <v>1.7</v>
      </c>
      <c r="GA475" s="27">
        <v>0.224</v>
      </c>
      <c r="GB475" s="36">
        <v>0.04487</v>
      </c>
      <c r="GK475" s="1">
        <f t="shared" si="18"/>
        <v>86.8235294117647</v>
      </c>
      <c r="GL475" s="1">
        <v>86.8235294117647</v>
      </c>
    </row>
    <row r="476" customHeight="1" spans="1:313">
      <c r="A476" s="3">
        <v>15</v>
      </c>
      <c r="B476" s="4" t="s">
        <v>678</v>
      </c>
      <c r="C476" s="5" t="s">
        <v>341</v>
      </c>
      <c r="D476" s="4" t="s">
        <v>559</v>
      </c>
      <c r="E476" s="4" t="s">
        <v>712</v>
      </c>
      <c r="N476" s="4" t="s">
        <v>536</v>
      </c>
      <c r="O476" s="4" t="s">
        <v>343</v>
      </c>
      <c r="P476" s="4">
        <v>3</v>
      </c>
      <c r="R476" s="4" t="s">
        <v>713</v>
      </c>
      <c r="S476" s="4" t="s">
        <v>304</v>
      </c>
      <c r="T476" s="4">
        <v>5.189</v>
      </c>
      <c r="U476" s="4">
        <v>0.009</v>
      </c>
      <c r="V476" s="4">
        <v>6.18</v>
      </c>
      <c r="X476" s="4">
        <v>0.782</v>
      </c>
      <c r="Y476" s="4">
        <v>0.393</v>
      </c>
      <c r="AB476" s="4" t="s">
        <v>714</v>
      </c>
      <c r="AC476" s="4" t="s">
        <v>715</v>
      </c>
      <c r="AD476" s="4" t="s">
        <v>716</v>
      </c>
      <c r="AE476" s="4" t="s">
        <v>710</v>
      </c>
      <c r="AF476" s="4" t="s">
        <v>711</v>
      </c>
      <c r="AH476" s="4" t="s">
        <v>346</v>
      </c>
      <c r="AI476" s="4" t="s">
        <v>702</v>
      </c>
      <c r="AJ476" s="4" t="s">
        <v>703</v>
      </c>
      <c r="AK476" s="4" t="s">
        <v>704</v>
      </c>
      <c r="AL476" s="4" t="s">
        <v>689</v>
      </c>
      <c r="AM476" s="4" t="s">
        <v>705</v>
      </c>
      <c r="AN476" s="4">
        <v>15.96</v>
      </c>
      <c r="AO476" s="4">
        <v>0.155</v>
      </c>
      <c r="AQ476" s="4" t="s">
        <v>424</v>
      </c>
      <c r="AR476" s="4" t="s">
        <v>706</v>
      </c>
      <c r="AS476" s="4" t="s">
        <v>7</v>
      </c>
      <c r="AT476" s="4" t="s">
        <v>707</v>
      </c>
      <c r="AU476" s="4" t="s">
        <v>374</v>
      </c>
      <c r="AV476" s="4" t="s">
        <v>708</v>
      </c>
      <c r="BC476" s="4" t="s">
        <v>395</v>
      </c>
      <c r="BE476" s="4" t="s">
        <v>695</v>
      </c>
      <c r="BI476" s="4" t="s">
        <v>321</v>
      </c>
      <c r="BL476" s="4">
        <v>50</v>
      </c>
      <c r="BP476" s="4">
        <v>50</v>
      </c>
      <c r="BV476" s="4" t="s">
        <v>696</v>
      </c>
      <c r="CB476" s="4" t="s">
        <v>438</v>
      </c>
      <c r="CE476" s="4" t="s">
        <v>435</v>
      </c>
      <c r="CH476" s="4" t="s">
        <v>697</v>
      </c>
      <c r="DO476" s="4">
        <v>3</v>
      </c>
      <c r="DQ476" s="27">
        <v>2.077</v>
      </c>
      <c r="DR476" s="36">
        <v>0.21795</v>
      </c>
      <c r="DS476" s="27">
        <v>0.244</v>
      </c>
      <c r="DT476" s="36">
        <v>0.03846</v>
      </c>
      <c r="EC476" s="1">
        <f t="shared" si="20"/>
        <v>88.2522869523351</v>
      </c>
      <c r="ED476" s="1">
        <v>88.2522869523351</v>
      </c>
      <c r="FJ476" s="27">
        <v>26.47</v>
      </c>
      <c r="FL476" s="4">
        <v>0</v>
      </c>
      <c r="FM476" s="36">
        <v>0</v>
      </c>
      <c r="FV476" s="1">
        <f t="shared" si="19"/>
        <v>100</v>
      </c>
      <c r="FW476" s="1">
        <v>100</v>
      </c>
      <c r="FY476" s="27">
        <v>1.7</v>
      </c>
      <c r="GA476" s="27">
        <v>0.166</v>
      </c>
      <c r="GB476" s="36">
        <v>0.03846</v>
      </c>
      <c r="GK476" s="1">
        <f t="shared" si="18"/>
        <v>90.2352941176471</v>
      </c>
      <c r="GL476" s="1">
        <v>90.2352941176471</v>
      </c>
    </row>
    <row r="477" customHeight="1" spans="1:313">
      <c r="A477" s="16">
        <v>16</v>
      </c>
      <c r="B477" s="4" t="s">
        <v>717</v>
      </c>
      <c r="C477" s="5" t="s">
        <v>718</v>
      </c>
      <c r="D477" s="4" t="s">
        <v>719</v>
      </c>
      <c r="E477" s="4" t="s">
        <v>720</v>
      </c>
      <c r="F477" s="4" t="s">
        <v>328</v>
      </c>
      <c r="G477" s="4" t="s">
        <v>566</v>
      </c>
      <c r="N477" s="4" t="s">
        <v>536</v>
      </c>
      <c r="O477" s="4" t="s">
        <v>343</v>
      </c>
      <c r="Q477" s="4" t="s">
        <v>568</v>
      </c>
      <c r="R477" s="4" t="s">
        <v>721</v>
      </c>
      <c r="T477" s="4">
        <v>12.83</v>
      </c>
      <c r="U477" s="4">
        <v>0.053</v>
      </c>
      <c r="V477" s="4">
        <v>86.66</v>
      </c>
      <c r="X477" s="4">
        <v>0.875</v>
      </c>
      <c r="Z477" s="4">
        <v>0.274</v>
      </c>
      <c r="AB477" s="4" t="s">
        <v>722</v>
      </c>
      <c r="AC477" s="4" t="s">
        <v>723</v>
      </c>
      <c r="AD477" s="4" t="s">
        <v>724</v>
      </c>
      <c r="AE477" s="4">
        <v>480</v>
      </c>
      <c r="AF477" s="4" t="s">
        <v>725</v>
      </c>
      <c r="BI477" s="4" t="s">
        <v>309</v>
      </c>
      <c r="BN477" s="4">
        <v>1</v>
      </c>
      <c r="BV477" s="4" t="s">
        <v>495</v>
      </c>
      <c r="BW477" s="4">
        <v>25</v>
      </c>
      <c r="CB477" s="4" t="s">
        <v>11</v>
      </c>
      <c r="CC477" s="4">
        <v>1500</v>
      </c>
      <c r="CX477" s="4" t="s">
        <v>314</v>
      </c>
      <c r="DO477" s="4">
        <v>3</v>
      </c>
      <c r="KZ477" s="1" t="s">
        <v>465</v>
      </c>
      <c r="LA477" s="1" t="s">
        <v>726</v>
      </c>
    </row>
    <row r="478" customHeight="1" spans="1:313">
      <c r="A478" s="16">
        <v>16</v>
      </c>
      <c r="B478" s="4" t="s">
        <v>717</v>
      </c>
      <c r="C478" s="5" t="s">
        <v>718</v>
      </c>
      <c r="D478" s="4" t="s">
        <v>719</v>
      </c>
      <c r="E478" s="4" t="s">
        <v>720</v>
      </c>
      <c r="F478" s="4" t="s">
        <v>328</v>
      </c>
      <c r="G478" s="4" t="s">
        <v>566</v>
      </c>
      <c r="N478" s="4" t="s">
        <v>536</v>
      </c>
      <c r="O478" s="4" t="s">
        <v>343</v>
      </c>
      <c r="Q478" s="4" t="s">
        <v>568</v>
      </c>
      <c r="R478" s="4" t="s">
        <v>721</v>
      </c>
      <c r="T478" s="4">
        <v>12.83</v>
      </c>
      <c r="U478" s="4">
        <v>0.053</v>
      </c>
      <c r="V478" s="4">
        <v>86.66</v>
      </c>
      <c r="X478" s="4">
        <v>0.875</v>
      </c>
      <c r="Z478" s="4">
        <v>0.274</v>
      </c>
      <c r="AB478" s="4" t="s">
        <v>722</v>
      </c>
      <c r="AC478" s="4" t="s">
        <v>723</v>
      </c>
      <c r="AD478" s="4" t="s">
        <v>724</v>
      </c>
      <c r="AE478" s="4">
        <v>480</v>
      </c>
      <c r="AF478" s="4" t="s">
        <v>725</v>
      </c>
      <c r="BI478" s="4" t="s">
        <v>309</v>
      </c>
      <c r="BN478" s="4">
        <v>1</v>
      </c>
      <c r="BS478" s="4">
        <v>5</v>
      </c>
      <c r="BW478" s="4">
        <v>25</v>
      </c>
      <c r="CB478" s="4" t="s">
        <v>11</v>
      </c>
      <c r="CC478" s="4" t="s">
        <v>582</v>
      </c>
      <c r="DB478" s="4" t="s">
        <v>430</v>
      </c>
      <c r="DC478" s="4" t="s">
        <v>727</v>
      </c>
      <c r="DD478" s="4">
        <v>1020.1</v>
      </c>
      <c r="DE478" s="4">
        <v>968.5</v>
      </c>
      <c r="DO478" s="4">
        <v>3</v>
      </c>
      <c r="GE478" s="4">
        <v>1020.1</v>
      </c>
      <c r="KZ478" s="1" t="s">
        <v>464</v>
      </c>
      <c r="LA478" s="1" t="s">
        <v>728</v>
      </c>
    </row>
    <row r="479" customHeight="1" spans="1:313">
      <c r="A479" s="16">
        <v>16</v>
      </c>
      <c r="B479" s="4" t="s">
        <v>717</v>
      </c>
      <c r="C479" s="5" t="s">
        <v>718</v>
      </c>
      <c r="D479" s="4" t="s">
        <v>719</v>
      </c>
      <c r="E479" s="4" t="s">
        <v>720</v>
      </c>
      <c r="F479" s="4" t="s">
        <v>328</v>
      </c>
      <c r="G479" s="4" t="s">
        <v>566</v>
      </c>
      <c r="N479" s="4" t="s">
        <v>536</v>
      </c>
      <c r="O479" s="4" t="s">
        <v>343</v>
      </c>
      <c r="Q479" s="4" t="s">
        <v>568</v>
      </c>
      <c r="R479" s="4" t="s">
        <v>721</v>
      </c>
      <c r="T479" s="4">
        <v>12.83</v>
      </c>
      <c r="U479" s="4">
        <v>0.053</v>
      </c>
      <c r="V479" s="4">
        <v>86.66</v>
      </c>
      <c r="X479" s="4">
        <v>0.875</v>
      </c>
      <c r="Z479" s="4">
        <v>0.274</v>
      </c>
      <c r="AB479" s="4" t="s">
        <v>722</v>
      </c>
      <c r="AC479" s="4" t="s">
        <v>723</v>
      </c>
      <c r="AD479" s="4" t="s">
        <v>724</v>
      </c>
      <c r="AE479" s="4">
        <v>480</v>
      </c>
      <c r="AF479" s="4" t="s">
        <v>725</v>
      </c>
      <c r="BI479" s="4" t="s">
        <v>309</v>
      </c>
      <c r="BN479" s="4">
        <v>1</v>
      </c>
      <c r="BS479" s="4">
        <v>5</v>
      </c>
      <c r="BW479" s="4">
        <v>25</v>
      </c>
      <c r="CB479" s="4" t="s">
        <v>7</v>
      </c>
      <c r="CC479" s="4" t="s">
        <v>582</v>
      </c>
      <c r="DB479" s="4" t="s">
        <v>312</v>
      </c>
      <c r="DC479" s="4" t="s">
        <v>729</v>
      </c>
      <c r="DD479" s="4">
        <v>984.6</v>
      </c>
      <c r="DE479" s="4">
        <v>988.1</v>
      </c>
      <c r="DO479" s="4">
        <v>3</v>
      </c>
      <c r="DW479" s="1">
        <v>984.1</v>
      </c>
    </row>
    <row r="480" customHeight="1" spans="1:313">
      <c r="A480" s="16">
        <v>16</v>
      </c>
      <c r="B480" s="4" t="s">
        <v>717</v>
      </c>
      <c r="C480" s="5" t="s">
        <v>718</v>
      </c>
      <c r="D480" s="4" t="s">
        <v>719</v>
      </c>
      <c r="E480" s="4" t="s">
        <v>720</v>
      </c>
      <c r="F480" s="4" t="s">
        <v>328</v>
      </c>
      <c r="G480" s="4" t="s">
        <v>566</v>
      </c>
      <c r="N480" s="4" t="s">
        <v>536</v>
      </c>
      <c r="O480" s="4" t="s">
        <v>343</v>
      </c>
      <c r="Q480" s="4" t="s">
        <v>568</v>
      </c>
      <c r="R480" s="4" t="s">
        <v>721</v>
      </c>
      <c r="T480" s="4">
        <v>12.83</v>
      </c>
      <c r="U480" s="4">
        <v>0.053</v>
      </c>
      <c r="V480" s="4">
        <v>86.66</v>
      </c>
      <c r="X480" s="4">
        <v>0.875</v>
      </c>
      <c r="Z480" s="4">
        <v>0.274</v>
      </c>
      <c r="AB480" s="4" t="s">
        <v>722</v>
      </c>
      <c r="AC480" s="4" t="s">
        <v>723</v>
      </c>
      <c r="AD480" s="4" t="s">
        <v>724</v>
      </c>
      <c r="AE480" s="4">
        <v>480</v>
      </c>
      <c r="AF480" s="4" t="s">
        <v>725</v>
      </c>
      <c r="BI480" s="4" t="s">
        <v>309</v>
      </c>
      <c r="BN480" s="4">
        <v>1</v>
      </c>
      <c r="BS480" s="4">
        <v>5</v>
      </c>
      <c r="BT480" s="4">
        <v>5</v>
      </c>
      <c r="BV480" s="4">
        <v>720</v>
      </c>
      <c r="BW480" s="4">
        <v>25</v>
      </c>
      <c r="CB480" s="4" t="s">
        <v>11</v>
      </c>
      <c r="CC480" s="4">
        <v>100</v>
      </c>
      <c r="CR480" s="4" t="s">
        <v>512</v>
      </c>
      <c r="CS480" s="4">
        <v>0</v>
      </c>
      <c r="DO480" s="4">
        <v>3</v>
      </c>
      <c r="GI480" s="4">
        <v>96.26</v>
      </c>
      <c r="GL480" s="4">
        <v>96.26</v>
      </c>
    </row>
    <row r="481" customHeight="1" spans="1:194">
      <c r="A481" s="16">
        <v>16</v>
      </c>
      <c r="B481" s="4" t="s">
        <v>717</v>
      </c>
      <c r="C481" s="5" t="s">
        <v>718</v>
      </c>
      <c r="D481" s="4" t="s">
        <v>719</v>
      </c>
      <c r="E481" s="4" t="s">
        <v>720</v>
      </c>
      <c r="F481" s="4" t="s">
        <v>328</v>
      </c>
      <c r="G481" s="4" t="s">
        <v>566</v>
      </c>
      <c r="N481" s="4" t="s">
        <v>536</v>
      </c>
      <c r="O481" s="4" t="s">
        <v>343</v>
      </c>
      <c r="Q481" s="4" t="s">
        <v>568</v>
      </c>
      <c r="R481" s="4" t="s">
        <v>721</v>
      </c>
      <c r="T481" s="4">
        <v>12.83</v>
      </c>
      <c r="U481" s="4">
        <v>0.053</v>
      </c>
      <c r="V481" s="4">
        <v>86.66</v>
      </c>
      <c r="X481" s="4">
        <v>0.875</v>
      </c>
      <c r="Z481" s="4">
        <v>0.274</v>
      </c>
      <c r="AB481" s="4" t="s">
        <v>722</v>
      </c>
      <c r="AC481" s="4" t="s">
        <v>723</v>
      </c>
      <c r="AD481" s="4" t="s">
        <v>724</v>
      </c>
      <c r="AE481" s="4">
        <v>480</v>
      </c>
      <c r="AF481" s="4" t="s">
        <v>725</v>
      </c>
      <c r="BI481" s="4" t="s">
        <v>309</v>
      </c>
      <c r="BN481" s="4">
        <v>1</v>
      </c>
      <c r="BS481" s="4">
        <v>5</v>
      </c>
      <c r="BT481" s="4">
        <v>5</v>
      </c>
      <c r="BV481" s="4">
        <v>720</v>
      </c>
      <c r="BW481" s="4">
        <v>25</v>
      </c>
      <c r="CB481" s="4" t="s">
        <v>7</v>
      </c>
      <c r="CC481" s="4">
        <v>100</v>
      </c>
      <c r="CR481" s="4" t="s">
        <v>512</v>
      </c>
      <c r="CS481" s="4">
        <v>0</v>
      </c>
      <c r="DO481" s="4">
        <v>3</v>
      </c>
      <c r="DP481" s="4">
        <v>100</v>
      </c>
      <c r="EA481" s="1">
        <v>99.38</v>
      </c>
      <c r="ED481" s="1">
        <v>99.38</v>
      </c>
      <c r="GI481" s="4"/>
      <c r="GL481" s="4"/>
    </row>
    <row r="482" customHeight="1" spans="1:194">
      <c r="A482" s="16">
        <v>16</v>
      </c>
      <c r="B482" s="4" t="s">
        <v>717</v>
      </c>
      <c r="C482" s="5" t="s">
        <v>718</v>
      </c>
      <c r="D482" s="4" t="s">
        <v>719</v>
      </c>
      <c r="E482" s="4" t="s">
        <v>720</v>
      </c>
      <c r="F482" s="4" t="s">
        <v>328</v>
      </c>
      <c r="G482" s="4" t="s">
        <v>566</v>
      </c>
      <c r="N482" s="4" t="s">
        <v>536</v>
      </c>
      <c r="O482" s="4" t="s">
        <v>343</v>
      </c>
      <c r="Q482" s="4" t="s">
        <v>568</v>
      </c>
      <c r="R482" s="4" t="s">
        <v>721</v>
      </c>
      <c r="T482" s="4">
        <v>12.83</v>
      </c>
      <c r="U482" s="4">
        <v>0.053</v>
      </c>
      <c r="V482" s="4">
        <v>86.66</v>
      </c>
      <c r="X482" s="4">
        <v>0.875</v>
      </c>
      <c r="Z482" s="4">
        <v>0.274</v>
      </c>
      <c r="AB482" s="4" t="s">
        <v>722</v>
      </c>
      <c r="AC482" s="4" t="s">
        <v>723</v>
      </c>
      <c r="AD482" s="4" t="s">
        <v>724</v>
      </c>
      <c r="AE482" s="4">
        <v>480</v>
      </c>
      <c r="AF482" s="4" t="s">
        <v>725</v>
      </c>
      <c r="BI482" s="4" t="s">
        <v>309</v>
      </c>
      <c r="BN482" s="4">
        <v>1</v>
      </c>
      <c r="BS482" s="4">
        <v>5</v>
      </c>
      <c r="BT482" s="4">
        <v>5</v>
      </c>
      <c r="BV482" s="4">
        <v>720</v>
      </c>
      <c r="BW482" s="4">
        <v>25</v>
      </c>
      <c r="CB482" s="4" t="s">
        <v>11</v>
      </c>
      <c r="CC482" s="4">
        <v>100</v>
      </c>
      <c r="CR482" s="4" t="s">
        <v>539</v>
      </c>
      <c r="CS482" s="4">
        <v>100</v>
      </c>
      <c r="DO482" s="4">
        <v>3</v>
      </c>
      <c r="GI482" s="4">
        <v>97.04</v>
      </c>
      <c r="GL482" s="4">
        <v>97.04</v>
      </c>
    </row>
    <row r="483" customHeight="1" spans="1:194">
      <c r="A483" s="16">
        <v>16</v>
      </c>
      <c r="B483" s="4" t="s">
        <v>717</v>
      </c>
      <c r="C483" s="5" t="s">
        <v>718</v>
      </c>
      <c r="D483" s="4" t="s">
        <v>719</v>
      </c>
      <c r="E483" s="4" t="s">
        <v>720</v>
      </c>
      <c r="F483" s="4" t="s">
        <v>328</v>
      </c>
      <c r="G483" s="4" t="s">
        <v>566</v>
      </c>
      <c r="N483" s="4" t="s">
        <v>536</v>
      </c>
      <c r="O483" s="4" t="s">
        <v>343</v>
      </c>
      <c r="Q483" s="4" t="s">
        <v>568</v>
      </c>
      <c r="R483" s="4" t="s">
        <v>721</v>
      </c>
      <c r="T483" s="4">
        <v>12.83</v>
      </c>
      <c r="U483" s="4">
        <v>0.053</v>
      </c>
      <c r="V483" s="4">
        <v>86.66</v>
      </c>
      <c r="X483" s="4">
        <v>0.875</v>
      </c>
      <c r="Z483" s="4">
        <v>0.274</v>
      </c>
      <c r="AB483" s="4" t="s">
        <v>722</v>
      </c>
      <c r="AC483" s="4" t="s">
        <v>723</v>
      </c>
      <c r="AD483" s="4" t="s">
        <v>724</v>
      </c>
      <c r="AE483" s="4">
        <v>480</v>
      </c>
      <c r="AF483" s="4" t="s">
        <v>725</v>
      </c>
      <c r="BI483" s="4" t="s">
        <v>309</v>
      </c>
      <c r="BN483" s="4">
        <v>1</v>
      </c>
      <c r="BS483" s="4">
        <v>5</v>
      </c>
      <c r="BT483" s="4">
        <v>5</v>
      </c>
      <c r="BV483" s="4">
        <v>720</v>
      </c>
      <c r="BW483" s="4">
        <v>25</v>
      </c>
      <c r="CB483" s="4" t="s">
        <v>7</v>
      </c>
      <c r="CC483" s="4">
        <v>100</v>
      </c>
      <c r="CR483" s="4" t="s">
        <v>539</v>
      </c>
      <c r="CS483" s="4">
        <v>100</v>
      </c>
      <c r="DO483" s="4">
        <v>3</v>
      </c>
      <c r="DP483" s="4">
        <v>100</v>
      </c>
      <c r="EA483" s="1">
        <v>99.96</v>
      </c>
      <c r="ED483" s="1">
        <v>99.96</v>
      </c>
      <c r="GI483" s="4"/>
      <c r="GL483" s="4"/>
    </row>
    <row r="484" customHeight="1" spans="1:194">
      <c r="A484" s="16">
        <v>16</v>
      </c>
      <c r="B484" s="4" t="s">
        <v>717</v>
      </c>
      <c r="C484" s="5" t="s">
        <v>718</v>
      </c>
      <c r="D484" s="4" t="s">
        <v>719</v>
      </c>
      <c r="E484" s="4" t="s">
        <v>720</v>
      </c>
      <c r="F484" s="4" t="s">
        <v>328</v>
      </c>
      <c r="G484" s="4" t="s">
        <v>566</v>
      </c>
      <c r="N484" s="4" t="s">
        <v>536</v>
      </c>
      <c r="O484" s="4" t="s">
        <v>343</v>
      </c>
      <c r="Q484" s="4" t="s">
        <v>568</v>
      </c>
      <c r="R484" s="4" t="s">
        <v>721</v>
      </c>
      <c r="T484" s="4">
        <v>12.83</v>
      </c>
      <c r="U484" s="4">
        <v>0.053</v>
      </c>
      <c r="V484" s="4">
        <v>86.66</v>
      </c>
      <c r="X484" s="4">
        <v>0.875</v>
      </c>
      <c r="Z484" s="4">
        <v>0.274</v>
      </c>
      <c r="AB484" s="4" t="s">
        <v>722</v>
      </c>
      <c r="AC484" s="4" t="s">
        <v>723</v>
      </c>
      <c r="AD484" s="4" t="s">
        <v>724</v>
      </c>
      <c r="AE484" s="4">
        <v>480</v>
      </c>
      <c r="AF484" s="4" t="s">
        <v>725</v>
      </c>
      <c r="BI484" s="4" t="s">
        <v>309</v>
      </c>
      <c r="BN484" s="4">
        <v>1</v>
      </c>
      <c r="BS484" s="4">
        <v>5</v>
      </c>
      <c r="BT484" s="4">
        <v>5</v>
      </c>
      <c r="BV484" s="4">
        <v>720</v>
      </c>
      <c r="BW484" s="4">
        <v>25</v>
      </c>
      <c r="CB484" s="4" t="s">
        <v>11</v>
      </c>
      <c r="CC484" s="4">
        <v>100</v>
      </c>
      <c r="CR484" s="4" t="s">
        <v>540</v>
      </c>
      <c r="CS484" s="4">
        <v>100</v>
      </c>
      <c r="DO484" s="4">
        <v>3</v>
      </c>
      <c r="GI484" s="4">
        <v>97.82</v>
      </c>
      <c r="GL484" s="4">
        <v>97.82</v>
      </c>
    </row>
    <row r="485" customHeight="1" spans="1:194">
      <c r="A485" s="16">
        <v>16</v>
      </c>
      <c r="B485" s="4" t="s">
        <v>717</v>
      </c>
      <c r="C485" s="5" t="s">
        <v>718</v>
      </c>
      <c r="D485" s="4" t="s">
        <v>719</v>
      </c>
      <c r="E485" s="4" t="s">
        <v>720</v>
      </c>
      <c r="F485" s="4" t="s">
        <v>328</v>
      </c>
      <c r="G485" s="4" t="s">
        <v>566</v>
      </c>
      <c r="N485" s="4" t="s">
        <v>536</v>
      </c>
      <c r="O485" s="4" t="s">
        <v>343</v>
      </c>
      <c r="Q485" s="4" t="s">
        <v>568</v>
      </c>
      <c r="R485" s="4" t="s">
        <v>721</v>
      </c>
      <c r="T485" s="4">
        <v>12.83</v>
      </c>
      <c r="U485" s="4">
        <v>0.053</v>
      </c>
      <c r="V485" s="4">
        <v>86.66</v>
      </c>
      <c r="X485" s="4">
        <v>0.875</v>
      </c>
      <c r="Z485" s="4">
        <v>0.274</v>
      </c>
      <c r="AB485" s="4" t="s">
        <v>722</v>
      </c>
      <c r="AC485" s="4" t="s">
        <v>723</v>
      </c>
      <c r="AD485" s="4" t="s">
        <v>724</v>
      </c>
      <c r="AE485" s="4">
        <v>480</v>
      </c>
      <c r="AF485" s="4" t="s">
        <v>725</v>
      </c>
      <c r="BI485" s="4" t="s">
        <v>309</v>
      </c>
      <c r="BN485" s="4">
        <v>1</v>
      </c>
      <c r="BS485" s="4">
        <v>5</v>
      </c>
      <c r="BT485" s="4">
        <v>5</v>
      </c>
      <c r="BV485" s="4">
        <v>720</v>
      </c>
      <c r="BW485" s="4">
        <v>25</v>
      </c>
      <c r="CB485" s="4" t="s">
        <v>7</v>
      </c>
      <c r="CC485" s="4">
        <v>100</v>
      </c>
      <c r="CR485" s="4" t="s">
        <v>540</v>
      </c>
      <c r="CS485" s="4">
        <v>100</v>
      </c>
      <c r="DO485" s="4">
        <v>3</v>
      </c>
      <c r="DP485" s="4">
        <v>100</v>
      </c>
      <c r="EA485" s="1">
        <v>99.77</v>
      </c>
      <c r="ED485" s="1">
        <v>99.77</v>
      </c>
      <c r="GI485" s="4"/>
      <c r="GL485" s="4"/>
    </row>
    <row r="486" customHeight="1" spans="1:194">
      <c r="A486" s="16">
        <v>16</v>
      </c>
      <c r="B486" s="4" t="s">
        <v>717</v>
      </c>
      <c r="C486" s="5" t="s">
        <v>718</v>
      </c>
      <c r="D486" s="4" t="s">
        <v>719</v>
      </c>
      <c r="E486" s="4" t="s">
        <v>720</v>
      </c>
      <c r="F486" s="4" t="s">
        <v>328</v>
      </c>
      <c r="G486" s="4" t="s">
        <v>566</v>
      </c>
      <c r="N486" s="4" t="s">
        <v>536</v>
      </c>
      <c r="O486" s="4" t="s">
        <v>343</v>
      </c>
      <c r="Q486" s="4" t="s">
        <v>568</v>
      </c>
      <c r="R486" s="4" t="s">
        <v>721</v>
      </c>
      <c r="T486" s="4">
        <v>12.83</v>
      </c>
      <c r="U486" s="4">
        <v>0.053</v>
      </c>
      <c r="V486" s="4">
        <v>86.66</v>
      </c>
      <c r="X486" s="4">
        <v>0.875</v>
      </c>
      <c r="Z486" s="4">
        <v>0.274</v>
      </c>
      <c r="AB486" s="4" t="s">
        <v>722</v>
      </c>
      <c r="AC486" s="4" t="s">
        <v>723</v>
      </c>
      <c r="AD486" s="4" t="s">
        <v>724</v>
      </c>
      <c r="AE486" s="4">
        <v>480</v>
      </c>
      <c r="AF486" s="4" t="s">
        <v>725</v>
      </c>
      <c r="BI486" s="4" t="s">
        <v>309</v>
      </c>
      <c r="BN486" s="4">
        <v>1</v>
      </c>
      <c r="BS486" s="4">
        <v>5</v>
      </c>
      <c r="BT486" s="4">
        <v>5</v>
      </c>
      <c r="BV486" s="4">
        <v>720</v>
      </c>
      <c r="BW486" s="4">
        <v>25</v>
      </c>
      <c r="CB486" s="4" t="s">
        <v>11</v>
      </c>
      <c r="CC486" s="4">
        <v>100</v>
      </c>
      <c r="CR486" s="4" t="s">
        <v>541</v>
      </c>
      <c r="CS486" s="4">
        <v>100</v>
      </c>
      <c r="DO486" s="4">
        <v>3</v>
      </c>
      <c r="GI486" s="4">
        <v>98.6</v>
      </c>
      <c r="GL486" s="4">
        <v>98.6</v>
      </c>
    </row>
    <row r="487" customHeight="1" spans="1:194">
      <c r="A487" s="16">
        <v>16</v>
      </c>
      <c r="B487" s="4" t="s">
        <v>717</v>
      </c>
      <c r="C487" s="5" t="s">
        <v>718</v>
      </c>
      <c r="D487" s="4" t="s">
        <v>719</v>
      </c>
      <c r="E487" s="4" t="s">
        <v>720</v>
      </c>
      <c r="F487" s="4" t="s">
        <v>328</v>
      </c>
      <c r="G487" s="4" t="s">
        <v>566</v>
      </c>
      <c r="N487" s="4" t="s">
        <v>536</v>
      </c>
      <c r="O487" s="4" t="s">
        <v>343</v>
      </c>
      <c r="Q487" s="4" t="s">
        <v>568</v>
      </c>
      <c r="R487" s="4" t="s">
        <v>721</v>
      </c>
      <c r="T487" s="4">
        <v>12.83</v>
      </c>
      <c r="U487" s="4">
        <v>0.053</v>
      </c>
      <c r="V487" s="4">
        <v>86.66</v>
      </c>
      <c r="X487" s="4">
        <v>0.875</v>
      </c>
      <c r="Z487" s="4">
        <v>0.274</v>
      </c>
      <c r="AB487" s="4" t="s">
        <v>722</v>
      </c>
      <c r="AC487" s="4" t="s">
        <v>723</v>
      </c>
      <c r="AD487" s="4" t="s">
        <v>724</v>
      </c>
      <c r="AE487" s="4">
        <v>480</v>
      </c>
      <c r="AF487" s="4" t="s">
        <v>725</v>
      </c>
      <c r="BI487" s="4" t="s">
        <v>309</v>
      </c>
      <c r="BN487" s="4">
        <v>1</v>
      </c>
      <c r="BS487" s="4">
        <v>5</v>
      </c>
      <c r="BT487" s="4">
        <v>5</v>
      </c>
      <c r="BV487" s="4">
        <v>720</v>
      </c>
      <c r="BW487" s="4">
        <v>25</v>
      </c>
      <c r="CB487" s="4" t="s">
        <v>7</v>
      </c>
      <c r="CC487" s="4">
        <v>100</v>
      </c>
      <c r="CR487" s="4" t="s">
        <v>541</v>
      </c>
      <c r="CS487" s="4">
        <v>100</v>
      </c>
      <c r="DO487" s="4">
        <v>3</v>
      </c>
      <c r="DP487" s="4">
        <v>100</v>
      </c>
      <c r="EA487" s="1">
        <v>99.77</v>
      </c>
      <c r="ED487" s="1">
        <v>99.77</v>
      </c>
      <c r="GI487" s="4"/>
      <c r="GL487" s="4"/>
    </row>
    <row r="488" customHeight="1" spans="1:194">
      <c r="A488" s="16">
        <v>16</v>
      </c>
      <c r="B488" s="4" t="s">
        <v>717</v>
      </c>
      <c r="C488" s="5" t="s">
        <v>718</v>
      </c>
      <c r="D488" s="4" t="s">
        <v>719</v>
      </c>
      <c r="E488" s="4" t="s">
        <v>720</v>
      </c>
      <c r="F488" s="4" t="s">
        <v>328</v>
      </c>
      <c r="G488" s="4" t="s">
        <v>566</v>
      </c>
      <c r="N488" s="4" t="s">
        <v>536</v>
      </c>
      <c r="O488" s="4" t="s">
        <v>343</v>
      </c>
      <c r="Q488" s="4" t="s">
        <v>568</v>
      </c>
      <c r="R488" s="4" t="s">
        <v>721</v>
      </c>
      <c r="T488" s="4">
        <v>12.83</v>
      </c>
      <c r="U488" s="4">
        <v>0.053</v>
      </c>
      <c r="V488" s="4">
        <v>86.66</v>
      </c>
      <c r="X488" s="4">
        <v>0.875</v>
      </c>
      <c r="Z488" s="4">
        <v>0.274</v>
      </c>
      <c r="AB488" s="4" t="s">
        <v>722</v>
      </c>
      <c r="AC488" s="4" t="s">
        <v>723</v>
      </c>
      <c r="AD488" s="4" t="s">
        <v>724</v>
      </c>
      <c r="AE488" s="4">
        <v>480</v>
      </c>
      <c r="AF488" s="4" t="s">
        <v>725</v>
      </c>
      <c r="BI488" s="4" t="s">
        <v>309</v>
      </c>
      <c r="BN488" s="4">
        <v>1</v>
      </c>
      <c r="BS488" s="4">
        <v>5</v>
      </c>
      <c r="BT488" s="4">
        <v>5</v>
      </c>
      <c r="BV488" s="4">
        <v>720</v>
      </c>
      <c r="BW488" s="4">
        <v>25</v>
      </c>
      <c r="CB488" s="4" t="s">
        <v>11</v>
      </c>
      <c r="CC488" s="4">
        <v>100</v>
      </c>
      <c r="CR488" s="4" t="s">
        <v>542</v>
      </c>
      <c r="CS488" s="4">
        <v>100</v>
      </c>
      <c r="DO488" s="4">
        <v>3</v>
      </c>
      <c r="GI488" s="4">
        <v>98.02</v>
      </c>
      <c r="GL488" s="4">
        <v>98.02</v>
      </c>
    </row>
    <row r="489" customHeight="1" spans="1:194">
      <c r="A489" s="16">
        <v>16</v>
      </c>
      <c r="B489" s="4" t="s">
        <v>717</v>
      </c>
      <c r="C489" s="5" t="s">
        <v>718</v>
      </c>
      <c r="D489" s="4" t="s">
        <v>719</v>
      </c>
      <c r="E489" s="4" t="s">
        <v>720</v>
      </c>
      <c r="F489" s="4" t="s">
        <v>328</v>
      </c>
      <c r="G489" s="4" t="s">
        <v>566</v>
      </c>
      <c r="N489" s="4" t="s">
        <v>536</v>
      </c>
      <c r="O489" s="4" t="s">
        <v>343</v>
      </c>
      <c r="Q489" s="4" t="s">
        <v>568</v>
      </c>
      <c r="R489" s="4" t="s">
        <v>721</v>
      </c>
      <c r="T489" s="4">
        <v>12.83</v>
      </c>
      <c r="U489" s="4">
        <v>0.053</v>
      </c>
      <c r="V489" s="4">
        <v>86.66</v>
      </c>
      <c r="X489" s="4">
        <v>0.875</v>
      </c>
      <c r="Z489" s="4">
        <v>0.274</v>
      </c>
      <c r="AB489" s="4" t="s">
        <v>722</v>
      </c>
      <c r="AC489" s="4" t="s">
        <v>723</v>
      </c>
      <c r="AD489" s="4" t="s">
        <v>724</v>
      </c>
      <c r="AE489" s="4">
        <v>480</v>
      </c>
      <c r="AF489" s="4" t="s">
        <v>725</v>
      </c>
      <c r="BI489" s="4" t="s">
        <v>309</v>
      </c>
      <c r="BN489" s="4">
        <v>1</v>
      </c>
      <c r="BS489" s="4">
        <v>5</v>
      </c>
      <c r="BT489" s="4">
        <v>5</v>
      </c>
      <c r="BV489" s="4">
        <v>720</v>
      </c>
      <c r="BW489" s="4">
        <v>25</v>
      </c>
      <c r="CB489" s="4" t="s">
        <v>7</v>
      </c>
      <c r="CC489" s="4">
        <v>100</v>
      </c>
      <c r="CR489" s="4" t="s">
        <v>542</v>
      </c>
      <c r="CS489" s="4">
        <v>100</v>
      </c>
      <c r="DO489" s="4">
        <v>3</v>
      </c>
      <c r="DP489" s="4">
        <v>100</v>
      </c>
      <c r="EA489" s="1">
        <v>99.38</v>
      </c>
      <c r="ED489" s="1">
        <v>99.38</v>
      </c>
      <c r="GI489" s="4"/>
      <c r="GL489" s="4"/>
    </row>
    <row r="490" customHeight="1" spans="1:194">
      <c r="A490" s="16">
        <v>16</v>
      </c>
      <c r="B490" s="4" t="s">
        <v>717</v>
      </c>
      <c r="C490" s="5" t="s">
        <v>718</v>
      </c>
      <c r="D490" s="4" t="s">
        <v>719</v>
      </c>
      <c r="E490" s="4" t="s">
        <v>720</v>
      </c>
      <c r="F490" s="4" t="s">
        <v>328</v>
      </c>
      <c r="G490" s="4" t="s">
        <v>566</v>
      </c>
      <c r="N490" s="4" t="s">
        <v>536</v>
      </c>
      <c r="O490" s="4" t="s">
        <v>343</v>
      </c>
      <c r="Q490" s="4" t="s">
        <v>568</v>
      </c>
      <c r="R490" s="4" t="s">
        <v>721</v>
      </c>
      <c r="T490" s="4">
        <v>12.83</v>
      </c>
      <c r="U490" s="4">
        <v>0.053</v>
      </c>
      <c r="V490" s="4">
        <v>86.66</v>
      </c>
      <c r="X490" s="4">
        <v>0.875</v>
      </c>
      <c r="Z490" s="4">
        <v>0.274</v>
      </c>
      <c r="AB490" s="4" t="s">
        <v>722</v>
      </c>
      <c r="AC490" s="4" t="s">
        <v>723</v>
      </c>
      <c r="AD490" s="4" t="s">
        <v>724</v>
      </c>
      <c r="AE490" s="4">
        <v>480</v>
      </c>
      <c r="AF490" s="4" t="s">
        <v>725</v>
      </c>
      <c r="BI490" s="4" t="s">
        <v>309</v>
      </c>
      <c r="BN490" s="4">
        <v>1</v>
      </c>
      <c r="BS490" s="4">
        <v>5</v>
      </c>
      <c r="BT490" s="4">
        <v>5</v>
      </c>
      <c r="BV490" s="4">
        <v>720</v>
      </c>
      <c r="BW490" s="4">
        <v>25</v>
      </c>
      <c r="CB490" s="4" t="s">
        <v>11</v>
      </c>
      <c r="CC490" s="4">
        <v>100</v>
      </c>
      <c r="CR490" s="4" t="s">
        <v>538</v>
      </c>
      <c r="CS490" s="4">
        <v>100</v>
      </c>
      <c r="DO490" s="4">
        <v>3</v>
      </c>
      <c r="GI490" s="4">
        <v>95.38</v>
      </c>
      <c r="GL490" s="4">
        <v>95.38</v>
      </c>
    </row>
    <row r="491" customHeight="1" spans="1:194">
      <c r="A491" s="16">
        <v>16</v>
      </c>
      <c r="B491" s="4" t="s">
        <v>717</v>
      </c>
      <c r="C491" s="5" t="s">
        <v>718</v>
      </c>
      <c r="D491" s="4" t="s">
        <v>719</v>
      </c>
      <c r="E491" s="4" t="s">
        <v>720</v>
      </c>
      <c r="F491" s="4" t="s">
        <v>328</v>
      </c>
      <c r="G491" s="4" t="s">
        <v>566</v>
      </c>
      <c r="N491" s="4" t="s">
        <v>536</v>
      </c>
      <c r="O491" s="4" t="s">
        <v>343</v>
      </c>
      <c r="Q491" s="4" t="s">
        <v>568</v>
      </c>
      <c r="R491" s="4" t="s">
        <v>721</v>
      </c>
      <c r="T491" s="4">
        <v>12.83</v>
      </c>
      <c r="U491" s="4">
        <v>0.053</v>
      </c>
      <c r="V491" s="4">
        <v>86.66</v>
      </c>
      <c r="X491" s="4">
        <v>0.875</v>
      </c>
      <c r="Z491" s="4">
        <v>0.274</v>
      </c>
      <c r="AB491" s="4" t="s">
        <v>722</v>
      </c>
      <c r="AC491" s="4" t="s">
        <v>723</v>
      </c>
      <c r="AD491" s="4" t="s">
        <v>724</v>
      </c>
      <c r="AE491" s="4">
        <v>480</v>
      </c>
      <c r="AF491" s="4" t="s">
        <v>725</v>
      </c>
      <c r="BI491" s="4" t="s">
        <v>309</v>
      </c>
      <c r="BN491" s="4">
        <v>1</v>
      </c>
      <c r="BS491" s="4">
        <v>5</v>
      </c>
      <c r="BT491" s="4">
        <v>5</v>
      </c>
      <c r="BV491" s="4">
        <v>720</v>
      </c>
      <c r="BW491" s="4">
        <v>25</v>
      </c>
      <c r="CB491" s="4" t="s">
        <v>7</v>
      </c>
      <c r="CC491" s="4">
        <v>100</v>
      </c>
      <c r="CR491" s="4" t="s">
        <v>538</v>
      </c>
      <c r="CS491" s="4">
        <v>100</v>
      </c>
      <c r="DO491" s="4">
        <v>3</v>
      </c>
      <c r="DP491" s="4">
        <v>100</v>
      </c>
      <c r="EA491" s="1">
        <v>99.81</v>
      </c>
      <c r="ED491" s="1">
        <v>99.81</v>
      </c>
      <c r="GI491" s="4"/>
      <c r="GL491" s="4"/>
    </row>
    <row r="492" customHeight="1" spans="1:194">
      <c r="A492" s="16">
        <v>16</v>
      </c>
      <c r="B492" s="4" t="s">
        <v>717</v>
      </c>
      <c r="C492" s="5" t="s">
        <v>718</v>
      </c>
      <c r="D492" s="4" t="s">
        <v>719</v>
      </c>
      <c r="E492" s="4" t="s">
        <v>720</v>
      </c>
      <c r="F492" s="4" t="s">
        <v>328</v>
      </c>
      <c r="G492" s="4" t="s">
        <v>566</v>
      </c>
      <c r="N492" s="4" t="s">
        <v>536</v>
      </c>
      <c r="O492" s="4" t="s">
        <v>343</v>
      </c>
      <c r="Q492" s="4" t="s">
        <v>568</v>
      </c>
      <c r="R492" s="4" t="s">
        <v>721</v>
      </c>
      <c r="T492" s="4">
        <v>12.83</v>
      </c>
      <c r="U492" s="4">
        <v>0.053</v>
      </c>
      <c r="V492" s="4">
        <v>86.66</v>
      </c>
      <c r="X492" s="4">
        <v>0.875</v>
      </c>
      <c r="Z492" s="4">
        <v>0.274</v>
      </c>
      <c r="AB492" s="4" t="s">
        <v>722</v>
      </c>
      <c r="AC492" s="4" t="s">
        <v>723</v>
      </c>
      <c r="AD492" s="4" t="s">
        <v>724</v>
      </c>
      <c r="AE492" s="4">
        <v>480</v>
      </c>
      <c r="AF492" s="4" t="s">
        <v>725</v>
      </c>
      <c r="BI492" s="4" t="s">
        <v>309</v>
      </c>
      <c r="BN492" s="4">
        <v>1</v>
      </c>
      <c r="BS492" s="4">
        <v>5</v>
      </c>
      <c r="BT492" s="4">
        <v>5</v>
      </c>
      <c r="BV492" s="4">
        <v>720</v>
      </c>
      <c r="BW492" s="4">
        <v>25</v>
      </c>
      <c r="CB492" s="4" t="s">
        <v>11</v>
      </c>
      <c r="CC492" s="4">
        <v>100</v>
      </c>
      <c r="CR492" s="4" t="s">
        <v>567</v>
      </c>
      <c r="CS492" s="4">
        <v>100</v>
      </c>
      <c r="DO492" s="4">
        <v>3</v>
      </c>
      <c r="GI492" s="4">
        <v>98.27</v>
      </c>
      <c r="GL492" s="4">
        <v>98.27</v>
      </c>
    </row>
    <row r="493" customHeight="1" spans="1:194">
      <c r="A493" s="16">
        <v>16</v>
      </c>
      <c r="B493" s="4" t="s">
        <v>717</v>
      </c>
      <c r="C493" s="5" t="s">
        <v>718</v>
      </c>
      <c r="D493" s="4" t="s">
        <v>719</v>
      </c>
      <c r="E493" s="4" t="s">
        <v>720</v>
      </c>
      <c r="F493" s="4" t="s">
        <v>328</v>
      </c>
      <c r="G493" s="4" t="s">
        <v>566</v>
      </c>
      <c r="N493" s="4" t="s">
        <v>536</v>
      </c>
      <c r="O493" s="4" t="s">
        <v>343</v>
      </c>
      <c r="Q493" s="4" t="s">
        <v>568</v>
      </c>
      <c r="R493" s="4" t="s">
        <v>721</v>
      </c>
      <c r="T493" s="4">
        <v>12.83</v>
      </c>
      <c r="U493" s="4">
        <v>0.053</v>
      </c>
      <c r="V493" s="4">
        <v>86.66</v>
      </c>
      <c r="X493" s="4">
        <v>0.875</v>
      </c>
      <c r="Z493" s="4">
        <v>0.274</v>
      </c>
      <c r="AB493" s="4" t="s">
        <v>722</v>
      </c>
      <c r="AC493" s="4" t="s">
        <v>723</v>
      </c>
      <c r="AD493" s="4" t="s">
        <v>724</v>
      </c>
      <c r="AE493" s="4">
        <v>480</v>
      </c>
      <c r="AF493" s="4" t="s">
        <v>725</v>
      </c>
      <c r="BI493" s="4" t="s">
        <v>309</v>
      </c>
      <c r="BN493" s="4">
        <v>1</v>
      </c>
      <c r="BS493" s="4">
        <v>5</v>
      </c>
      <c r="BT493" s="4">
        <v>5</v>
      </c>
      <c r="BV493" s="4">
        <v>720</v>
      </c>
      <c r="BW493" s="4">
        <v>25</v>
      </c>
      <c r="CB493" s="4" t="s">
        <v>7</v>
      </c>
      <c r="CC493" s="4">
        <v>100</v>
      </c>
      <c r="CR493" s="4" t="s">
        <v>567</v>
      </c>
      <c r="CS493" s="4">
        <v>100</v>
      </c>
      <c r="DO493" s="4">
        <v>3</v>
      </c>
      <c r="DP493" s="4">
        <v>100</v>
      </c>
      <c r="EA493" s="1">
        <v>99.65</v>
      </c>
      <c r="ED493" s="1">
        <v>99.65</v>
      </c>
      <c r="GI493" s="4"/>
      <c r="GL493" s="4"/>
    </row>
    <row r="494" customHeight="1" spans="1:194">
      <c r="A494" s="16">
        <v>16</v>
      </c>
      <c r="B494" s="4" t="s">
        <v>717</v>
      </c>
      <c r="C494" s="5" t="s">
        <v>718</v>
      </c>
      <c r="D494" s="4" t="s">
        <v>719</v>
      </c>
      <c r="E494" s="4" t="s">
        <v>720</v>
      </c>
      <c r="F494" s="4" t="s">
        <v>328</v>
      </c>
      <c r="G494" s="4" t="s">
        <v>566</v>
      </c>
      <c r="N494" s="4" t="s">
        <v>536</v>
      </c>
      <c r="O494" s="4" t="s">
        <v>343</v>
      </c>
      <c r="Q494" s="4" t="s">
        <v>568</v>
      </c>
      <c r="R494" s="4" t="s">
        <v>721</v>
      </c>
      <c r="T494" s="4">
        <v>12.83</v>
      </c>
      <c r="U494" s="4">
        <v>0.053</v>
      </c>
      <c r="V494" s="4">
        <v>86.66</v>
      </c>
      <c r="X494" s="4">
        <v>0.875</v>
      </c>
      <c r="Z494" s="4">
        <v>0.274</v>
      </c>
      <c r="AB494" s="4" t="s">
        <v>722</v>
      </c>
      <c r="AC494" s="4" t="s">
        <v>723</v>
      </c>
      <c r="AD494" s="4" t="s">
        <v>724</v>
      </c>
      <c r="AE494" s="4">
        <v>480</v>
      </c>
      <c r="AF494" s="4" t="s">
        <v>725</v>
      </c>
      <c r="BI494" s="4" t="s">
        <v>309</v>
      </c>
      <c r="BN494" s="4">
        <v>1</v>
      </c>
      <c r="BS494" s="4">
        <v>5</v>
      </c>
      <c r="BT494" s="4">
        <v>5</v>
      </c>
      <c r="BV494" s="4">
        <v>720</v>
      </c>
      <c r="BW494" s="4">
        <v>25</v>
      </c>
      <c r="CB494" s="4" t="s">
        <v>11</v>
      </c>
      <c r="CC494" s="4">
        <v>100</v>
      </c>
      <c r="CR494" s="4" t="s">
        <v>661</v>
      </c>
      <c r="CS494" s="4">
        <v>100</v>
      </c>
      <c r="DO494" s="4">
        <v>3</v>
      </c>
      <c r="GI494" s="4">
        <v>97.88</v>
      </c>
      <c r="GL494" s="4">
        <v>97.88</v>
      </c>
    </row>
    <row r="495" customHeight="1" spans="1:194">
      <c r="A495" s="16">
        <v>16</v>
      </c>
      <c r="B495" s="4" t="s">
        <v>717</v>
      </c>
      <c r="C495" s="5" t="s">
        <v>718</v>
      </c>
      <c r="D495" s="4" t="s">
        <v>719</v>
      </c>
      <c r="E495" s="4" t="s">
        <v>720</v>
      </c>
      <c r="F495" s="4" t="s">
        <v>328</v>
      </c>
      <c r="G495" s="4" t="s">
        <v>566</v>
      </c>
      <c r="N495" s="4" t="s">
        <v>536</v>
      </c>
      <c r="O495" s="4" t="s">
        <v>343</v>
      </c>
      <c r="Q495" s="4" t="s">
        <v>568</v>
      </c>
      <c r="R495" s="4" t="s">
        <v>721</v>
      </c>
      <c r="T495" s="4">
        <v>12.83</v>
      </c>
      <c r="U495" s="4">
        <v>0.053</v>
      </c>
      <c r="V495" s="4">
        <v>86.66</v>
      </c>
      <c r="X495" s="4">
        <v>0.875</v>
      </c>
      <c r="Z495" s="4">
        <v>0.274</v>
      </c>
      <c r="AB495" s="4" t="s">
        <v>722</v>
      </c>
      <c r="AC495" s="4" t="s">
        <v>723</v>
      </c>
      <c r="AD495" s="4" t="s">
        <v>724</v>
      </c>
      <c r="AE495" s="4">
        <v>480</v>
      </c>
      <c r="AF495" s="4" t="s">
        <v>725</v>
      </c>
      <c r="BI495" s="4" t="s">
        <v>309</v>
      </c>
      <c r="BN495" s="4">
        <v>1</v>
      </c>
      <c r="BS495" s="4">
        <v>5</v>
      </c>
      <c r="BT495" s="4">
        <v>5</v>
      </c>
      <c r="BV495" s="4">
        <v>720</v>
      </c>
      <c r="BW495" s="4">
        <v>25</v>
      </c>
      <c r="CB495" s="4" t="s">
        <v>7</v>
      </c>
      <c r="CC495" s="4">
        <v>100</v>
      </c>
      <c r="CR495" s="4" t="s">
        <v>661</v>
      </c>
      <c r="CS495" s="4">
        <v>100</v>
      </c>
      <c r="DO495" s="4">
        <v>3</v>
      </c>
      <c r="DP495" s="4">
        <v>100</v>
      </c>
      <c r="EA495" s="1">
        <v>90.77</v>
      </c>
      <c r="ED495" s="1">
        <v>90.77</v>
      </c>
      <c r="GI495" s="4"/>
      <c r="GL495" s="4"/>
    </row>
    <row r="496" customHeight="1" spans="1:194">
      <c r="A496" s="16">
        <v>16</v>
      </c>
      <c r="B496" s="4" t="s">
        <v>717</v>
      </c>
      <c r="C496" s="5" t="s">
        <v>718</v>
      </c>
      <c r="D496" s="4" t="s">
        <v>719</v>
      </c>
      <c r="E496" s="4" t="s">
        <v>720</v>
      </c>
      <c r="F496" s="4" t="s">
        <v>328</v>
      </c>
      <c r="G496" s="4" t="s">
        <v>566</v>
      </c>
      <c r="N496" s="4" t="s">
        <v>536</v>
      </c>
      <c r="O496" s="4" t="s">
        <v>343</v>
      </c>
      <c r="Q496" s="4" t="s">
        <v>568</v>
      </c>
      <c r="R496" s="4" t="s">
        <v>721</v>
      </c>
      <c r="T496" s="4">
        <v>12.83</v>
      </c>
      <c r="U496" s="4">
        <v>0.053</v>
      </c>
      <c r="V496" s="4">
        <v>86.66</v>
      </c>
      <c r="X496" s="4">
        <v>0.875</v>
      </c>
      <c r="Z496" s="4">
        <v>0.274</v>
      </c>
      <c r="AB496" s="4" t="s">
        <v>722</v>
      </c>
      <c r="AC496" s="4" t="s">
        <v>723</v>
      </c>
      <c r="AD496" s="4" t="s">
        <v>724</v>
      </c>
      <c r="AE496" s="4">
        <v>480</v>
      </c>
      <c r="AF496" s="4" t="s">
        <v>725</v>
      </c>
      <c r="BI496" s="4" t="s">
        <v>309</v>
      </c>
      <c r="BN496" s="4">
        <v>1</v>
      </c>
      <c r="BS496" s="4">
        <v>5</v>
      </c>
      <c r="BT496" s="4">
        <v>5</v>
      </c>
      <c r="BV496" s="4">
        <v>720</v>
      </c>
      <c r="BW496" s="4">
        <v>25</v>
      </c>
      <c r="CB496" s="4" t="s">
        <v>11</v>
      </c>
      <c r="CC496" s="4">
        <v>100</v>
      </c>
      <c r="CR496" s="4" t="s">
        <v>658</v>
      </c>
      <c r="CS496" s="4">
        <v>100</v>
      </c>
      <c r="DO496" s="4">
        <v>3</v>
      </c>
      <c r="GI496" s="4">
        <v>98.85</v>
      </c>
      <c r="GL496" s="4">
        <v>98.85</v>
      </c>
    </row>
    <row r="497" customHeight="1" spans="1:313">
      <c r="A497" s="16">
        <v>16</v>
      </c>
      <c r="B497" s="4" t="s">
        <v>717</v>
      </c>
      <c r="C497" s="5" t="s">
        <v>718</v>
      </c>
      <c r="D497" s="4" t="s">
        <v>719</v>
      </c>
      <c r="E497" s="4" t="s">
        <v>720</v>
      </c>
      <c r="F497" s="4" t="s">
        <v>328</v>
      </c>
      <c r="G497" s="4" t="s">
        <v>566</v>
      </c>
      <c r="N497" s="4" t="s">
        <v>536</v>
      </c>
      <c r="O497" s="4" t="s">
        <v>343</v>
      </c>
      <c r="Q497" s="4" t="s">
        <v>568</v>
      </c>
      <c r="R497" s="4" t="s">
        <v>721</v>
      </c>
      <c r="T497" s="4">
        <v>12.83</v>
      </c>
      <c r="U497" s="4">
        <v>0.053</v>
      </c>
      <c r="V497" s="4">
        <v>86.66</v>
      </c>
      <c r="X497" s="4">
        <v>0.875</v>
      </c>
      <c r="Z497" s="4">
        <v>0.274</v>
      </c>
      <c r="AB497" s="4" t="s">
        <v>722</v>
      </c>
      <c r="AC497" s="4" t="s">
        <v>723</v>
      </c>
      <c r="AD497" s="4" t="s">
        <v>724</v>
      </c>
      <c r="AE497" s="4">
        <v>480</v>
      </c>
      <c r="AF497" s="4" t="s">
        <v>725</v>
      </c>
      <c r="BI497" s="4" t="s">
        <v>309</v>
      </c>
      <c r="BN497" s="4">
        <v>1</v>
      </c>
      <c r="BS497" s="4">
        <v>5</v>
      </c>
      <c r="BT497" s="4">
        <v>5</v>
      </c>
      <c r="BV497" s="4">
        <v>720</v>
      </c>
      <c r="BW497" s="4">
        <v>25</v>
      </c>
      <c r="CB497" s="4" t="s">
        <v>7</v>
      </c>
      <c r="CC497" s="4">
        <v>100</v>
      </c>
      <c r="CR497" s="4" t="s">
        <v>658</v>
      </c>
      <c r="CS497" s="4">
        <v>100</v>
      </c>
      <c r="DO497" s="4">
        <v>3</v>
      </c>
      <c r="DP497" s="4">
        <v>100</v>
      </c>
      <c r="EA497" s="1">
        <v>85.38</v>
      </c>
      <c r="ED497" s="1">
        <v>85.38</v>
      </c>
      <c r="GI497" s="4"/>
      <c r="GL497" s="4"/>
    </row>
    <row r="498" customHeight="1" spans="1:313">
      <c r="A498" s="16">
        <v>16</v>
      </c>
      <c r="B498" s="4" t="s">
        <v>717</v>
      </c>
      <c r="C498" s="5" t="s">
        <v>341</v>
      </c>
      <c r="D498" s="4" t="s">
        <v>300</v>
      </c>
      <c r="E498" s="4" t="s">
        <v>730</v>
      </c>
      <c r="N498" s="4" t="s">
        <v>536</v>
      </c>
      <c r="O498" s="4" t="s">
        <v>343</v>
      </c>
      <c r="Q498" s="4" t="s">
        <v>540</v>
      </c>
      <c r="R498" s="4" t="s">
        <v>721</v>
      </c>
      <c r="T498" s="4">
        <v>10.54</v>
      </c>
      <c r="U498" s="4">
        <v>0.048</v>
      </c>
      <c r="V498" s="4">
        <v>94.25</v>
      </c>
      <c r="X498" s="4">
        <v>0.854</v>
      </c>
      <c r="Z498" s="4" t="s">
        <v>731</v>
      </c>
      <c r="AB498" s="4" t="s">
        <v>732</v>
      </c>
      <c r="AC498" s="4" t="s">
        <v>733</v>
      </c>
      <c r="AD498" s="4" t="s">
        <v>724</v>
      </c>
      <c r="AE498" s="4">
        <v>1384</v>
      </c>
      <c r="AF498" s="4" t="s">
        <v>734</v>
      </c>
      <c r="BI498" s="4" t="s">
        <v>309</v>
      </c>
      <c r="BN498" s="4">
        <v>1</v>
      </c>
      <c r="BV498" s="4" t="s">
        <v>495</v>
      </c>
      <c r="BW498" s="4">
        <v>25</v>
      </c>
      <c r="CB498" s="4" t="s">
        <v>11</v>
      </c>
      <c r="CC498" s="4">
        <v>1500</v>
      </c>
      <c r="CX498" s="4" t="s">
        <v>314</v>
      </c>
      <c r="CZ498" s="4" t="s">
        <v>328</v>
      </c>
      <c r="DO498" s="4">
        <v>3</v>
      </c>
      <c r="GI498" s="4"/>
      <c r="GL498" s="4"/>
    </row>
    <row r="499" customHeight="1" spans="1:313">
      <c r="A499" s="16">
        <v>16</v>
      </c>
      <c r="B499" s="4" t="s">
        <v>717</v>
      </c>
      <c r="C499" s="5" t="s">
        <v>341</v>
      </c>
      <c r="D499" s="4" t="s">
        <v>300</v>
      </c>
      <c r="E499" s="4" t="s">
        <v>730</v>
      </c>
      <c r="N499" s="4" t="s">
        <v>536</v>
      </c>
      <c r="O499" s="4" t="s">
        <v>343</v>
      </c>
      <c r="Q499" s="4" t="s">
        <v>540</v>
      </c>
      <c r="R499" s="4" t="s">
        <v>721</v>
      </c>
      <c r="T499" s="4">
        <v>10.54</v>
      </c>
      <c r="U499" s="4">
        <v>0.048</v>
      </c>
      <c r="V499" s="4">
        <v>94.25</v>
      </c>
      <c r="X499" s="4">
        <v>0.854</v>
      </c>
      <c r="Z499" s="4" t="s">
        <v>731</v>
      </c>
      <c r="AB499" s="4" t="s">
        <v>732</v>
      </c>
      <c r="AC499" s="4" t="s">
        <v>733</v>
      </c>
      <c r="AD499" s="4" t="s">
        <v>724</v>
      </c>
      <c r="AE499" s="4">
        <v>1384</v>
      </c>
      <c r="AF499" s="4" t="s">
        <v>734</v>
      </c>
      <c r="BI499" s="4" t="s">
        <v>309</v>
      </c>
      <c r="BN499" s="4">
        <v>1</v>
      </c>
      <c r="BS499" s="4">
        <v>5</v>
      </c>
      <c r="BW499" s="4">
        <v>25</v>
      </c>
      <c r="CB499" s="4" t="s">
        <v>11</v>
      </c>
      <c r="CC499" s="4" t="s">
        <v>582</v>
      </c>
      <c r="DB499" s="4" t="s">
        <v>312</v>
      </c>
      <c r="DC499" s="4" t="s">
        <v>729</v>
      </c>
      <c r="DD499" s="4">
        <v>523.8</v>
      </c>
      <c r="DE499" s="4">
        <v>616.6</v>
      </c>
      <c r="DO499" s="4">
        <v>3</v>
      </c>
      <c r="GE499" s="4">
        <v>523.8</v>
      </c>
      <c r="GI499" s="4"/>
      <c r="GL499" s="4"/>
    </row>
    <row r="500" customHeight="1" spans="1:313">
      <c r="A500" s="16">
        <v>16</v>
      </c>
      <c r="B500" s="4" t="s">
        <v>717</v>
      </c>
      <c r="C500" s="5" t="s">
        <v>341</v>
      </c>
      <c r="D500" s="4" t="s">
        <v>300</v>
      </c>
      <c r="E500" s="4" t="s">
        <v>730</v>
      </c>
      <c r="N500" s="4" t="s">
        <v>536</v>
      </c>
      <c r="O500" s="4" t="s">
        <v>343</v>
      </c>
      <c r="Q500" s="4" t="s">
        <v>540</v>
      </c>
      <c r="R500" s="4" t="s">
        <v>721</v>
      </c>
      <c r="T500" s="4">
        <v>10.54</v>
      </c>
      <c r="U500" s="4">
        <v>0.048</v>
      </c>
      <c r="V500" s="4">
        <v>94.25</v>
      </c>
      <c r="X500" s="4">
        <v>0.854</v>
      </c>
      <c r="Z500" s="4" t="s">
        <v>731</v>
      </c>
      <c r="AB500" s="4" t="s">
        <v>732</v>
      </c>
      <c r="AC500" s="4" t="s">
        <v>733</v>
      </c>
      <c r="AD500" s="4" t="s">
        <v>724</v>
      </c>
      <c r="AE500" s="4">
        <v>1384</v>
      </c>
      <c r="AF500" s="4" t="s">
        <v>734</v>
      </c>
      <c r="BI500" s="4" t="s">
        <v>309</v>
      </c>
      <c r="BN500" s="4">
        <v>1</v>
      </c>
      <c r="BS500" s="4">
        <v>5</v>
      </c>
      <c r="BW500" s="4">
        <v>25</v>
      </c>
      <c r="CB500" s="4" t="s">
        <v>7</v>
      </c>
      <c r="CC500" s="4" t="s">
        <v>582</v>
      </c>
      <c r="DB500" s="4" t="s">
        <v>312</v>
      </c>
      <c r="DC500" s="4" t="s">
        <v>729</v>
      </c>
      <c r="DD500" s="4">
        <v>950.2</v>
      </c>
      <c r="DE500" s="4">
        <v>1177.5</v>
      </c>
      <c r="DO500" s="4">
        <v>3</v>
      </c>
    </row>
    <row r="501" customHeight="1" spans="1:313">
      <c r="A501" s="3">
        <v>17</v>
      </c>
      <c r="B501" s="4" t="s">
        <v>735</v>
      </c>
      <c r="C501" s="5" t="s">
        <v>736</v>
      </c>
      <c r="D501" s="4" t="s">
        <v>300</v>
      </c>
      <c r="E501" s="4" t="s">
        <v>737</v>
      </c>
      <c r="N501" s="4" t="s">
        <v>567</v>
      </c>
      <c r="O501" s="4" t="s">
        <v>343</v>
      </c>
      <c r="P501" s="4">
        <v>2.21</v>
      </c>
      <c r="Q501" s="4" t="s">
        <v>542</v>
      </c>
      <c r="X501" s="4">
        <v>0.78</v>
      </c>
      <c r="AA501" s="4" t="s">
        <v>738</v>
      </c>
      <c r="AB501" s="4" t="s">
        <v>739</v>
      </c>
      <c r="AC501" s="4" t="s">
        <v>740</v>
      </c>
      <c r="AD501" s="4" t="s">
        <v>741</v>
      </c>
      <c r="AE501" s="4" t="s">
        <v>742</v>
      </c>
      <c r="AF501" s="4" t="s">
        <v>743</v>
      </c>
      <c r="AH501" s="4" t="s">
        <v>394</v>
      </c>
      <c r="AN501" s="4">
        <v>6.8</v>
      </c>
      <c r="AO501" s="4">
        <v>6.04</v>
      </c>
      <c r="AQ501" s="4" t="s">
        <v>372</v>
      </c>
      <c r="AR501" s="4">
        <v>58.55</v>
      </c>
      <c r="AS501" s="4" t="s">
        <v>7</v>
      </c>
      <c r="AT501" s="4">
        <v>0.27</v>
      </c>
      <c r="BC501" s="4" t="s">
        <v>744</v>
      </c>
      <c r="BD501" s="4" t="s">
        <v>745</v>
      </c>
      <c r="BI501" s="1" t="s">
        <v>321</v>
      </c>
      <c r="BJ501" s="1"/>
      <c r="BK501" s="1">
        <v>5</v>
      </c>
      <c r="BL501" s="1">
        <v>1</v>
      </c>
      <c r="BM501" s="1">
        <v>0.005</v>
      </c>
      <c r="BS501" s="4">
        <v>3</v>
      </c>
      <c r="BU501" s="4" t="s">
        <v>398</v>
      </c>
      <c r="BV501" s="4">
        <v>2880</v>
      </c>
      <c r="CB501" s="4" t="s">
        <v>7</v>
      </c>
      <c r="CC501" s="4">
        <v>1000</v>
      </c>
      <c r="DO501" s="4">
        <v>3</v>
      </c>
      <c r="DP501" s="4">
        <v>1000</v>
      </c>
      <c r="EA501" s="4">
        <v>54.47</v>
      </c>
      <c r="EB501" s="36">
        <v>1.96</v>
      </c>
      <c r="EC501" s="36"/>
      <c r="ED501" s="4">
        <v>54.47</v>
      </c>
      <c r="KZ501" s="1" t="s">
        <v>458</v>
      </c>
      <c r="LA501" s="1" t="s">
        <v>746</v>
      </c>
    </row>
    <row r="502" customHeight="1" spans="1:313">
      <c r="A502" s="3">
        <v>17</v>
      </c>
      <c r="B502" s="4" t="s">
        <v>735</v>
      </c>
      <c r="C502" s="5" t="s">
        <v>736</v>
      </c>
      <c r="D502" s="4" t="s">
        <v>300</v>
      </c>
      <c r="E502" s="4" t="s">
        <v>737</v>
      </c>
      <c r="N502" s="4" t="s">
        <v>567</v>
      </c>
      <c r="O502" s="4" t="s">
        <v>343</v>
      </c>
      <c r="P502" s="4">
        <v>2.21</v>
      </c>
      <c r="Q502" s="4" t="s">
        <v>542</v>
      </c>
      <c r="X502" s="4">
        <v>0.78</v>
      </c>
      <c r="AA502" s="4" t="s">
        <v>738</v>
      </c>
      <c r="AB502" s="4" t="s">
        <v>739</v>
      </c>
      <c r="AC502" s="4" t="s">
        <v>740</v>
      </c>
      <c r="AD502" s="4" t="s">
        <v>741</v>
      </c>
      <c r="AE502" s="4" t="s">
        <v>742</v>
      </c>
      <c r="AF502" s="4" t="s">
        <v>743</v>
      </c>
      <c r="AH502" s="4" t="s">
        <v>394</v>
      </c>
      <c r="AN502" s="4">
        <v>6.8</v>
      </c>
      <c r="AO502" s="4">
        <v>6.04</v>
      </c>
      <c r="AQ502" s="4" t="s">
        <v>372</v>
      </c>
      <c r="AR502" s="4">
        <v>58.55</v>
      </c>
      <c r="AS502" s="4" t="s">
        <v>7</v>
      </c>
      <c r="AT502" s="4">
        <v>0.27</v>
      </c>
      <c r="BC502" s="4" t="s">
        <v>744</v>
      </c>
      <c r="BD502" s="4" t="s">
        <v>745</v>
      </c>
      <c r="BI502" s="1" t="s">
        <v>321</v>
      </c>
      <c r="BJ502" s="1"/>
      <c r="BK502" s="1">
        <v>5</v>
      </c>
      <c r="BL502" s="1">
        <v>1</v>
      </c>
      <c r="BM502" s="1">
        <v>0.01</v>
      </c>
      <c r="BS502" s="4">
        <v>3</v>
      </c>
      <c r="BU502" s="4" t="s">
        <v>398</v>
      </c>
      <c r="BV502" s="4">
        <v>2880</v>
      </c>
      <c r="CB502" s="4" t="s">
        <v>7</v>
      </c>
      <c r="CC502" s="4">
        <v>1000</v>
      </c>
      <c r="DO502" s="4">
        <v>3</v>
      </c>
      <c r="DP502" s="4">
        <v>1000</v>
      </c>
      <c r="EA502" s="4">
        <v>86.93</v>
      </c>
      <c r="EB502" s="36">
        <v>1.96</v>
      </c>
      <c r="EC502" s="36"/>
      <c r="ED502" s="4">
        <v>86.93</v>
      </c>
      <c r="KZ502" s="1" t="s">
        <v>420</v>
      </c>
      <c r="LA502" s="1" t="s">
        <v>747</v>
      </c>
    </row>
    <row r="503" customHeight="1" spans="1:313">
      <c r="A503" s="3">
        <v>17</v>
      </c>
      <c r="B503" s="4" t="s">
        <v>735</v>
      </c>
      <c r="C503" s="5" t="s">
        <v>736</v>
      </c>
      <c r="D503" s="4" t="s">
        <v>300</v>
      </c>
      <c r="E503" s="4" t="s">
        <v>737</v>
      </c>
      <c r="N503" s="4" t="s">
        <v>567</v>
      </c>
      <c r="O503" s="4" t="s">
        <v>343</v>
      </c>
      <c r="P503" s="4">
        <v>2.21</v>
      </c>
      <c r="Q503" s="4" t="s">
        <v>542</v>
      </c>
      <c r="X503" s="4">
        <v>0.78</v>
      </c>
      <c r="AA503" s="4" t="s">
        <v>738</v>
      </c>
      <c r="AB503" s="4" t="s">
        <v>739</v>
      </c>
      <c r="AC503" s="4" t="s">
        <v>740</v>
      </c>
      <c r="AD503" s="4" t="s">
        <v>741</v>
      </c>
      <c r="AE503" s="4" t="s">
        <v>742</v>
      </c>
      <c r="AF503" s="4" t="s">
        <v>743</v>
      </c>
      <c r="AH503" s="4" t="s">
        <v>394</v>
      </c>
      <c r="AN503" s="4">
        <v>6.8</v>
      </c>
      <c r="AO503" s="4">
        <v>6.04</v>
      </c>
      <c r="AQ503" s="4" t="s">
        <v>372</v>
      </c>
      <c r="AR503" s="4">
        <v>58.55</v>
      </c>
      <c r="AS503" s="4" t="s">
        <v>7</v>
      </c>
      <c r="AT503" s="4">
        <v>0.27</v>
      </c>
      <c r="BC503" s="4" t="s">
        <v>744</v>
      </c>
      <c r="BD503" s="4" t="s">
        <v>745</v>
      </c>
      <c r="BI503" s="1" t="s">
        <v>321</v>
      </c>
      <c r="BJ503" s="1"/>
      <c r="BK503" s="1">
        <v>5</v>
      </c>
      <c r="BL503" s="1">
        <v>1</v>
      </c>
      <c r="BM503" s="1">
        <v>0.03</v>
      </c>
      <c r="BS503" s="4">
        <v>3</v>
      </c>
      <c r="BU503" s="4" t="s">
        <v>398</v>
      </c>
      <c r="BV503" s="4">
        <v>2880</v>
      </c>
      <c r="CB503" s="4" t="s">
        <v>7</v>
      </c>
      <c r="CC503" s="4">
        <v>1000</v>
      </c>
      <c r="DO503" s="4">
        <v>3</v>
      </c>
      <c r="DP503" s="4">
        <v>1000</v>
      </c>
      <c r="EA503" s="4">
        <v>97.39</v>
      </c>
      <c r="EB503" s="36">
        <v>0.22</v>
      </c>
      <c r="EC503" s="36"/>
      <c r="ED503" s="4">
        <v>97.39</v>
      </c>
    </row>
    <row r="504" customHeight="1" spans="1:313">
      <c r="A504" s="3">
        <v>17</v>
      </c>
      <c r="B504" s="4" t="s">
        <v>735</v>
      </c>
      <c r="C504" s="5" t="s">
        <v>736</v>
      </c>
      <c r="D504" s="4" t="s">
        <v>300</v>
      </c>
      <c r="E504" s="4" t="s">
        <v>737</v>
      </c>
      <c r="N504" s="4" t="s">
        <v>567</v>
      </c>
      <c r="O504" s="4" t="s">
        <v>343</v>
      </c>
      <c r="P504" s="4">
        <v>2.21</v>
      </c>
      <c r="Q504" s="4" t="s">
        <v>542</v>
      </c>
      <c r="X504" s="4">
        <v>0.78</v>
      </c>
      <c r="AA504" s="4" t="s">
        <v>738</v>
      </c>
      <c r="AB504" s="4" t="s">
        <v>739</v>
      </c>
      <c r="AC504" s="4" t="s">
        <v>740</v>
      </c>
      <c r="AD504" s="4" t="s">
        <v>741</v>
      </c>
      <c r="AE504" s="4" t="s">
        <v>742</v>
      </c>
      <c r="AF504" s="4" t="s">
        <v>743</v>
      </c>
      <c r="AH504" s="4" t="s">
        <v>394</v>
      </c>
      <c r="AN504" s="4">
        <v>6.8</v>
      </c>
      <c r="AO504" s="4">
        <v>6.04</v>
      </c>
      <c r="AQ504" s="4" t="s">
        <v>372</v>
      </c>
      <c r="AR504" s="4">
        <v>58.55</v>
      </c>
      <c r="AS504" s="4" t="s">
        <v>7</v>
      </c>
      <c r="AT504" s="4">
        <v>0.27</v>
      </c>
      <c r="BC504" s="4" t="s">
        <v>744</v>
      </c>
      <c r="BD504" s="4" t="s">
        <v>745</v>
      </c>
      <c r="BI504" s="1" t="s">
        <v>321</v>
      </c>
      <c r="BJ504" s="1"/>
      <c r="BK504" s="1">
        <v>5</v>
      </c>
      <c r="BL504" s="1">
        <v>1</v>
      </c>
      <c r="BM504" s="1">
        <v>0.01</v>
      </c>
      <c r="BS504" s="4">
        <v>3</v>
      </c>
      <c r="BU504" s="4" t="s">
        <v>398</v>
      </c>
      <c r="BV504" s="4">
        <v>120</v>
      </c>
      <c r="CB504" s="4" t="s">
        <v>372</v>
      </c>
      <c r="CC504" s="4">
        <v>600</v>
      </c>
      <c r="DO504" s="4">
        <v>3</v>
      </c>
      <c r="EP504" s="1">
        <v>39.87</v>
      </c>
      <c r="EQ504" s="36">
        <v>3.69</v>
      </c>
      <c r="ER504" s="36"/>
      <c r="ES504" s="1">
        <v>39.87</v>
      </c>
    </row>
    <row r="505" customHeight="1" spans="1:313">
      <c r="A505" s="3">
        <v>17</v>
      </c>
      <c r="B505" s="4" t="s">
        <v>735</v>
      </c>
      <c r="C505" s="5" t="s">
        <v>736</v>
      </c>
      <c r="D505" s="4" t="s">
        <v>300</v>
      </c>
      <c r="E505" s="4" t="s">
        <v>737</v>
      </c>
      <c r="N505" s="4" t="s">
        <v>567</v>
      </c>
      <c r="O505" s="4" t="s">
        <v>343</v>
      </c>
      <c r="P505" s="4">
        <v>2.21</v>
      </c>
      <c r="Q505" s="4" t="s">
        <v>542</v>
      </c>
      <c r="X505" s="4">
        <v>0.78</v>
      </c>
      <c r="AA505" s="4" t="s">
        <v>738</v>
      </c>
      <c r="AB505" s="4" t="s">
        <v>739</v>
      </c>
      <c r="AC505" s="4" t="s">
        <v>740</v>
      </c>
      <c r="AD505" s="4" t="s">
        <v>741</v>
      </c>
      <c r="AE505" s="4" t="s">
        <v>742</v>
      </c>
      <c r="AF505" s="4" t="s">
        <v>743</v>
      </c>
      <c r="AH505" s="4" t="s">
        <v>394</v>
      </c>
      <c r="AN505" s="4">
        <v>6.8</v>
      </c>
      <c r="AO505" s="4">
        <v>6.04</v>
      </c>
      <c r="AQ505" s="4" t="s">
        <v>372</v>
      </c>
      <c r="AR505" s="4">
        <v>58.55</v>
      </c>
      <c r="AS505" s="4" t="s">
        <v>7</v>
      </c>
      <c r="AT505" s="4">
        <v>0.27</v>
      </c>
      <c r="BC505" s="4" t="s">
        <v>744</v>
      </c>
      <c r="BD505" s="4" t="s">
        <v>745</v>
      </c>
      <c r="BI505" s="1" t="s">
        <v>321</v>
      </c>
      <c r="BJ505" s="1"/>
      <c r="BK505" s="1">
        <v>5</v>
      </c>
      <c r="BL505" s="1">
        <v>1</v>
      </c>
      <c r="BM505" s="1">
        <v>0.03</v>
      </c>
      <c r="BS505" s="4">
        <v>3</v>
      </c>
      <c r="BU505" s="4" t="s">
        <v>398</v>
      </c>
      <c r="BV505" s="4">
        <v>120</v>
      </c>
      <c r="CB505" s="4" t="s">
        <v>372</v>
      </c>
      <c r="CC505" s="4">
        <v>600</v>
      </c>
      <c r="DO505" s="4">
        <v>3</v>
      </c>
      <c r="EP505" s="1">
        <v>47.49</v>
      </c>
      <c r="EQ505" s="36">
        <v>13.02</v>
      </c>
      <c r="ER505" s="36"/>
      <c r="ES505" s="1">
        <v>47.49</v>
      </c>
    </row>
    <row r="506" customHeight="1" spans="1:313">
      <c r="A506" s="3">
        <v>17</v>
      </c>
      <c r="B506" s="4" t="s">
        <v>735</v>
      </c>
      <c r="C506" s="5" t="s">
        <v>736</v>
      </c>
      <c r="D506" s="4" t="s">
        <v>300</v>
      </c>
      <c r="E506" s="4" t="s">
        <v>737</v>
      </c>
      <c r="N506" s="4" t="s">
        <v>567</v>
      </c>
      <c r="O506" s="4" t="s">
        <v>343</v>
      </c>
      <c r="P506" s="4">
        <v>2.21</v>
      </c>
      <c r="Q506" s="4" t="s">
        <v>542</v>
      </c>
      <c r="X506" s="4">
        <v>0.78</v>
      </c>
      <c r="AA506" s="4" t="s">
        <v>738</v>
      </c>
      <c r="AB506" s="4" t="s">
        <v>739</v>
      </c>
      <c r="AC506" s="4" t="s">
        <v>740</v>
      </c>
      <c r="AD506" s="4" t="s">
        <v>741</v>
      </c>
      <c r="AE506" s="4" t="s">
        <v>742</v>
      </c>
      <c r="AF506" s="4" t="s">
        <v>743</v>
      </c>
      <c r="AH506" s="4" t="s">
        <v>394</v>
      </c>
      <c r="AN506" s="4">
        <v>6.8</v>
      </c>
      <c r="AO506" s="4">
        <v>6.04</v>
      </c>
      <c r="AQ506" s="4" t="s">
        <v>372</v>
      </c>
      <c r="AR506" s="4">
        <v>58.55</v>
      </c>
      <c r="AS506" s="4" t="s">
        <v>7</v>
      </c>
      <c r="AT506" s="4">
        <v>0.27</v>
      </c>
      <c r="BC506" s="4" t="s">
        <v>744</v>
      </c>
      <c r="BD506" s="4" t="s">
        <v>745</v>
      </c>
      <c r="BI506" s="1" t="s">
        <v>321</v>
      </c>
      <c r="BJ506" s="1"/>
      <c r="BK506" s="1">
        <v>5</v>
      </c>
      <c r="BL506" s="1">
        <v>1</v>
      </c>
      <c r="BM506" s="1">
        <v>0.07</v>
      </c>
      <c r="BS506" s="4">
        <v>3</v>
      </c>
      <c r="BU506" s="4" t="s">
        <v>398</v>
      </c>
      <c r="BV506" s="4">
        <v>120</v>
      </c>
      <c r="CB506" s="4" t="s">
        <v>372</v>
      </c>
      <c r="CC506" s="4">
        <v>600</v>
      </c>
      <c r="DO506" s="4">
        <v>3</v>
      </c>
      <c r="EP506" s="1">
        <v>79.52</v>
      </c>
      <c r="EQ506" s="36">
        <v>5.21</v>
      </c>
      <c r="ER506" s="36"/>
      <c r="ES506" s="1">
        <v>79.52</v>
      </c>
    </row>
    <row r="507" customHeight="1" spans="1:313">
      <c r="A507" s="3">
        <v>17</v>
      </c>
      <c r="B507" s="4" t="s">
        <v>735</v>
      </c>
      <c r="C507" s="5" t="s">
        <v>736</v>
      </c>
      <c r="D507" s="4" t="s">
        <v>300</v>
      </c>
      <c r="E507" s="4" t="s">
        <v>737</v>
      </c>
      <c r="N507" s="4" t="s">
        <v>567</v>
      </c>
      <c r="O507" s="4" t="s">
        <v>343</v>
      </c>
      <c r="P507" s="4">
        <v>2.21</v>
      </c>
      <c r="Q507" s="4" t="s">
        <v>542</v>
      </c>
      <c r="X507" s="4">
        <v>0.78</v>
      </c>
      <c r="AA507" s="4" t="s">
        <v>738</v>
      </c>
      <c r="AB507" s="4" t="s">
        <v>739</v>
      </c>
      <c r="AC507" s="4" t="s">
        <v>740</v>
      </c>
      <c r="AD507" s="4" t="s">
        <v>741</v>
      </c>
      <c r="AE507" s="4" t="s">
        <v>742</v>
      </c>
      <c r="AF507" s="4" t="s">
        <v>743</v>
      </c>
      <c r="AH507" s="4" t="s">
        <v>394</v>
      </c>
      <c r="AN507" s="4">
        <v>6.8</v>
      </c>
      <c r="AO507" s="4">
        <v>6.04</v>
      </c>
      <c r="AQ507" s="4" t="s">
        <v>372</v>
      </c>
      <c r="AR507" s="4">
        <v>58.55</v>
      </c>
      <c r="AS507" s="4" t="s">
        <v>7</v>
      </c>
      <c r="AT507" s="4">
        <v>0.27</v>
      </c>
      <c r="BC507" s="4" t="s">
        <v>744</v>
      </c>
      <c r="BD507" s="4" t="s">
        <v>745</v>
      </c>
      <c r="BI507" s="4" t="s">
        <v>321</v>
      </c>
      <c r="BO507" s="4">
        <v>0.03</v>
      </c>
      <c r="BS507" s="4">
        <v>3</v>
      </c>
      <c r="BV507" s="4">
        <v>2880</v>
      </c>
      <c r="DO507" s="4">
        <v>3</v>
      </c>
      <c r="EA507" s="27">
        <v>98.6013986013986</v>
      </c>
      <c r="EB507" s="36">
        <v>5.36</v>
      </c>
      <c r="EC507" s="36"/>
      <c r="ED507" s="27">
        <v>98.6013986013986</v>
      </c>
    </row>
    <row r="508" customHeight="1" spans="1:313">
      <c r="A508" s="3">
        <v>17</v>
      </c>
      <c r="B508" s="4" t="s">
        <v>735</v>
      </c>
      <c r="C508" s="5" t="s">
        <v>736</v>
      </c>
      <c r="D508" s="4" t="s">
        <v>300</v>
      </c>
      <c r="E508" s="4" t="s">
        <v>737</v>
      </c>
      <c r="N508" s="4" t="s">
        <v>567</v>
      </c>
      <c r="O508" s="4" t="s">
        <v>343</v>
      </c>
      <c r="P508" s="4">
        <v>2.21</v>
      </c>
      <c r="Q508" s="4" t="s">
        <v>542</v>
      </c>
      <c r="X508" s="4">
        <v>0.78</v>
      </c>
      <c r="AA508" s="4" t="s">
        <v>738</v>
      </c>
      <c r="AB508" s="4" t="s">
        <v>739</v>
      </c>
      <c r="AC508" s="4" t="s">
        <v>740</v>
      </c>
      <c r="AD508" s="4" t="s">
        <v>741</v>
      </c>
      <c r="AE508" s="4" t="s">
        <v>742</v>
      </c>
      <c r="AF508" s="4" t="s">
        <v>743</v>
      </c>
      <c r="AH508" s="4" t="s">
        <v>394</v>
      </c>
      <c r="AN508" s="4">
        <v>6.8</v>
      </c>
      <c r="AO508" s="4">
        <v>6.04</v>
      </c>
      <c r="AQ508" s="4" t="s">
        <v>372</v>
      </c>
      <c r="AR508" s="4">
        <v>58.55</v>
      </c>
      <c r="AS508" s="4" t="s">
        <v>7</v>
      </c>
      <c r="AT508" s="4">
        <v>0.27</v>
      </c>
      <c r="BC508" s="4" t="s">
        <v>744</v>
      </c>
      <c r="BD508" s="4" t="s">
        <v>745</v>
      </c>
      <c r="BI508" s="4" t="s">
        <v>321</v>
      </c>
      <c r="BO508" s="4">
        <v>0.03</v>
      </c>
      <c r="BS508" s="4">
        <v>4</v>
      </c>
      <c r="BV508" s="4">
        <v>2880</v>
      </c>
      <c r="DO508" s="4">
        <v>3</v>
      </c>
      <c r="EA508" s="27">
        <v>97.9020979020978</v>
      </c>
      <c r="EB508" s="36">
        <v>0.47</v>
      </c>
      <c r="EC508" s="36"/>
      <c r="ED508" s="27">
        <v>97.9020979020978</v>
      </c>
    </row>
    <row r="509" customHeight="1" spans="1:313">
      <c r="A509" s="3">
        <v>17</v>
      </c>
      <c r="B509" s="4" t="s">
        <v>735</v>
      </c>
      <c r="C509" s="5" t="s">
        <v>736</v>
      </c>
      <c r="D509" s="4" t="s">
        <v>300</v>
      </c>
      <c r="E509" s="4" t="s">
        <v>737</v>
      </c>
      <c r="N509" s="4" t="s">
        <v>567</v>
      </c>
      <c r="O509" s="4" t="s">
        <v>343</v>
      </c>
      <c r="P509" s="4">
        <v>2.21</v>
      </c>
      <c r="Q509" s="4" t="s">
        <v>542</v>
      </c>
      <c r="X509" s="4">
        <v>0.78</v>
      </c>
      <c r="AA509" s="4" t="s">
        <v>738</v>
      </c>
      <c r="AB509" s="4" t="s">
        <v>739</v>
      </c>
      <c r="AC509" s="4" t="s">
        <v>740</v>
      </c>
      <c r="AD509" s="4" t="s">
        <v>741</v>
      </c>
      <c r="AE509" s="4" t="s">
        <v>742</v>
      </c>
      <c r="AF509" s="4" t="s">
        <v>743</v>
      </c>
      <c r="AH509" s="4" t="s">
        <v>394</v>
      </c>
      <c r="AN509" s="4">
        <v>6.8</v>
      </c>
      <c r="AO509" s="4">
        <v>6.04</v>
      </c>
      <c r="AQ509" s="4" t="s">
        <v>372</v>
      </c>
      <c r="AR509" s="4">
        <v>58.55</v>
      </c>
      <c r="AS509" s="4" t="s">
        <v>7</v>
      </c>
      <c r="AT509" s="4">
        <v>0.27</v>
      </c>
      <c r="BC509" s="4" t="s">
        <v>744</v>
      </c>
      <c r="BD509" s="4" t="s">
        <v>745</v>
      </c>
      <c r="BI509" s="4" t="s">
        <v>321</v>
      </c>
      <c r="BO509" s="4">
        <v>0.03</v>
      </c>
      <c r="BS509" s="4">
        <v>5</v>
      </c>
      <c r="BV509" s="4">
        <v>2880</v>
      </c>
      <c r="DO509" s="4">
        <v>3</v>
      </c>
      <c r="EA509" s="27">
        <v>97.9020979020978</v>
      </c>
      <c r="EB509" s="36">
        <v>4.66</v>
      </c>
      <c r="EC509" s="36"/>
      <c r="ED509" s="27">
        <v>97.9020979020978</v>
      </c>
    </row>
    <row r="510" customHeight="1" spans="1:313">
      <c r="A510" s="3">
        <v>17</v>
      </c>
      <c r="B510" s="4" t="s">
        <v>735</v>
      </c>
      <c r="C510" s="5" t="s">
        <v>736</v>
      </c>
      <c r="D510" s="4" t="s">
        <v>300</v>
      </c>
      <c r="E510" s="4" t="s">
        <v>737</v>
      </c>
      <c r="N510" s="4" t="s">
        <v>567</v>
      </c>
      <c r="O510" s="4" t="s">
        <v>343</v>
      </c>
      <c r="P510" s="4">
        <v>2.21</v>
      </c>
      <c r="Q510" s="4" t="s">
        <v>542</v>
      </c>
      <c r="X510" s="4">
        <v>0.78</v>
      </c>
      <c r="AA510" s="4" t="s">
        <v>738</v>
      </c>
      <c r="AB510" s="4" t="s">
        <v>739</v>
      </c>
      <c r="AC510" s="4" t="s">
        <v>740</v>
      </c>
      <c r="AD510" s="4" t="s">
        <v>741</v>
      </c>
      <c r="AE510" s="4" t="s">
        <v>742</v>
      </c>
      <c r="AF510" s="4" t="s">
        <v>743</v>
      </c>
      <c r="AH510" s="4" t="s">
        <v>394</v>
      </c>
      <c r="AN510" s="4">
        <v>6.8</v>
      </c>
      <c r="AO510" s="4">
        <v>6.04</v>
      </c>
      <c r="AQ510" s="4" t="s">
        <v>372</v>
      </c>
      <c r="AR510" s="4">
        <v>58.55</v>
      </c>
      <c r="AS510" s="4" t="s">
        <v>7</v>
      </c>
      <c r="AT510" s="4">
        <v>0.27</v>
      </c>
      <c r="BC510" s="4" t="s">
        <v>744</v>
      </c>
      <c r="BD510" s="4" t="s">
        <v>745</v>
      </c>
      <c r="BI510" s="4" t="s">
        <v>321</v>
      </c>
      <c r="BO510" s="4">
        <v>0.03</v>
      </c>
      <c r="BS510" s="4">
        <v>6</v>
      </c>
      <c r="BV510" s="4">
        <v>2880</v>
      </c>
      <c r="DO510" s="4">
        <v>3</v>
      </c>
      <c r="EA510" s="27">
        <v>98.3682983682983</v>
      </c>
      <c r="EB510" s="36">
        <v>6.53</v>
      </c>
      <c r="EC510" s="36"/>
      <c r="ED510" s="27">
        <v>98.3682983682983</v>
      </c>
    </row>
    <row r="511" customHeight="1" spans="1:313">
      <c r="A511" s="3">
        <v>17</v>
      </c>
      <c r="B511" s="4" t="s">
        <v>735</v>
      </c>
      <c r="C511" s="5" t="s">
        <v>736</v>
      </c>
      <c r="D511" s="4" t="s">
        <v>300</v>
      </c>
      <c r="E511" s="4" t="s">
        <v>737</v>
      </c>
      <c r="N511" s="4" t="s">
        <v>567</v>
      </c>
      <c r="O511" s="4" t="s">
        <v>343</v>
      </c>
      <c r="P511" s="4">
        <v>2.21</v>
      </c>
      <c r="Q511" s="4" t="s">
        <v>542</v>
      </c>
      <c r="X511" s="4">
        <v>0.78</v>
      </c>
      <c r="AA511" s="4" t="s">
        <v>738</v>
      </c>
      <c r="AB511" s="4" t="s">
        <v>739</v>
      </c>
      <c r="AC511" s="4" t="s">
        <v>740</v>
      </c>
      <c r="AD511" s="4" t="s">
        <v>741</v>
      </c>
      <c r="AE511" s="4" t="s">
        <v>742</v>
      </c>
      <c r="AF511" s="4" t="s">
        <v>743</v>
      </c>
      <c r="AH511" s="4" t="s">
        <v>394</v>
      </c>
      <c r="AN511" s="4">
        <v>6.8</v>
      </c>
      <c r="AO511" s="4">
        <v>6.04</v>
      </c>
      <c r="AQ511" s="4" t="s">
        <v>372</v>
      </c>
      <c r="AR511" s="4">
        <v>58.55</v>
      </c>
      <c r="AS511" s="4" t="s">
        <v>7</v>
      </c>
      <c r="AT511" s="4">
        <v>0.27</v>
      </c>
      <c r="BC511" s="4" t="s">
        <v>744</v>
      </c>
      <c r="BD511" s="4" t="s">
        <v>745</v>
      </c>
      <c r="BI511" s="4" t="s">
        <v>321</v>
      </c>
      <c r="BO511" s="4">
        <v>0.07</v>
      </c>
      <c r="BS511" s="4">
        <v>3</v>
      </c>
      <c r="BV511" s="4">
        <v>120</v>
      </c>
      <c r="DO511" s="4">
        <v>3</v>
      </c>
      <c r="EP511" s="27">
        <v>84.42</v>
      </c>
      <c r="EQ511" s="36">
        <v>8.62</v>
      </c>
      <c r="ER511" s="36"/>
      <c r="ES511" s="27">
        <v>84.42</v>
      </c>
    </row>
    <row r="512" customHeight="1" spans="1:313">
      <c r="A512" s="3">
        <v>17</v>
      </c>
      <c r="B512" s="4" t="s">
        <v>735</v>
      </c>
      <c r="C512" s="5" t="s">
        <v>736</v>
      </c>
      <c r="D512" s="4" t="s">
        <v>300</v>
      </c>
      <c r="E512" s="4" t="s">
        <v>737</v>
      </c>
      <c r="N512" s="4" t="s">
        <v>567</v>
      </c>
      <c r="O512" s="4" t="s">
        <v>343</v>
      </c>
      <c r="P512" s="4">
        <v>2.21</v>
      </c>
      <c r="Q512" s="4" t="s">
        <v>542</v>
      </c>
      <c r="X512" s="4">
        <v>0.78</v>
      </c>
      <c r="AA512" s="4" t="s">
        <v>738</v>
      </c>
      <c r="AB512" s="4" t="s">
        <v>739</v>
      </c>
      <c r="AC512" s="4" t="s">
        <v>740</v>
      </c>
      <c r="AD512" s="4" t="s">
        <v>741</v>
      </c>
      <c r="AE512" s="4" t="s">
        <v>742</v>
      </c>
      <c r="AF512" s="4" t="s">
        <v>743</v>
      </c>
      <c r="AH512" s="4" t="s">
        <v>394</v>
      </c>
      <c r="AN512" s="4">
        <v>6.8</v>
      </c>
      <c r="AO512" s="4">
        <v>6.04</v>
      </c>
      <c r="AQ512" s="4" t="s">
        <v>372</v>
      </c>
      <c r="AR512" s="4">
        <v>58.55</v>
      </c>
      <c r="AS512" s="4" t="s">
        <v>7</v>
      </c>
      <c r="AT512" s="4">
        <v>0.27</v>
      </c>
      <c r="BC512" s="4" t="s">
        <v>744</v>
      </c>
      <c r="BD512" s="4" t="s">
        <v>745</v>
      </c>
      <c r="BI512" s="4" t="s">
        <v>321</v>
      </c>
      <c r="BO512" s="4">
        <v>0.07</v>
      </c>
      <c r="BS512" s="4">
        <v>5</v>
      </c>
      <c r="BV512" s="4">
        <v>120</v>
      </c>
      <c r="DO512" s="4">
        <v>3</v>
      </c>
      <c r="EP512" s="27">
        <v>78.14</v>
      </c>
      <c r="EQ512" s="36">
        <v>2.33</v>
      </c>
      <c r="ER512" s="36"/>
      <c r="ES512" s="27">
        <v>78.14</v>
      </c>
    </row>
    <row r="513" customHeight="1" spans="1:149">
      <c r="A513" s="3">
        <v>17</v>
      </c>
      <c r="B513" s="4" t="s">
        <v>735</v>
      </c>
      <c r="C513" s="5" t="s">
        <v>736</v>
      </c>
      <c r="D513" s="4" t="s">
        <v>300</v>
      </c>
      <c r="E513" s="4" t="s">
        <v>737</v>
      </c>
      <c r="N513" s="4" t="s">
        <v>567</v>
      </c>
      <c r="O513" s="4" t="s">
        <v>343</v>
      </c>
      <c r="P513" s="4">
        <v>2.21</v>
      </c>
      <c r="Q513" s="4" t="s">
        <v>542</v>
      </c>
      <c r="X513" s="4">
        <v>0.78</v>
      </c>
      <c r="AA513" s="4" t="s">
        <v>738</v>
      </c>
      <c r="AB513" s="4" t="s">
        <v>739</v>
      </c>
      <c r="AC513" s="4" t="s">
        <v>740</v>
      </c>
      <c r="AD513" s="4" t="s">
        <v>741</v>
      </c>
      <c r="AE513" s="4" t="s">
        <v>742</v>
      </c>
      <c r="AF513" s="4" t="s">
        <v>743</v>
      </c>
      <c r="AH513" s="4" t="s">
        <v>394</v>
      </c>
      <c r="AN513" s="4">
        <v>6.8</v>
      </c>
      <c r="AO513" s="4">
        <v>6.04</v>
      </c>
      <c r="AQ513" s="4" t="s">
        <v>372</v>
      </c>
      <c r="AR513" s="4">
        <v>58.55</v>
      </c>
      <c r="AS513" s="4" t="s">
        <v>7</v>
      </c>
      <c r="AT513" s="4">
        <v>0.27</v>
      </c>
      <c r="BC513" s="4" t="s">
        <v>744</v>
      </c>
      <c r="BD513" s="4" t="s">
        <v>745</v>
      </c>
      <c r="BI513" s="4" t="s">
        <v>321</v>
      </c>
      <c r="BO513" s="4">
        <v>0.07</v>
      </c>
      <c r="BS513" s="4">
        <v>7</v>
      </c>
      <c r="BV513" s="4">
        <v>120</v>
      </c>
      <c r="DO513" s="4">
        <v>3</v>
      </c>
      <c r="EP513" s="27">
        <v>78.84</v>
      </c>
      <c r="EQ513" s="36">
        <v>0.23</v>
      </c>
      <c r="ER513" s="36"/>
      <c r="ES513" s="27">
        <v>78.84</v>
      </c>
    </row>
    <row r="514" customHeight="1" spans="1:149">
      <c r="A514" s="3">
        <v>17</v>
      </c>
      <c r="B514" s="4" t="s">
        <v>735</v>
      </c>
      <c r="C514" s="5" t="s">
        <v>736</v>
      </c>
      <c r="D514" s="4" t="s">
        <v>300</v>
      </c>
      <c r="E514" s="4" t="s">
        <v>737</v>
      </c>
      <c r="N514" s="4" t="s">
        <v>567</v>
      </c>
      <c r="O514" s="4" t="s">
        <v>343</v>
      </c>
      <c r="P514" s="4">
        <v>2.21</v>
      </c>
      <c r="Q514" s="4" t="s">
        <v>542</v>
      </c>
      <c r="X514" s="4">
        <v>0.78</v>
      </c>
      <c r="AA514" s="4" t="s">
        <v>738</v>
      </c>
      <c r="AB514" s="4" t="s">
        <v>739</v>
      </c>
      <c r="AC514" s="4" t="s">
        <v>740</v>
      </c>
      <c r="AD514" s="4" t="s">
        <v>741</v>
      </c>
      <c r="AE514" s="4" t="s">
        <v>742</v>
      </c>
      <c r="AF514" s="4" t="s">
        <v>743</v>
      </c>
      <c r="AH514" s="4" t="s">
        <v>394</v>
      </c>
      <c r="AN514" s="4">
        <v>6.8</v>
      </c>
      <c r="AO514" s="4">
        <v>6.04</v>
      </c>
      <c r="AQ514" s="4" t="s">
        <v>372</v>
      </c>
      <c r="AR514" s="4">
        <v>58.55</v>
      </c>
      <c r="AS514" s="4" t="s">
        <v>7</v>
      </c>
      <c r="AT514" s="4">
        <v>0.27</v>
      </c>
      <c r="BC514" s="4" t="s">
        <v>744</v>
      </c>
      <c r="BD514" s="4" t="s">
        <v>745</v>
      </c>
      <c r="BI514" s="4" t="s">
        <v>321</v>
      </c>
      <c r="BO514" s="4">
        <v>0.07</v>
      </c>
      <c r="BS514" s="4">
        <v>10</v>
      </c>
      <c r="BV514" s="4">
        <v>120</v>
      </c>
      <c r="DO514" s="4">
        <v>3</v>
      </c>
      <c r="EP514" s="27">
        <v>75.58</v>
      </c>
      <c r="EQ514" s="36">
        <v>2.56</v>
      </c>
      <c r="ER514" s="36"/>
      <c r="ES514" s="27">
        <v>75.58</v>
      </c>
    </row>
    <row r="515" customHeight="1" spans="1:149">
      <c r="A515" s="3">
        <v>17</v>
      </c>
      <c r="B515" s="4" t="s">
        <v>735</v>
      </c>
      <c r="C515" s="5" t="s">
        <v>736</v>
      </c>
      <c r="D515" s="4" t="s">
        <v>300</v>
      </c>
      <c r="E515" s="4" t="s">
        <v>737</v>
      </c>
      <c r="N515" s="4" t="s">
        <v>567</v>
      </c>
      <c r="O515" s="4" t="s">
        <v>343</v>
      </c>
      <c r="P515" s="4">
        <v>2.21</v>
      </c>
      <c r="Q515" s="4" t="s">
        <v>542</v>
      </c>
      <c r="X515" s="4">
        <v>0.78</v>
      </c>
      <c r="AA515" s="4" t="s">
        <v>738</v>
      </c>
      <c r="AB515" s="4" t="s">
        <v>739</v>
      </c>
      <c r="AC515" s="4" t="s">
        <v>740</v>
      </c>
      <c r="AD515" s="4" t="s">
        <v>741</v>
      </c>
      <c r="AE515" s="4" t="s">
        <v>742</v>
      </c>
      <c r="AF515" s="4" t="s">
        <v>743</v>
      </c>
      <c r="AH515" s="4" t="s">
        <v>394</v>
      </c>
      <c r="AN515" s="4">
        <v>6.8</v>
      </c>
      <c r="AO515" s="4">
        <v>6.04</v>
      </c>
      <c r="AQ515" s="4" t="s">
        <v>372</v>
      </c>
      <c r="AR515" s="4">
        <v>58.55</v>
      </c>
      <c r="AS515" s="4" t="s">
        <v>7</v>
      </c>
      <c r="AT515" s="4">
        <v>0.27</v>
      </c>
      <c r="BC515" s="4" t="s">
        <v>744</v>
      </c>
      <c r="BD515" s="4" t="s">
        <v>745</v>
      </c>
      <c r="BI515" s="4" t="s">
        <v>321</v>
      </c>
      <c r="BO515" s="4">
        <v>0.03</v>
      </c>
      <c r="CB515" s="4" t="s">
        <v>7</v>
      </c>
      <c r="CC515" s="4">
        <v>500</v>
      </c>
      <c r="DO515" s="4">
        <v>3</v>
      </c>
      <c r="DP515" s="4">
        <v>500</v>
      </c>
      <c r="EA515" s="27">
        <v>99.34</v>
      </c>
      <c r="EB515" s="36">
        <v>0</v>
      </c>
      <c r="EC515" s="36"/>
      <c r="ED515" s="27">
        <v>99.34</v>
      </c>
      <c r="EQ515" s="36"/>
      <c r="ER515" s="36"/>
    </row>
    <row r="516" customHeight="1" spans="1:149">
      <c r="A516" s="3">
        <v>17</v>
      </c>
      <c r="B516" s="4" t="s">
        <v>735</v>
      </c>
      <c r="C516" s="5" t="s">
        <v>736</v>
      </c>
      <c r="D516" s="4" t="s">
        <v>300</v>
      </c>
      <c r="E516" s="4" t="s">
        <v>737</v>
      </c>
      <c r="N516" s="4" t="s">
        <v>567</v>
      </c>
      <c r="O516" s="4" t="s">
        <v>343</v>
      </c>
      <c r="P516" s="4">
        <v>2.21</v>
      </c>
      <c r="Q516" s="4" t="s">
        <v>542</v>
      </c>
      <c r="X516" s="4">
        <v>0.78</v>
      </c>
      <c r="AA516" s="4" t="s">
        <v>738</v>
      </c>
      <c r="AB516" s="4" t="s">
        <v>739</v>
      </c>
      <c r="AC516" s="4" t="s">
        <v>740</v>
      </c>
      <c r="AD516" s="4" t="s">
        <v>741</v>
      </c>
      <c r="AE516" s="4" t="s">
        <v>742</v>
      </c>
      <c r="AF516" s="4" t="s">
        <v>743</v>
      </c>
      <c r="AH516" s="4" t="s">
        <v>394</v>
      </c>
      <c r="AN516" s="4">
        <v>6.8</v>
      </c>
      <c r="AO516" s="4">
        <v>6.04</v>
      </c>
      <c r="AQ516" s="4" t="s">
        <v>372</v>
      </c>
      <c r="AR516" s="4">
        <v>58.55</v>
      </c>
      <c r="AS516" s="4" t="s">
        <v>7</v>
      </c>
      <c r="AT516" s="4">
        <v>0.27</v>
      </c>
      <c r="BC516" s="4" t="s">
        <v>744</v>
      </c>
      <c r="BD516" s="4" t="s">
        <v>745</v>
      </c>
      <c r="BI516" s="4" t="s">
        <v>321</v>
      </c>
      <c r="BO516" s="4">
        <v>0.03</v>
      </c>
      <c r="CB516" s="4" t="s">
        <v>7</v>
      </c>
      <c r="CC516" s="4">
        <v>1000</v>
      </c>
      <c r="DO516" s="4">
        <v>3</v>
      </c>
      <c r="DP516" s="4">
        <v>1000</v>
      </c>
      <c r="EA516" s="27">
        <v>97.16</v>
      </c>
      <c r="EB516" s="36">
        <v>0</v>
      </c>
      <c r="EC516" s="36"/>
      <c r="ED516" s="27">
        <v>97.16</v>
      </c>
    </row>
    <row r="517" customHeight="1" spans="1:149">
      <c r="A517" s="3">
        <v>17</v>
      </c>
      <c r="B517" s="4" t="s">
        <v>735</v>
      </c>
      <c r="C517" s="5" t="s">
        <v>736</v>
      </c>
      <c r="D517" s="4" t="s">
        <v>300</v>
      </c>
      <c r="E517" s="4" t="s">
        <v>737</v>
      </c>
      <c r="N517" s="4" t="s">
        <v>567</v>
      </c>
      <c r="O517" s="4" t="s">
        <v>343</v>
      </c>
      <c r="P517" s="4">
        <v>2.21</v>
      </c>
      <c r="Q517" s="4" t="s">
        <v>542</v>
      </c>
      <c r="X517" s="4">
        <v>0.78</v>
      </c>
      <c r="AA517" s="4" t="s">
        <v>738</v>
      </c>
      <c r="AB517" s="4" t="s">
        <v>739</v>
      </c>
      <c r="AC517" s="4" t="s">
        <v>740</v>
      </c>
      <c r="AD517" s="4" t="s">
        <v>741</v>
      </c>
      <c r="AE517" s="4" t="s">
        <v>742</v>
      </c>
      <c r="AF517" s="4" t="s">
        <v>743</v>
      </c>
      <c r="AH517" s="4" t="s">
        <v>394</v>
      </c>
      <c r="AN517" s="4">
        <v>6.8</v>
      </c>
      <c r="AO517" s="4">
        <v>6.04</v>
      </c>
      <c r="AQ517" s="4" t="s">
        <v>372</v>
      </c>
      <c r="AR517" s="4">
        <v>58.55</v>
      </c>
      <c r="AS517" s="4" t="s">
        <v>7</v>
      </c>
      <c r="AT517" s="4">
        <v>0.27</v>
      </c>
      <c r="BC517" s="4" t="s">
        <v>744</v>
      </c>
      <c r="BD517" s="4" t="s">
        <v>745</v>
      </c>
      <c r="BI517" s="4" t="s">
        <v>321</v>
      </c>
      <c r="BO517" s="4">
        <v>0.03</v>
      </c>
      <c r="CB517" s="4" t="s">
        <v>7</v>
      </c>
      <c r="CC517" s="4">
        <v>1500</v>
      </c>
      <c r="DO517" s="4">
        <v>3</v>
      </c>
      <c r="DP517" s="4">
        <v>1500</v>
      </c>
      <c r="EA517" s="27">
        <v>96.28</v>
      </c>
      <c r="EB517" s="36">
        <v>0</v>
      </c>
      <c r="EC517" s="36"/>
      <c r="ED517" s="27">
        <v>96.28</v>
      </c>
    </row>
    <row r="518" customHeight="1" spans="1:149">
      <c r="A518" s="3">
        <v>17</v>
      </c>
      <c r="B518" s="4" t="s">
        <v>735</v>
      </c>
      <c r="C518" s="5" t="s">
        <v>736</v>
      </c>
      <c r="D518" s="4" t="s">
        <v>300</v>
      </c>
      <c r="E518" s="4" t="s">
        <v>737</v>
      </c>
      <c r="N518" s="4" t="s">
        <v>567</v>
      </c>
      <c r="O518" s="4" t="s">
        <v>343</v>
      </c>
      <c r="P518" s="4">
        <v>2.21</v>
      </c>
      <c r="Q518" s="4" t="s">
        <v>542</v>
      </c>
      <c r="X518" s="4">
        <v>0.78</v>
      </c>
      <c r="AA518" s="4" t="s">
        <v>738</v>
      </c>
      <c r="AB518" s="4" t="s">
        <v>739</v>
      </c>
      <c r="AC518" s="4" t="s">
        <v>740</v>
      </c>
      <c r="AD518" s="4" t="s">
        <v>741</v>
      </c>
      <c r="AE518" s="4" t="s">
        <v>742</v>
      </c>
      <c r="AF518" s="4" t="s">
        <v>743</v>
      </c>
      <c r="AH518" s="4" t="s">
        <v>394</v>
      </c>
      <c r="AN518" s="4">
        <v>6.8</v>
      </c>
      <c r="AO518" s="4">
        <v>6.04</v>
      </c>
      <c r="AQ518" s="4" t="s">
        <v>372</v>
      </c>
      <c r="AR518" s="4">
        <v>58.55</v>
      </c>
      <c r="AS518" s="4" t="s">
        <v>7</v>
      </c>
      <c r="AT518" s="4">
        <v>0.27</v>
      </c>
      <c r="BC518" s="4" t="s">
        <v>744</v>
      </c>
      <c r="BD518" s="4" t="s">
        <v>745</v>
      </c>
      <c r="BI518" s="4" t="s">
        <v>321</v>
      </c>
      <c r="BO518" s="4">
        <v>0.03</v>
      </c>
      <c r="CB518" s="4" t="s">
        <v>7</v>
      </c>
      <c r="CC518" s="4">
        <v>2000</v>
      </c>
      <c r="DO518" s="4">
        <v>3</v>
      </c>
      <c r="DP518" s="4">
        <v>2000</v>
      </c>
      <c r="EA518" s="27">
        <v>92.78</v>
      </c>
      <c r="EB518" s="36">
        <v>1.76</v>
      </c>
      <c r="EC518" s="36"/>
      <c r="ED518" s="27">
        <v>92.78</v>
      </c>
    </row>
    <row r="519" customHeight="1" spans="1:149">
      <c r="A519" s="3">
        <v>17</v>
      </c>
      <c r="B519" s="4" t="s">
        <v>735</v>
      </c>
      <c r="C519" s="5" t="s">
        <v>736</v>
      </c>
      <c r="D519" s="4" t="s">
        <v>300</v>
      </c>
      <c r="E519" s="4" t="s">
        <v>737</v>
      </c>
      <c r="N519" s="4" t="s">
        <v>567</v>
      </c>
      <c r="O519" s="4" t="s">
        <v>343</v>
      </c>
      <c r="P519" s="4">
        <v>2.21</v>
      </c>
      <c r="Q519" s="4" t="s">
        <v>542</v>
      </c>
      <c r="X519" s="4">
        <v>0.78</v>
      </c>
      <c r="AA519" s="4" t="s">
        <v>738</v>
      </c>
      <c r="AB519" s="4" t="s">
        <v>739</v>
      </c>
      <c r="AC519" s="4" t="s">
        <v>740</v>
      </c>
      <c r="AD519" s="4" t="s">
        <v>741</v>
      </c>
      <c r="AE519" s="4" t="s">
        <v>742</v>
      </c>
      <c r="AF519" s="4" t="s">
        <v>743</v>
      </c>
      <c r="AH519" s="4" t="s">
        <v>394</v>
      </c>
      <c r="AN519" s="4">
        <v>6.8</v>
      </c>
      <c r="AO519" s="4">
        <v>6.04</v>
      </c>
      <c r="AQ519" s="4" t="s">
        <v>372</v>
      </c>
      <c r="AR519" s="4">
        <v>58.55</v>
      </c>
      <c r="AS519" s="4" t="s">
        <v>7</v>
      </c>
      <c r="AT519" s="4">
        <v>0.27</v>
      </c>
      <c r="BC519" s="4" t="s">
        <v>744</v>
      </c>
      <c r="BD519" s="4" t="s">
        <v>745</v>
      </c>
      <c r="BI519" s="4" t="s">
        <v>321</v>
      </c>
      <c r="BO519" s="4">
        <v>0.07</v>
      </c>
      <c r="CB519" s="4" t="s">
        <v>372</v>
      </c>
      <c r="CC519" s="4">
        <v>200</v>
      </c>
      <c r="DO519" s="4">
        <v>3</v>
      </c>
      <c r="EP519" s="27">
        <v>97.81</v>
      </c>
      <c r="EQ519" s="36">
        <v>0</v>
      </c>
      <c r="ER519" s="36"/>
      <c r="ES519" s="27">
        <v>97.81</v>
      </c>
    </row>
    <row r="520" customHeight="1" spans="1:149">
      <c r="A520" s="3">
        <v>17</v>
      </c>
      <c r="B520" s="4" t="s">
        <v>735</v>
      </c>
      <c r="C520" s="5" t="s">
        <v>736</v>
      </c>
      <c r="D520" s="4" t="s">
        <v>300</v>
      </c>
      <c r="E520" s="4" t="s">
        <v>737</v>
      </c>
      <c r="N520" s="4" t="s">
        <v>567</v>
      </c>
      <c r="O520" s="4" t="s">
        <v>343</v>
      </c>
      <c r="P520" s="4">
        <v>2.21</v>
      </c>
      <c r="Q520" s="4" t="s">
        <v>542</v>
      </c>
      <c r="X520" s="4">
        <v>0.78</v>
      </c>
      <c r="AA520" s="4" t="s">
        <v>738</v>
      </c>
      <c r="AB520" s="4" t="s">
        <v>739</v>
      </c>
      <c r="AC520" s="4" t="s">
        <v>740</v>
      </c>
      <c r="AD520" s="4" t="s">
        <v>741</v>
      </c>
      <c r="AE520" s="4" t="s">
        <v>742</v>
      </c>
      <c r="AF520" s="4" t="s">
        <v>743</v>
      </c>
      <c r="AH520" s="4" t="s">
        <v>394</v>
      </c>
      <c r="AN520" s="4">
        <v>6.8</v>
      </c>
      <c r="AO520" s="4">
        <v>6.04</v>
      </c>
      <c r="AQ520" s="4" t="s">
        <v>372</v>
      </c>
      <c r="AR520" s="4">
        <v>58.55</v>
      </c>
      <c r="AS520" s="4" t="s">
        <v>7</v>
      </c>
      <c r="AT520" s="4">
        <v>0.27</v>
      </c>
      <c r="BC520" s="4" t="s">
        <v>744</v>
      </c>
      <c r="BD520" s="4" t="s">
        <v>745</v>
      </c>
      <c r="BI520" s="4" t="s">
        <v>321</v>
      </c>
      <c r="BO520" s="4">
        <v>0.07</v>
      </c>
      <c r="CB520" s="4" t="s">
        <v>372</v>
      </c>
      <c r="CC520" s="4">
        <v>400</v>
      </c>
      <c r="DO520" s="4">
        <v>3</v>
      </c>
      <c r="EP520" s="27">
        <v>91.47</v>
      </c>
      <c r="EQ520" s="36">
        <v>0</v>
      </c>
      <c r="ER520" s="36"/>
      <c r="ES520" s="27">
        <v>91.47</v>
      </c>
    </row>
    <row r="521" customHeight="1" spans="1:149">
      <c r="A521" s="3">
        <v>17</v>
      </c>
      <c r="B521" s="4" t="s">
        <v>735</v>
      </c>
      <c r="C521" s="5" t="s">
        <v>736</v>
      </c>
      <c r="D521" s="4" t="s">
        <v>300</v>
      </c>
      <c r="E521" s="4" t="s">
        <v>737</v>
      </c>
      <c r="N521" s="4" t="s">
        <v>567</v>
      </c>
      <c r="O521" s="4" t="s">
        <v>343</v>
      </c>
      <c r="P521" s="4">
        <v>2.21</v>
      </c>
      <c r="Q521" s="4" t="s">
        <v>542</v>
      </c>
      <c r="X521" s="4">
        <v>0.78</v>
      </c>
      <c r="AA521" s="4" t="s">
        <v>738</v>
      </c>
      <c r="AB521" s="4" t="s">
        <v>739</v>
      </c>
      <c r="AC521" s="4" t="s">
        <v>740</v>
      </c>
      <c r="AD521" s="4" t="s">
        <v>741</v>
      </c>
      <c r="AE521" s="4" t="s">
        <v>742</v>
      </c>
      <c r="AF521" s="4" t="s">
        <v>743</v>
      </c>
      <c r="AH521" s="4" t="s">
        <v>394</v>
      </c>
      <c r="AN521" s="4">
        <v>6.8</v>
      </c>
      <c r="AO521" s="4">
        <v>6.04</v>
      </c>
      <c r="AQ521" s="4" t="s">
        <v>372</v>
      </c>
      <c r="AR521" s="4">
        <v>58.55</v>
      </c>
      <c r="AS521" s="4" t="s">
        <v>7</v>
      </c>
      <c r="AT521" s="4">
        <v>0.27</v>
      </c>
      <c r="BC521" s="4" t="s">
        <v>744</v>
      </c>
      <c r="BD521" s="4" t="s">
        <v>745</v>
      </c>
      <c r="BI521" s="4" t="s">
        <v>321</v>
      </c>
      <c r="BO521" s="4">
        <v>0.07</v>
      </c>
      <c r="CB521" s="4" t="s">
        <v>372</v>
      </c>
      <c r="CC521" s="4">
        <v>600</v>
      </c>
      <c r="DO521" s="4">
        <v>3</v>
      </c>
      <c r="EP521" s="27">
        <v>79.21</v>
      </c>
      <c r="EQ521" s="36">
        <v>5.48</v>
      </c>
      <c r="ER521" s="36"/>
      <c r="ES521" s="27">
        <v>79.21</v>
      </c>
    </row>
    <row r="522" customHeight="1" spans="1:149">
      <c r="A522" s="3">
        <v>17</v>
      </c>
      <c r="B522" s="4" t="s">
        <v>735</v>
      </c>
      <c r="C522" s="5" t="s">
        <v>736</v>
      </c>
      <c r="D522" s="4" t="s">
        <v>300</v>
      </c>
      <c r="E522" s="4" t="s">
        <v>737</v>
      </c>
      <c r="N522" s="4" t="s">
        <v>567</v>
      </c>
      <c r="O522" s="4" t="s">
        <v>343</v>
      </c>
      <c r="P522" s="4">
        <v>2.21</v>
      </c>
      <c r="Q522" s="4" t="s">
        <v>542</v>
      </c>
      <c r="X522" s="4">
        <v>0.78</v>
      </c>
      <c r="AA522" s="4" t="s">
        <v>738</v>
      </c>
      <c r="AB522" s="4" t="s">
        <v>739</v>
      </c>
      <c r="AC522" s="4" t="s">
        <v>740</v>
      </c>
      <c r="AD522" s="4" t="s">
        <v>741</v>
      </c>
      <c r="AE522" s="4" t="s">
        <v>742</v>
      </c>
      <c r="AF522" s="4" t="s">
        <v>743</v>
      </c>
      <c r="AH522" s="4" t="s">
        <v>394</v>
      </c>
      <c r="AN522" s="4">
        <v>6.8</v>
      </c>
      <c r="AO522" s="4">
        <v>6.04</v>
      </c>
      <c r="AQ522" s="4" t="s">
        <v>372</v>
      </c>
      <c r="AR522" s="4">
        <v>58.55</v>
      </c>
      <c r="AS522" s="4" t="s">
        <v>7</v>
      </c>
      <c r="AT522" s="4">
        <v>0.27</v>
      </c>
      <c r="BC522" s="4" t="s">
        <v>744</v>
      </c>
      <c r="BD522" s="4" t="s">
        <v>745</v>
      </c>
      <c r="BI522" s="4" t="s">
        <v>321</v>
      </c>
      <c r="BO522" s="4">
        <v>0.07</v>
      </c>
      <c r="CB522" s="4" t="s">
        <v>372</v>
      </c>
      <c r="CC522" s="4">
        <v>800</v>
      </c>
      <c r="DO522" s="4">
        <v>3</v>
      </c>
      <c r="EP522" s="27">
        <v>54.05</v>
      </c>
      <c r="EQ522" s="36">
        <v>0.66</v>
      </c>
      <c r="ER522" s="36"/>
      <c r="ES522" s="27">
        <v>54.05</v>
      </c>
    </row>
    <row r="523" customHeight="1" spans="1:149">
      <c r="A523" s="3">
        <v>17</v>
      </c>
      <c r="B523" s="4" t="s">
        <v>735</v>
      </c>
      <c r="C523" s="5" t="s">
        <v>736</v>
      </c>
      <c r="D523" s="4" t="s">
        <v>300</v>
      </c>
      <c r="E523" s="4" t="s">
        <v>737</v>
      </c>
      <c r="N523" s="4" t="s">
        <v>567</v>
      </c>
      <c r="O523" s="4" t="s">
        <v>343</v>
      </c>
      <c r="P523" s="4">
        <v>2.21</v>
      </c>
      <c r="Q523" s="4" t="s">
        <v>542</v>
      </c>
      <c r="X523" s="4">
        <v>0.78</v>
      </c>
      <c r="AA523" s="4" t="s">
        <v>738</v>
      </c>
      <c r="AB523" s="4" t="s">
        <v>739</v>
      </c>
      <c r="AC523" s="4" t="s">
        <v>740</v>
      </c>
      <c r="AD523" s="4" t="s">
        <v>741</v>
      </c>
      <c r="AE523" s="4" t="s">
        <v>742</v>
      </c>
      <c r="AF523" s="4" t="s">
        <v>743</v>
      </c>
      <c r="AH523" s="4" t="s">
        <v>394</v>
      </c>
      <c r="AN523" s="4">
        <v>6.8</v>
      </c>
      <c r="AO523" s="4">
        <v>6.04</v>
      </c>
      <c r="AQ523" s="4" t="s">
        <v>372</v>
      </c>
      <c r="AR523" s="4">
        <v>58.55</v>
      </c>
      <c r="AS523" s="4" t="s">
        <v>7</v>
      </c>
      <c r="AT523" s="4">
        <v>0.27</v>
      </c>
      <c r="BC523" s="4" t="s">
        <v>744</v>
      </c>
      <c r="BD523" s="4" t="s">
        <v>745</v>
      </c>
      <c r="BI523" s="4" t="s">
        <v>321</v>
      </c>
      <c r="BO523" s="4">
        <v>0.07</v>
      </c>
      <c r="CB523" s="4" t="s">
        <v>372</v>
      </c>
      <c r="CC523" s="4">
        <v>1000</v>
      </c>
      <c r="DO523" s="4">
        <v>3</v>
      </c>
      <c r="EP523" s="27">
        <v>59.96</v>
      </c>
      <c r="EQ523" s="36">
        <v>0</v>
      </c>
      <c r="ER523" s="36"/>
      <c r="ES523" s="27">
        <v>59.96</v>
      </c>
    </row>
    <row r="524" customHeight="1" spans="1:149">
      <c r="A524" s="3">
        <v>17</v>
      </c>
      <c r="B524" s="4" t="s">
        <v>735</v>
      </c>
      <c r="C524" s="5" t="s">
        <v>736</v>
      </c>
      <c r="D524" s="4" t="s">
        <v>300</v>
      </c>
      <c r="E524" s="4" t="s">
        <v>737</v>
      </c>
      <c r="N524" s="4" t="s">
        <v>567</v>
      </c>
      <c r="O524" s="4" t="s">
        <v>343</v>
      </c>
      <c r="P524" s="4">
        <v>2.21</v>
      </c>
      <c r="Q524" s="4" t="s">
        <v>542</v>
      </c>
      <c r="X524" s="4">
        <v>0.78</v>
      </c>
      <c r="AA524" s="4" t="s">
        <v>738</v>
      </c>
      <c r="AB524" s="4" t="s">
        <v>739</v>
      </c>
      <c r="AC524" s="4" t="s">
        <v>740</v>
      </c>
      <c r="AD524" s="4" t="s">
        <v>741</v>
      </c>
      <c r="AE524" s="4" t="s">
        <v>742</v>
      </c>
      <c r="AF524" s="4" t="s">
        <v>743</v>
      </c>
      <c r="AH524" s="4" t="s">
        <v>394</v>
      </c>
      <c r="AN524" s="4">
        <v>6.8</v>
      </c>
      <c r="AO524" s="4">
        <v>6.04</v>
      </c>
      <c r="AQ524" s="4" t="s">
        <v>372</v>
      </c>
      <c r="AR524" s="4">
        <v>58.55</v>
      </c>
      <c r="AS524" s="4" t="s">
        <v>7</v>
      </c>
      <c r="AT524" s="4">
        <v>0.27</v>
      </c>
      <c r="BC524" s="4" t="s">
        <v>744</v>
      </c>
      <c r="BD524" s="4" t="s">
        <v>745</v>
      </c>
      <c r="BI524" s="4" t="s">
        <v>321</v>
      </c>
      <c r="BK524" s="4">
        <v>5</v>
      </c>
      <c r="BL524" s="4">
        <v>1</v>
      </c>
      <c r="BO524" s="4">
        <v>0</v>
      </c>
      <c r="BV524" s="4">
        <v>2880</v>
      </c>
      <c r="CB524" s="4" t="s">
        <v>7</v>
      </c>
      <c r="CD524" s="4">
        <v>1000</v>
      </c>
      <c r="DO524" s="4">
        <v>3</v>
      </c>
      <c r="DP524" s="4">
        <v>1000</v>
      </c>
      <c r="DS524" s="4">
        <v>25.42</v>
      </c>
      <c r="EC524" s="1">
        <f>(DP524-DS524)/DP524*100</f>
        <v>97.458</v>
      </c>
      <c r="ED524" s="1">
        <v>97.458</v>
      </c>
    </row>
    <row r="525" customHeight="1" spans="1:149">
      <c r="A525" s="3">
        <v>17</v>
      </c>
      <c r="B525" s="4" t="s">
        <v>735</v>
      </c>
      <c r="C525" s="5" t="s">
        <v>736</v>
      </c>
      <c r="D525" s="4" t="s">
        <v>300</v>
      </c>
      <c r="E525" s="4" t="s">
        <v>737</v>
      </c>
      <c r="N525" s="4" t="s">
        <v>567</v>
      </c>
      <c r="O525" s="4" t="s">
        <v>343</v>
      </c>
      <c r="P525" s="4">
        <v>2.21</v>
      </c>
      <c r="Q525" s="4" t="s">
        <v>542</v>
      </c>
      <c r="X525" s="4">
        <v>0.78</v>
      </c>
      <c r="AA525" s="4" t="s">
        <v>738</v>
      </c>
      <c r="AB525" s="4" t="s">
        <v>739</v>
      </c>
      <c r="AC525" s="4" t="s">
        <v>740</v>
      </c>
      <c r="AD525" s="4" t="s">
        <v>741</v>
      </c>
      <c r="AE525" s="4" t="s">
        <v>742</v>
      </c>
      <c r="AF525" s="4" t="s">
        <v>743</v>
      </c>
      <c r="AH525" s="4" t="s">
        <v>394</v>
      </c>
      <c r="AN525" s="4">
        <v>6.8</v>
      </c>
      <c r="AO525" s="4">
        <v>6.04</v>
      </c>
      <c r="AQ525" s="4" t="s">
        <v>372</v>
      </c>
      <c r="AR525" s="4">
        <v>58.55</v>
      </c>
      <c r="AS525" s="4" t="s">
        <v>7</v>
      </c>
      <c r="AT525" s="4">
        <v>0.27</v>
      </c>
      <c r="BC525" s="4" t="s">
        <v>744</v>
      </c>
      <c r="BD525" s="4" t="s">
        <v>745</v>
      </c>
      <c r="BI525" s="4" t="s">
        <v>321</v>
      </c>
      <c r="BK525" s="4">
        <v>5</v>
      </c>
      <c r="BL525" s="4">
        <v>1</v>
      </c>
      <c r="BO525" s="4">
        <v>0.03</v>
      </c>
      <c r="BV525" s="4">
        <v>2880</v>
      </c>
      <c r="CB525" s="4" t="s">
        <v>8</v>
      </c>
      <c r="CD525" s="4">
        <v>600</v>
      </c>
      <c r="DO525" s="4">
        <v>3</v>
      </c>
      <c r="DP525" s="4">
        <v>600</v>
      </c>
      <c r="EH525" s="4">
        <v>20.26</v>
      </c>
      <c r="ER525" s="1">
        <f>(CD525-EH525)/CD525*100</f>
        <v>96.6233333333333</v>
      </c>
      <c r="ES525" s="1">
        <v>96.6233333333333</v>
      </c>
    </row>
    <row r="526" customHeight="1" spans="1:149">
      <c r="A526" s="3">
        <v>17</v>
      </c>
      <c r="B526" s="4" t="s">
        <v>735</v>
      </c>
      <c r="C526" s="5" t="s">
        <v>736</v>
      </c>
      <c r="D526" s="4" t="s">
        <v>300</v>
      </c>
      <c r="E526" s="4" t="s">
        <v>737</v>
      </c>
      <c r="N526" s="4" t="s">
        <v>567</v>
      </c>
      <c r="O526" s="4" t="s">
        <v>343</v>
      </c>
      <c r="P526" s="4">
        <v>2.21</v>
      </c>
      <c r="Q526" s="4" t="s">
        <v>542</v>
      </c>
      <c r="X526" s="4">
        <v>0.78</v>
      </c>
      <c r="AA526" s="4" t="s">
        <v>738</v>
      </c>
      <c r="AB526" s="4" t="s">
        <v>739</v>
      </c>
      <c r="AC526" s="4" t="s">
        <v>740</v>
      </c>
      <c r="AD526" s="4" t="s">
        <v>741</v>
      </c>
      <c r="AE526" s="4" t="s">
        <v>742</v>
      </c>
      <c r="AF526" s="4" t="s">
        <v>743</v>
      </c>
      <c r="AH526" s="4" t="s">
        <v>394</v>
      </c>
      <c r="AN526" s="4">
        <v>6.8</v>
      </c>
      <c r="AO526" s="4">
        <v>6.04</v>
      </c>
      <c r="AQ526" s="4" t="s">
        <v>372</v>
      </c>
      <c r="AR526" s="4">
        <v>58.55</v>
      </c>
      <c r="AS526" s="4" t="s">
        <v>7</v>
      </c>
      <c r="AT526" s="4">
        <v>0.27</v>
      </c>
      <c r="BC526" s="4" t="s">
        <v>744</v>
      </c>
      <c r="BD526" s="4" t="s">
        <v>745</v>
      </c>
      <c r="BI526" s="4" t="s">
        <v>321</v>
      </c>
      <c r="BK526" s="4">
        <v>5</v>
      </c>
      <c r="BL526" s="4">
        <v>1</v>
      </c>
      <c r="BO526" s="4">
        <v>0</v>
      </c>
      <c r="BV526" s="4">
        <v>2880</v>
      </c>
      <c r="CB526" s="4" t="s">
        <v>7</v>
      </c>
      <c r="CD526" s="4">
        <v>1000</v>
      </c>
      <c r="DO526" s="4">
        <v>3</v>
      </c>
      <c r="DP526" s="4">
        <v>1000</v>
      </c>
      <c r="DS526" s="4">
        <v>44.69</v>
      </c>
      <c r="EC526" s="1">
        <f>(DP526-DS526)/DP526*100</f>
        <v>95.531</v>
      </c>
      <c r="ED526" s="1">
        <v>95.531</v>
      </c>
    </row>
    <row r="527" customHeight="1" spans="1:149">
      <c r="A527" s="3">
        <v>17</v>
      </c>
      <c r="B527" s="4" t="s">
        <v>735</v>
      </c>
      <c r="C527" s="5" t="s">
        <v>736</v>
      </c>
      <c r="D527" s="4" t="s">
        <v>300</v>
      </c>
      <c r="E527" s="4" t="s">
        <v>737</v>
      </c>
      <c r="N527" s="4" t="s">
        <v>567</v>
      </c>
      <c r="O527" s="4" t="s">
        <v>343</v>
      </c>
      <c r="P527" s="4">
        <v>2.21</v>
      </c>
      <c r="Q527" s="4" t="s">
        <v>542</v>
      </c>
      <c r="X527" s="4">
        <v>0.78</v>
      </c>
      <c r="AA527" s="4" t="s">
        <v>738</v>
      </c>
      <c r="AB527" s="4" t="s">
        <v>739</v>
      </c>
      <c r="AC527" s="4" t="s">
        <v>740</v>
      </c>
      <c r="AD527" s="4" t="s">
        <v>741</v>
      </c>
      <c r="AE527" s="4" t="s">
        <v>742</v>
      </c>
      <c r="AF527" s="4" t="s">
        <v>743</v>
      </c>
      <c r="AH527" s="4" t="s">
        <v>394</v>
      </c>
      <c r="AN527" s="4">
        <v>6.8</v>
      </c>
      <c r="AO527" s="4">
        <v>6.04</v>
      </c>
      <c r="AQ527" s="4" t="s">
        <v>372</v>
      </c>
      <c r="AR527" s="4">
        <v>58.55</v>
      </c>
      <c r="AS527" s="4" t="s">
        <v>7</v>
      </c>
      <c r="AT527" s="4">
        <v>0.27</v>
      </c>
      <c r="BC527" s="4" t="s">
        <v>744</v>
      </c>
      <c r="BD527" s="4" t="s">
        <v>745</v>
      </c>
      <c r="BI527" s="4" t="s">
        <v>321</v>
      </c>
      <c r="BK527" s="4">
        <v>5</v>
      </c>
      <c r="BL527" s="4">
        <v>1</v>
      </c>
      <c r="BO527" s="4">
        <v>0.07</v>
      </c>
      <c r="BV527" s="4">
        <v>2880</v>
      </c>
      <c r="CB527" s="4" t="s">
        <v>8</v>
      </c>
      <c r="CD527" s="4">
        <v>600</v>
      </c>
      <c r="DO527" s="4">
        <v>3</v>
      </c>
      <c r="DP527" s="4">
        <v>600</v>
      </c>
      <c r="EH527" s="4">
        <v>12.09</v>
      </c>
      <c r="ER527" s="1">
        <f>(CD527-EH527)/CD527*100</f>
        <v>97.985</v>
      </c>
      <c r="ES527" s="1">
        <v>97.985</v>
      </c>
    </row>
    <row r="528" customHeight="1" spans="1:149">
      <c r="A528" s="3">
        <v>17</v>
      </c>
      <c r="B528" s="4" t="s">
        <v>735</v>
      </c>
      <c r="C528" s="5" t="s">
        <v>736</v>
      </c>
      <c r="D528" s="4" t="s">
        <v>300</v>
      </c>
      <c r="E528" s="4" t="s">
        <v>737</v>
      </c>
      <c r="N528" s="4" t="s">
        <v>567</v>
      </c>
      <c r="O528" s="4" t="s">
        <v>343</v>
      </c>
      <c r="P528" s="4">
        <v>2.21</v>
      </c>
      <c r="Q528" s="4" t="s">
        <v>542</v>
      </c>
      <c r="X528" s="4">
        <v>0.78</v>
      </c>
      <c r="AA528" s="4" t="s">
        <v>738</v>
      </c>
      <c r="AB528" s="4" t="s">
        <v>739</v>
      </c>
      <c r="AC528" s="4" t="s">
        <v>740</v>
      </c>
      <c r="AD528" s="4" t="s">
        <v>741</v>
      </c>
      <c r="AE528" s="4" t="s">
        <v>742</v>
      </c>
      <c r="AF528" s="4" t="s">
        <v>743</v>
      </c>
      <c r="AH528" s="4" t="s">
        <v>394</v>
      </c>
      <c r="AN528" s="4">
        <v>6.8</v>
      </c>
      <c r="AO528" s="4">
        <v>6.04</v>
      </c>
      <c r="AQ528" s="4" t="s">
        <v>372</v>
      </c>
      <c r="AR528" s="4">
        <v>58.55</v>
      </c>
      <c r="AS528" s="4" t="s">
        <v>7</v>
      </c>
      <c r="AT528" s="4">
        <v>0.27</v>
      </c>
      <c r="BC528" s="4" t="s">
        <v>744</v>
      </c>
      <c r="BD528" s="4" t="s">
        <v>745</v>
      </c>
      <c r="BI528" s="1" t="s">
        <v>407</v>
      </c>
      <c r="DO528" s="4">
        <v>3</v>
      </c>
    </row>
    <row r="529" customHeight="1" spans="1:313">
      <c r="A529" s="3">
        <v>17</v>
      </c>
      <c r="B529" s="4" t="s">
        <v>735</v>
      </c>
      <c r="C529" s="5" t="s">
        <v>736</v>
      </c>
      <c r="D529" s="4" t="s">
        <v>300</v>
      </c>
      <c r="E529" s="4" t="s">
        <v>737</v>
      </c>
      <c r="N529" s="4" t="s">
        <v>567</v>
      </c>
      <c r="O529" s="4" t="s">
        <v>343</v>
      </c>
      <c r="P529" s="4">
        <v>2.21</v>
      </c>
      <c r="Q529" s="4" t="s">
        <v>542</v>
      </c>
      <c r="X529" s="4">
        <v>0.78</v>
      </c>
      <c r="AA529" s="4" t="s">
        <v>738</v>
      </c>
      <c r="AB529" s="4" t="s">
        <v>739</v>
      </c>
      <c r="AC529" s="4" t="s">
        <v>740</v>
      </c>
      <c r="AD529" s="4" t="s">
        <v>741</v>
      </c>
      <c r="AE529" s="4" t="s">
        <v>742</v>
      </c>
      <c r="AF529" s="4" t="s">
        <v>743</v>
      </c>
      <c r="AH529" s="4" t="s">
        <v>394</v>
      </c>
      <c r="AN529" s="4">
        <v>6.8</v>
      </c>
      <c r="AO529" s="4">
        <v>6.04</v>
      </c>
      <c r="AQ529" s="4" t="s">
        <v>372</v>
      </c>
      <c r="AR529" s="4">
        <v>58.55</v>
      </c>
      <c r="AS529" s="4" t="s">
        <v>7</v>
      </c>
      <c r="AT529" s="4">
        <v>0.27</v>
      </c>
      <c r="BC529" s="4" t="s">
        <v>744</v>
      </c>
      <c r="BD529" s="4" t="s">
        <v>745</v>
      </c>
      <c r="BI529" s="1" t="s">
        <v>321</v>
      </c>
      <c r="DO529" s="4">
        <v>3</v>
      </c>
    </row>
    <row r="530" customHeight="1" spans="1:313">
      <c r="A530" s="3">
        <v>17</v>
      </c>
      <c r="B530" s="4" t="s">
        <v>735</v>
      </c>
      <c r="C530" s="5" t="s">
        <v>736</v>
      </c>
      <c r="D530" s="4" t="s">
        <v>300</v>
      </c>
      <c r="E530" s="4" t="s">
        <v>737</v>
      </c>
      <c r="N530" s="4" t="s">
        <v>567</v>
      </c>
      <c r="O530" s="4" t="s">
        <v>343</v>
      </c>
      <c r="P530" s="4">
        <v>2.21</v>
      </c>
      <c r="Q530" s="4" t="s">
        <v>542</v>
      </c>
      <c r="X530" s="4">
        <v>0.78</v>
      </c>
      <c r="AA530" s="4" t="s">
        <v>738</v>
      </c>
      <c r="AB530" s="4" t="s">
        <v>739</v>
      </c>
      <c r="AC530" s="4" t="s">
        <v>740</v>
      </c>
      <c r="AD530" s="4" t="s">
        <v>741</v>
      </c>
      <c r="AE530" s="4" t="s">
        <v>742</v>
      </c>
      <c r="AF530" s="4" t="s">
        <v>743</v>
      </c>
      <c r="AH530" s="4" t="s">
        <v>394</v>
      </c>
      <c r="AN530" s="4">
        <v>6.8</v>
      </c>
      <c r="AO530" s="4">
        <v>6.04</v>
      </c>
      <c r="AQ530" s="4" t="s">
        <v>372</v>
      </c>
      <c r="AR530" s="4">
        <v>58.55</v>
      </c>
      <c r="AS530" s="4" t="s">
        <v>7</v>
      </c>
      <c r="AT530" s="4">
        <v>0.27</v>
      </c>
      <c r="BC530" s="4" t="s">
        <v>744</v>
      </c>
      <c r="BD530" s="4" t="s">
        <v>745</v>
      </c>
      <c r="BI530" s="1" t="s">
        <v>321</v>
      </c>
      <c r="DO530" s="4">
        <v>3</v>
      </c>
    </row>
    <row r="531" customHeight="1" spans="1:313">
      <c r="A531" s="3">
        <v>17</v>
      </c>
      <c r="B531" s="4" t="s">
        <v>735</v>
      </c>
      <c r="C531" s="5" t="s">
        <v>736</v>
      </c>
      <c r="D531" s="4" t="s">
        <v>300</v>
      </c>
      <c r="E531" s="4" t="s">
        <v>737</v>
      </c>
      <c r="N531" s="4" t="s">
        <v>567</v>
      </c>
      <c r="O531" s="4" t="s">
        <v>343</v>
      </c>
      <c r="P531" s="4">
        <v>2.21</v>
      </c>
      <c r="Q531" s="4" t="s">
        <v>542</v>
      </c>
      <c r="X531" s="4">
        <v>0.78</v>
      </c>
      <c r="AA531" s="4" t="s">
        <v>738</v>
      </c>
      <c r="AB531" s="4" t="s">
        <v>739</v>
      </c>
      <c r="AC531" s="4" t="s">
        <v>740</v>
      </c>
      <c r="AD531" s="4" t="s">
        <v>741</v>
      </c>
      <c r="AE531" s="4" t="s">
        <v>742</v>
      </c>
      <c r="AF531" s="4" t="s">
        <v>743</v>
      </c>
      <c r="AH531" s="4" t="s">
        <v>394</v>
      </c>
      <c r="AN531" s="4">
        <v>6.8</v>
      </c>
      <c r="AO531" s="4">
        <v>6.04</v>
      </c>
      <c r="AQ531" s="4" t="s">
        <v>372</v>
      </c>
      <c r="AR531" s="4">
        <v>58.55</v>
      </c>
      <c r="AS531" s="4" t="s">
        <v>7</v>
      </c>
      <c r="AT531" s="4">
        <v>0.27</v>
      </c>
      <c r="BC531" s="4" t="s">
        <v>744</v>
      </c>
      <c r="BD531" s="4" t="s">
        <v>745</v>
      </c>
      <c r="BI531" s="1" t="s">
        <v>407</v>
      </c>
      <c r="DO531" s="4">
        <v>3</v>
      </c>
    </row>
    <row r="532" customHeight="1" spans="1:313">
      <c r="A532" s="3">
        <v>17</v>
      </c>
      <c r="B532" s="4" t="s">
        <v>735</v>
      </c>
      <c r="C532" s="5" t="s">
        <v>736</v>
      </c>
      <c r="D532" s="4" t="s">
        <v>300</v>
      </c>
      <c r="E532" s="4" t="s">
        <v>737</v>
      </c>
      <c r="N532" s="4" t="s">
        <v>567</v>
      </c>
      <c r="O532" s="4" t="s">
        <v>343</v>
      </c>
      <c r="P532" s="4">
        <v>2.21</v>
      </c>
      <c r="Q532" s="4" t="s">
        <v>542</v>
      </c>
      <c r="X532" s="4">
        <v>0.78</v>
      </c>
      <c r="AA532" s="4" t="s">
        <v>738</v>
      </c>
      <c r="AB532" s="4" t="s">
        <v>739</v>
      </c>
      <c r="AC532" s="4" t="s">
        <v>740</v>
      </c>
      <c r="AD532" s="4" t="s">
        <v>741</v>
      </c>
      <c r="AE532" s="4" t="s">
        <v>742</v>
      </c>
      <c r="AF532" s="4" t="s">
        <v>743</v>
      </c>
      <c r="AH532" s="4" t="s">
        <v>394</v>
      </c>
      <c r="AN532" s="4">
        <v>6.8</v>
      </c>
      <c r="AO532" s="4">
        <v>6.04</v>
      </c>
      <c r="AQ532" s="4" t="s">
        <v>372</v>
      </c>
      <c r="AR532" s="4">
        <v>58.55</v>
      </c>
      <c r="AS532" s="4" t="s">
        <v>7</v>
      </c>
      <c r="AT532" s="4">
        <v>0.27</v>
      </c>
      <c r="BC532" s="4" t="s">
        <v>744</v>
      </c>
      <c r="BD532" s="4" t="s">
        <v>745</v>
      </c>
      <c r="BI532" s="1" t="s">
        <v>321</v>
      </c>
      <c r="DO532" s="4">
        <v>3</v>
      </c>
    </row>
    <row r="533" customHeight="1" spans="1:313">
      <c r="A533" s="3">
        <v>17</v>
      </c>
      <c r="B533" s="4" t="s">
        <v>735</v>
      </c>
      <c r="C533" s="5" t="s">
        <v>736</v>
      </c>
      <c r="D533" s="4" t="s">
        <v>300</v>
      </c>
      <c r="E533" s="4" t="s">
        <v>737</v>
      </c>
      <c r="N533" s="4" t="s">
        <v>567</v>
      </c>
      <c r="O533" s="4" t="s">
        <v>343</v>
      </c>
      <c r="P533" s="4">
        <v>2.21</v>
      </c>
      <c r="Q533" s="4" t="s">
        <v>542</v>
      </c>
      <c r="X533" s="4">
        <v>0.78</v>
      </c>
      <c r="AA533" s="4" t="s">
        <v>738</v>
      </c>
      <c r="AB533" s="4" t="s">
        <v>739</v>
      </c>
      <c r="AC533" s="4" t="s">
        <v>740</v>
      </c>
      <c r="AD533" s="4" t="s">
        <v>741</v>
      </c>
      <c r="AE533" s="4" t="s">
        <v>742</v>
      </c>
      <c r="AF533" s="4" t="s">
        <v>743</v>
      </c>
      <c r="AH533" s="4" t="s">
        <v>394</v>
      </c>
      <c r="AN533" s="4">
        <v>6.8</v>
      </c>
      <c r="AO533" s="4">
        <v>6.04</v>
      </c>
      <c r="AQ533" s="4" t="s">
        <v>372</v>
      </c>
      <c r="AR533" s="4">
        <v>58.55</v>
      </c>
      <c r="AS533" s="4" t="s">
        <v>7</v>
      </c>
      <c r="AT533" s="4">
        <v>0.27</v>
      </c>
      <c r="BC533" s="4" t="s">
        <v>744</v>
      </c>
      <c r="BD533" s="4" t="s">
        <v>745</v>
      </c>
      <c r="BI533" s="1" t="s">
        <v>321</v>
      </c>
      <c r="DO533" s="4">
        <v>3</v>
      </c>
    </row>
    <row r="534" customHeight="1" spans="1:313">
      <c r="A534" s="16">
        <v>18</v>
      </c>
      <c r="B534" s="4" t="s">
        <v>748</v>
      </c>
      <c r="C534" s="5" t="s">
        <v>749</v>
      </c>
      <c r="D534" s="4" t="s">
        <v>529</v>
      </c>
      <c r="H534" s="4" t="s">
        <v>328</v>
      </c>
      <c r="I534" s="4" t="s">
        <v>750</v>
      </c>
      <c r="J534" s="4">
        <v>15</v>
      </c>
      <c r="N534" s="4" t="s">
        <v>751</v>
      </c>
      <c r="O534" s="4" t="s">
        <v>343</v>
      </c>
      <c r="Q534" s="4" t="s">
        <v>539</v>
      </c>
      <c r="AB534" s="4" t="s">
        <v>752</v>
      </c>
      <c r="AC534" s="4" t="s">
        <v>753</v>
      </c>
      <c r="AD534" s="4" t="s">
        <v>754</v>
      </c>
      <c r="AE534" s="4" t="s">
        <v>755</v>
      </c>
      <c r="AF534" s="4" t="s">
        <v>756</v>
      </c>
      <c r="AL534" s="4" t="s">
        <v>757</v>
      </c>
      <c r="BD534" s="4" t="s">
        <v>758</v>
      </c>
      <c r="BI534" s="4" t="s">
        <v>321</v>
      </c>
      <c r="BK534" s="4">
        <v>5</v>
      </c>
      <c r="BO534" s="4">
        <v>0.05</v>
      </c>
      <c r="BU534" s="4" t="s">
        <v>398</v>
      </c>
      <c r="CB534" s="4" t="s">
        <v>372</v>
      </c>
      <c r="DO534" s="4">
        <v>3</v>
      </c>
      <c r="EP534" s="4">
        <v>54.54</v>
      </c>
      <c r="ES534" s="4">
        <v>54.54</v>
      </c>
      <c r="KZ534" s="1" t="s">
        <v>759</v>
      </c>
      <c r="LA534" s="1" t="s">
        <v>760</v>
      </c>
    </row>
    <row r="535" customHeight="1" spans="1:313">
      <c r="A535" s="16">
        <v>18</v>
      </c>
      <c r="B535" s="4" t="s">
        <v>748</v>
      </c>
      <c r="C535" s="5" t="s">
        <v>749</v>
      </c>
      <c r="D535" s="4" t="s">
        <v>529</v>
      </c>
      <c r="H535" s="4" t="s">
        <v>328</v>
      </c>
      <c r="I535" s="4" t="s">
        <v>750</v>
      </c>
      <c r="J535" s="4">
        <v>21</v>
      </c>
      <c r="N535" s="4" t="s">
        <v>751</v>
      </c>
      <c r="O535" s="4" t="s">
        <v>343</v>
      </c>
      <c r="Q535" s="4" t="s">
        <v>539</v>
      </c>
      <c r="AB535" s="4" t="s">
        <v>752</v>
      </c>
      <c r="AC535" s="4" t="s">
        <v>753</v>
      </c>
      <c r="AD535" s="4" t="s">
        <v>754</v>
      </c>
      <c r="AE535" s="4" t="s">
        <v>755</v>
      </c>
      <c r="AF535" s="4" t="s">
        <v>756</v>
      </c>
      <c r="AL535" s="4" t="s">
        <v>757</v>
      </c>
      <c r="BD535" s="4" t="s">
        <v>758</v>
      </c>
      <c r="BI535" s="4" t="s">
        <v>321</v>
      </c>
      <c r="BK535" s="4">
        <v>5</v>
      </c>
      <c r="BO535" s="4">
        <v>0.05</v>
      </c>
      <c r="BU535" s="4" t="s">
        <v>398</v>
      </c>
      <c r="CB535" s="4" t="s">
        <v>372</v>
      </c>
      <c r="DO535" s="4">
        <v>3</v>
      </c>
      <c r="EP535" s="4">
        <v>80.15</v>
      </c>
      <c r="ES535" s="4">
        <v>80.15</v>
      </c>
    </row>
    <row r="536" customHeight="1" spans="1:313">
      <c r="A536" s="16">
        <v>18</v>
      </c>
      <c r="B536" s="4" t="s">
        <v>748</v>
      </c>
      <c r="C536" s="5" t="s">
        <v>749</v>
      </c>
      <c r="D536" s="4" t="s">
        <v>529</v>
      </c>
      <c r="H536" s="4" t="s">
        <v>328</v>
      </c>
      <c r="I536" s="4" t="s">
        <v>750</v>
      </c>
      <c r="J536" s="4">
        <v>28</v>
      </c>
      <c r="N536" s="4" t="s">
        <v>751</v>
      </c>
      <c r="O536" s="4" t="s">
        <v>343</v>
      </c>
      <c r="Q536" s="4" t="s">
        <v>539</v>
      </c>
      <c r="AB536" s="4" t="s">
        <v>752</v>
      </c>
      <c r="AC536" s="4" t="s">
        <v>753</v>
      </c>
      <c r="AD536" s="4" t="s">
        <v>754</v>
      </c>
      <c r="AE536" s="4" t="s">
        <v>755</v>
      </c>
      <c r="AF536" s="4" t="s">
        <v>756</v>
      </c>
      <c r="AL536" s="4" t="s">
        <v>757</v>
      </c>
      <c r="BD536" s="4" t="s">
        <v>758</v>
      </c>
      <c r="BI536" s="4" t="s">
        <v>321</v>
      </c>
      <c r="BK536" s="4">
        <v>5</v>
      </c>
      <c r="BO536" s="4">
        <v>0.05</v>
      </c>
      <c r="BU536" s="4" t="s">
        <v>398</v>
      </c>
      <c r="CB536" s="4" t="s">
        <v>372</v>
      </c>
      <c r="DO536" s="4">
        <v>3</v>
      </c>
      <c r="EP536" s="4">
        <v>92.63</v>
      </c>
      <c r="ES536" s="4">
        <v>92.63</v>
      </c>
    </row>
    <row r="537" customHeight="1" spans="1:313">
      <c r="A537" s="16">
        <v>18</v>
      </c>
      <c r="B537" s="4" t="s">
        <v>748</v>
      </c>
      <c r="C537" s="5" t="s">
        <v>749</v>
      </c>
      <c r="D537" s="4" t="s">
        <v>529</v>
      </c>
      <c r="H537" s="4" t="s">
        <v>328</v>
      </c>
      <c r="I537" s="4" t="s">
        <v>750</v>
      </c>
      <c r="J537" s="4">
        <v>21</v>
      </c>
      <c r="N537" s="4" t="s">
        <v>751</v>
      </c>
      <c r="O537" s="4" t="s">
        <v>343</v>
      </c>
      <c r="Q537" s="4" t="s">
        <v>539</v>
      </c>
      <c r="AB537" s="4" t="s">
        <v>752</v>
      </c>
      <c r="AC537" s="4" t="s">
        <v>753</v>
      </c>
      <c r="AD537" s="4" t="s">
        <v>754</v>
      </c>
      <c r="AE537" s="4" t="s">
        <v>755</v>
      </c>
      <c r="AF537" s="4" t="s">
        <v>756</v>
      </c>
      <c r="AL537" s="4" t="s">
        <v>757</v>
      </c>
      <c r="BD537" s="4" t="s">
        <v>758</v>
      </c>
      <c r="BI537" s="4" t="s">
        <v>321</v>
      </c>
      <c r="BK537" s="4">
        <v>5</v>
      </c>
      <c r="BO537" s="4">
        <v>0.05</v>
      </c>
      <c r="BU537" s="4" t="s">
        <v>398</v>
      </c>
      <c r="CB537" s="4" t="s">
        <v>372</v>
      </c>
      <c r="CC537" s="4">
        <v>1000</v>
      </c>
      <c r="CX537" s="4" t="s">
        <v>314</v>
      </c>
      <c r="DO537" s="4">
        <v>3</v>
      </c>
      <c r="EP537" s="4"/>
      <c r="ES537" s="4"/>
    </row>
    <row r="538" customHeight="1" spans="1:313">
      <c r="A538" s="16">
        <v>18</v>
      </c>
      <c r="B538" s="4" t="s">
        <v>748</v>
      </c>
      <c r="C538" s="5" t="s">
        <v>749</v>
      </c>
      <c r="D538" s="4" t="s">
        <v>529</v>
      </c>
      <c r="H538" s="4" t="s">
        <v>328</v>
      </c>
      <c r="I538" s="4" t="s">
        <v>750</v>
      </c>
      <c r="J538" s="4">
        <v>21</v>
      </c>
      <c r="N538" s="4" t="s">
        <v>751</v>
      </c>
      <c r="O538" s="4" t="s">
        <v>343</v>
      </c>
      <c r="Q538" s="4" t="s">
        <v>539</v>
      </c>
      <c r="AB538" s="4" t="s">
        <v>752</v>
      </c>
      <c r="AC538" s="4" t="s">
        <v>753</v>
      </c>
      <c r="AD538" s="4" t="s">
        <v>754</v>
      </c>
      <c r="AE538" s="4" t="s">
        <v>755</v>
      </c>
      <c r="AF538" s="4" t="s">
        <v>756</v>
      </c>
      <c r="AL538" s="4" t="s">
        <v>757</v>
      </c>
      <c r="BD538" s="4" t="s">
        <v>758</v>
      </c>
      <c r="BI538" s="4" t="s">
        <v>321</v>
      </c>
      <c r="BK538" s="4">
        <v>5</v>
      </c>
      <c r="BO538" s="4">
        <v>0.05</v>
      </c>
      <c r="BU538" s="4" t="s">
        <v>398</v>
      </c>
      <c r="CB538" s="4" t="s">
        <v>372</v>
      </c>
      <c r="CC538" s="4" t="s">
        <v>761</v>
      </c>
      <c r="DB538" s="4" t="s">
        <v>430</v>
      </c>
      <c r="DE538" s="4">
        <v>22.25</v>
      </c>
      <c r="DO538" s="4">
        <v>3</v>
      </c>
      <c r="EP538" s="4"/>
      <c r="ES538" s="4"/>
    </row>
    <row r="539" customHeight="1" spans="1:313">
      <c r="A539" s="16">
        <v>18</v>
      </c>
      <c r="B539" s="4" t="s">
        <v>748</v>
      </c>
      <c r="C539" s="5" t="s">
        <v>749</v>
      </c>
      <c r="D539" s="4" t="s">
        <v>529</v>
      </c>
      <c r="H539" s="4" t="s">
        <v>328</v>
      </c>
      <c r="I539" s="4" t="s">
        <v>750</v>
      </c>
      <c r="J539" s="4">
        <v>21</v>
      </c>
      <c r="N539" s="4" t="s">
        <v>751</v>
      </c>
      <c r="O539" s="4" t="s">
        <v>343</v>
      </c>
      <c r="Q539" s="4" t="s">
        <v>539</v>
      </c>
      <c r="AB539" s="4" t="s">
        <v>752</v>
      </c>
      <c r="AC539" s="4" t="s">
        <v>753</v>
      </c>
      <c r="AD539" s="4" t="s">
        <v>754</v>
      </c>
      <c r="AE539" s="4" t="s">
        <v>755</v>
      </c>
      <c r="AF539" s="4" t="s">
        <v>756</v>
      </c>
      <c r="AL539" s="4" t="s">
        <v>757</v>
      </c>
      <c r="BD539" s="4" t="s">
        <v>758</v>
      </c>
      <c r="BI539" s="4" t="s">
        <v>321</v>
      </c>
      <c r="BK539" s="4">
        <v>5</v>
      </c>
      <c r="BL539" s="4">
        <v>1</v>
      </c>
      <c r="BO539" s="4">
        <v>0.03</v>
      </c>
      <c r="BU539" s="4" t="s">
        <v>398</v>
      </c>
      <c r="BV539" s="4">
        <v>60</v>
      </c>
      <c r="BW539" s="4" t="s">
        <v>311</v>
      </c>
      <c r="CB539" s="4" t="s">
        <v>372</v>
      </c>
      <c r="CC539" s="4">
        <v>1000</v>
      </c>
      <c r="DO539" s="4">
        <v>3</v>
      </c>
      <c r="EP539" s="4">
        <v>55.53</v>
      </c>
      <c r="EQ539" s="36">
        <v>3.93</v>
      </c>
      <c r="ER539" s="36"/>
      <c r="ES539" s="4">
        <v>55.53</v>
      </c>
    </row>
    <row r="540" customHeight="1" spans="1:313">
      <c r="A540" s="16">
        <v>18</v>
      </c>
      <c r="B540" s="4" t="s">
        <v>748</v>
      </c>
      <c r="C540" s="5" t="s">
        <v>749</v>
      </c>
      <c r="D540" s="4" t="s">
        <v>529</v>
      </c>
      <c r="H540" s="4" t="s">
        <v>328</v>
      </c>
      <c r="I540" s="4" t="s">
        <v>750</v>
      </c>
      <c r="J540" s="4">
        <v>21</v>
      </c>
      <c r="N540" s="4" t="s">
        <v>751</v>
      </c>
      <c r="O540" s="4" t="s">
        <v>343</v>
      </c>
      <c r="Q540" s="4" t="s">
        <v>539</v>
      </c>
      <c r="AB540" s="4" t="s">
        <v>752</v>
      </c>
      <c r="AC540" s="4" t="s">
        <v>753</v>
      </c>
      <c r="AD540" s="4" t="s">
        <v>754</v>
      </c>
      <c r="AE540" s="4" t="s">
        <v>755</v>
      </c>
      <c r="AF540" s="4" t="s">
        <v>756</v>
      </c>
      <c r="AL540" s="4" t="s">
        <v>757</v>
      </c>
      <c r="BD540" s="4" t="s">
        <v>758</v>
      </c>
      <c r="BI540" s="4" t="s">
        <v>321</v>
      </c>
      <c r="BK540" s="4">
        <v>5</v>
      </c>
      <c r="BL540" s="4">
        <v>1</v>
      </c>
      <c r="BO540" s="4">
        <v>0.05</v>
      </c>
      <c r="BU540" s="4" t="s">
        <v>398</v>
      </c>
      <c r="BV540" s="4">
        <v>60</v>
      </c>
      <c r="BW540" s="4" t="s">
        <v>311</v>
      </c>
      <c r="CB540" s="4" t="s">
        <v>372</v>
      </c>
      <c r="CC540" s="4">
        <v>1000</v>
      </c>
      <c r="DO540" s="4">
        <v>3</v>
      </c>
      <c r="EP540" s="4">
        <v>99.5</v>
      </c>
      <c r="EQ540" s="36">
        <v>0.49</v>
      </c>
      <c r="ER540" s="36"/>
      <c r="ES540" s="4">
        <v>99.5</v>
      </c>
    </row>
    <row r="541" customHeight="1" spans="1:313">
      <c r="A541" s="16">
        <v>18</v>
      </c>
      <c r="B541" s="4" t="s">
        <v>748</v>
      </c>
      <c r="C541" s="5" t="s">
        <v>749</v>
      </c>
      <c r="D541" s="4" t="s">
        <v>529</v>
      </c>
      <c r="H541" s="4" t="s">
        <v>328</v>
      </c>
      <c r="I541" s="4" t="s">
        <v>750</v>
      </c>
      <c r="J541" s="4">
        <v>21</v>
      </c>
      <c r="N541" s="4" t="s">
        <v>751</v>
      </c>
      <c r="O541" s="4" t="s">
        <v>343</v>
      </c>
      <c r="Q541" s="4" t="s">
        <v>539</v>
      </c>
      <c r="AB541" s="4" t="s">
        <v>752</v>
      </c>
      <c r="AC541" s="4" t="s">
        <v>753</v>
      </c>
      <c r="AD541" s="4" t="s">
        <v>754</v>
      </c>
      <c r="AE541" s="4" t="s">
        <v>755</v>
      </c>
      <c r="AF541" s="4" t="s">
        <v>756</v>
      </c>
      <c r="AL541" s="4" t="s">
        <v>757</v>
      </c>
      <c r="BD541" s="4" t="s">
        <v>758</v>
      </c>
      <c r="BI541" s="4" t="s">
        <v>321</v>
      </c>
      <c r="BK541" s="4">
        <v>5</v>
      </c>
      <c r="BL541" s="4">
        <v>1</v>
      </c>
      <c r="BO541" s="4">
        <v>0.08</v>
      </c>
      <c r="BU541" s="4" t="s">
        <v>398</v>
      </c>
      <c r="BV541" s="4">
        <v>60</v>
      </c>
      <c r="BW541" s="4" t="s">
        <v>311</v>
      </c>
      <c r="CB541" s="4" t="s">
        <v>372</v>
      </c>
      <c r="CC541" s="4">
        <v>1000</v>
      </c>
      <c r="DO541" s="4">
        <v>3</v>
      </c>
      <c r="EP541" s="4">
        <v>99.5</v>
      </c>
      <c r="EQ541" s="36">
        <v>0.49</v>
      </c>
      <c r="ER541" s="36"/>
      <c r="ES541" s="4">
        <v>99.5</v>
      </c>
    </row>
    <row r="542" customHeight="1" spans="1:313">
      <c r="A542" s="16">
        <v>18</v>
      </c>
      <c r="B542" s="4" t="s">
        <v>748</v>
      </c>
      <c r="C542" s="5" t="s">
        <v>749</v>
      </c>
      <c r="D542" s="4" t="s">
        <v>529</v>
      </c>
      <c r="H542" s="4" t="s">
        <v>328</v>
      </c>
      <c r="I542" s="4" t="s">
        <v>750</v>
      </c>
      <c r="J542" s="4">
        <v>21</v>
      </c>
      <c r="N542" s="4" t="s">
        <v>751</v>
      </c>
      <c r="O542" s="4" t="s">
        <v>343</v>
      </c>
      <c r="Q542" s="4" t="s">
        <v>539</v>
      </c>
      <c r="AB542" s="4" t="s">
        <v>752</v>
      </c>
      <c r="AC542" s="4" t="s">
        <v>753</v>
      </c>
      <c r="AD542" s="4" t="s">
        <v>754</v>
      </c>
      <c r="AE542" s="4" t="s">
        <v>755</v>
      </c>
      <c r="AF542" s="4" t="s">
        <v>756</v>
      </c>
      <c r="AL542" s="4" t="s">
        <v>757</v>
      </c>
      <c r="BD542" s="4" t="s">
        <v>758</v>
      </c>
      <c r="BI542" s="4" t="s">
        <v>321</v>
      </c>
      <c r="BK542" s="4">
        <v>5</v>
      </c>
      <c r="BL542" s="4">
        <v>1</v>
      </c>
      <c r="BO542" s="4">
        <v>0.1</v>
      </c>
      <c r="BU542" s="4" t="s">
        <v>398</v>
      </c>
      <c r="BV542" s="4">
        <v>60</v>
      </c>
      <c r="BW542" s="4" t="s">
        <v>311</v>
      </c>
      <c r="CB542" s="4" t="s">
        <v>372</v>
      </c>
      <c r="CC542" s="4">
        <v>1000</v>
      </c>
      <c r="DO542" s="4">
        <v>3</v>
      </c>
      <c r="EP542" s="4">
        <v>99.5</v>
      </c>
      <c r="EQ542" s="36">
        <v>0.49</v>
      </c>
      <c r="ER542" s="36"/>
      <c r="ES542" s="4">
        <v>99.5</v>
      </c>
    </row>
    <row r="543" customHeight="1" spans="1:313">
      <c r="A543" s="16">
        <v>18</v>
      </c>
      <c r="B543" s="4" t="s">
        <v>748</v>
      </c>
      <c r="C543" s="5" t="s">
        <v>749</v>
      </c>
      <c r="D543" s="4" t="s">
        <v>529</v>
      </c>
      <c r="H543" s="4" t="s">
        <v>328</v>
      </c>
      <c r="I543" s="4" t="s">
        <v>750</v>
      </c>
      <c r="J543" s="4">
        <v>21</v>
      </c>
      <c r="N543" s="4" t="s">
        <v>751</v>
      </c>
      <c r="O543" s="4" t="s">
        <v>343</v>
      </c>
      <c r="Q543" s="4" t="s">
        <v>539</v>
      </c>
      <c r="AB543" s="4" t="s">
        <v>752</v>
      </c>
      <c r="AC543" s="4" t="s">
        <v>753</v>
      </c>
      <c r="AD543" s="4" t="s">
        <v>754</v>
      </c>
      <c r="AE543" s="4" t="s">
        <v>755</v>
      </c>
      <c r="AF543" s="4" t="s">
        <v>756</v>
      </c>
      <c r="AL543" s="4" t="s">
        <v>757</v>
      </c>
      <c r="BD543" s="4" t="s">
        <v>758</v>
      </c>
      <c r="BI543" s="4" t="s">
        <v>321</v>
      </c>
      <c r="BK543" s="4">
        <v>5</v>
      </c>
      <c r="BL543" s="4">
        <v>1</v>
      </c>
      <c r="BO543" s="4">
        <v>0.05</v>
      </c>
      <c r="BU543" s="4" t="s">
        <v>398</v>
      </c>
      <c r="BV543" s="4">
        <v>60</v>
      </c>
      <c r="BW543" s="4" t="s">
        <v>311</v>
      </c>
      <c r="CB543" s="4" t="s">
        <v>372</v>
      </c>
      <c r="CC543" s="4">
        <v>200</v>
      </c>
      <c r="DO543" s="4">
        <v>3</v>
      </c>
      <c r="EP543" s="4">
        <v>98.74</v>
      </c>
      <c r="EQ543" s="1">
        <v>0.49</v>
      </c>
      <c r="ES543" s="4">
        <v>98.74</v>
      </c>
    </row>
    <row r="544" customHeight="1" spans="1:313">
      <c r="A544" s="16">
        <v>18</v>
      </c>
      <c r="B544" s="4" t="s">
        <v>748</v>
      </c>
      <c r="C544" s="5" t="s">
        <v>749</v>
      </c>
      <c r="D544" s="4" t="s">
        <v>529</v>
      </c>
      <c r="H544" s="4" t="s">
        <v>328</v>
      </c>
      <c r="I544" s="4" t="s">
        <v>750</v>
      </c>
      <c r="J544" s="4">
        <v>21</v>
      </c>
      <c r="N544" s="4" t="s">
        <v>751</v>
      </c>
      <c r="O544" s="4" t="s">
        <v>343</v>
      </c>
      <c r="Q544" s="4" t="s">
        <v>539</v>
      </c>
      <c r="AB544" s="4" t="s">
        <v>752</v>
      </c>
      <c r="AC544" s="4" t="s">
        <v>753</v>
      </c>
      <c r="AD544" s="4" t="s">
        <v>754</v>
      </c>
      <c r="AE544" s="4" t="s">
        <v>755</v>
      </c>
      <c r="AF544" s="4" t="s">
        <v>756</v>
      </c>
      <c r="AL544" s="4" t="s">
        <v>757</v>
      </c>
      <c r="BD544" s="4" t="s">
        <v>758</v>
      </c>
      <c r="BI544" s="4" t="s">
        <v>321</v>
      </c>
      <c r="BK544" s="4">
        <v>5</v>
      </c>
      <c r="BL544" s="4">
        <v>1</v>
      </c>
      <c r="BO544" s="4">
        <v>0.05</v>
      </c>
      <c r="BU544" s="4" t="s">
        <v>398</v>
      </c>
      <c r="BV544" s="4">
        <v>60</v>
      </c>
      <c r="BW544" s="4" t="s">
        <v>311</v>
      </c>
      <c r="CB544" s="4" t="s">
        <v>372</v>
      </c>
      <c r="CC544" s="4">
        <v>400</v>
      </c>
      <c r="DO544" s="4">
        <v>3</v>
      </c>
      <c r="EP544" s="4">
        <v>98.74</v>
      </c>
      <c r="EQ544" s="1">
        <v>0.49</v>
      </c>
      <c r="ES544" s="4">
        <v>98.74</v>
      </c>
    </row>
    <row r="545" customHeight="1" spans="1:313">
      <c r="A545" s="16">
        <v>18</v>
      </c>
      <c r="B545" s="4" t="s">
        <v>748</v>
      </c>
      <c r="C545" s="5" t="s">
        <v>749</v>
      </c>
      <c r="D545" s="4" t="s">
        <v>529</v>
      </c>
      <c r="H545" s="4" t="s">
        <v>328</v>
      </c>
      <c r="I545" s="4" t="s">
        <v>750</v>
      </c>
      <c r="N545" s="4" t="s">
        <v>751</v>
      </c>
      <c r="O545" s="4" t="s">
        <v>343</v>
      </c>
      <c r="Q545" s="4" t="s">
        <v>539</v>
      </c>
      <c r="AB545" s="4" t="s">
        <v>752</v>
      </c>
      <c r="AC545" s="4" t="s">
        <v>753</v>
      </c>
      <c r="AD545" s="4" t="s">
        <v>754</v>
      </c>
      <c r="AE545" s="4" t="s">
        <v>755</v>
      </c>
      <c r="AF545" s="4" t="s">
        <v>756</v>
      </c>
      <c r="AL545" s="4" t="s">
        <v>757</v>
      </c>
      <c r="BD545" s="4" t="s">
        <v>758</v>
      </c>
      <c r="BI545" s="4" t="s">
        <v>321</v>
      </c>
      <c r="BK545" s="4">
        <v>5</v>
      </c>
      <c r="BL545" s="4">
        <v>1</v>
      </c>
      <c r="BO545" s="4">
        <v>0.05</v>
      </c>
      <c r="BU545" s="4" t="s">
        <v>398</v>
      </c>
      <c r="BV545" s="4">
        <v>60</v>
      </c>
      <c r="BW545" s="4" t="s">
        <v>311</v>
      </c>
      <c r="CB545" s="4" t="s">
        <v>372</v>
      </c>
      <c r="CC545" s="4">
        <v>800</v>
      </c>
      <c r="DO545" s="4">
        <v>3</v>
      </c>
      <c r="EP545" s="4">
        <v>98.74</v>
      </c>
      <c r="EQ545" s="1">
        <v>0.49</v>
      </c>
      <c r="ES545" s="4">
        <v>98.74</v>
      </c>
    </row>
    <row r="546" customHeight="1" spans="1:313">
      <c r="A546" s="16">
        <v>18</v>
      </c>
      <c r="B546" s="4" t="s">
        <v>748</v>
      </c>
      <c r="C546" s="5" t="s">
        <v>749</v>
      </c>
      <c r="D546" s="4" t="s">
        <v>529</v>
      </c>
      <c r="H546" s="4" t="s">
        <v>328</v>
      </c>
      <c r="I546" s="4" t="s">
        <v>750</v>
      </c>
      <c r="N546" s="4" t="s">
        <v>751</v>
      </c>
      <c r="O546" s="4" t="s">
        <v>343</v>
      </c>
      <c r="Q546" s="4" t="s">
        <v>539</v>
      </c>
      <c r="AB546" s="4" t="s">
        <v>752</v>
      </c>
      <c r="AC546" s="4" t="s">
        <v>753</v>
      </c>
      <c r="AD546" s="4" t="s">
        <v>754</v>
      </c>
      <c r="AE546" s="4" t="s">
        <v>755</v>
      </c>
      <c r="AF546" s="4" t="s">
        <v>756</v>
      </c>
      <c r="AL546" s="4" t="s">
        <v>757</v>
      </c>
      <c r="BD546" s="4" t="s">
        <v>758</v>
      </c>
      <c r="BI546" s="4" t="s">
        <v>321</v>
      </c>
      <c r="BK546" s="4">
        <v>5</v>
      </c>
      <c r="BL546" s="4">
        <v>1</v>
      </c>
      <c r="BO546" s="4">
        <v>0.05</v>
      </c>
      <c r="BU546" s="4" t="s">
        <v>398</v>
      </c>
      <c r="BV546" s="4">
        <v>60</v>
      </c>
      <c r="BW546" s="4" t="s">
        <v>311</v>
      </c>
      <c r="CB546" s="4" t="s">
        <v>372</v>
      </c>
      <c r="CC546" s="4">
        <v>1000</v>
      </c>
      <c r="DO546" s="4">
        <v>3</v>
      </c>
      <c r="EP546" s="4">
        <v>98.74</v>
      </c>
      <c r="EQ546" s="1">
        <v>0.49</v>
      </c>
      <c r="ES546" s="4">
        <v>98.74</v>
      </c>
    </row>
    <row r="547" customHeight="1" spans="1:313">
      <c r="A547" s="16">
        <v>18</v>
      </c>
      <c r="B547" s="4" t="s">
        <v>748</v>
      </c>
      <c r="C547" s="5" t="s">
        <v>749</v>
      </c>
      <c r="D547" s="4" t="s">
        <v>529</v>
      </c>
      <c r="H547" s="4" t="s">
        <v>328</v>
      </c>
      <c r="I547" s="4" t="s">
        <v>750</v>
      </c>
      <c r="N547" s="4" t="s">
        <v>751</v>
      </c>
      <c r="O547" s="4" t="s">
        <v>343</v>
      </c>
      <c r="Q547" s="4" t="s">
        <v>539</v>
      </c>
      <c r="AB547" s="4" t="s">
        <v>752</v>
      </c>
      <c r="AC547" s="4" t="s">
        <v>753</v>
      </c>
      <c r="AD547" s="4" t="s">
        <v>754</v>
      </c>
      <c r="AE547" s="4" t="s">
        <v>755</v>
      </c>
      <c r="AF547" s="4" t="s">
        <v>756</v>
      </c>
      <c r="AL547" s="4" t="s">
        <v>757</v>
      </c>
      <c r="BD547" s="4" t="s">
        <v>758</v>
      </c>
      <c r="BI547" s="4" t="s">
        <v>321</v>
      </c>
      <c r="BK547" s="4">
        <v>5</v>
      </c>
      <c r="BL547" s="4">
        <v>1</v>
      </c>
      <c r="BO547" s="4">
        <v>0.05</v>
      </c>
      <c r="BS547" s="4">
        <v>3</v>
      </c>
      <c r="BU547" s="4" t="s">
        <v>398</v>
      </c>
      <c r="BV547" s="4">
        <v>60</v>
      </c>
      <c r="BW547" s="4" t="s">
        <v>311</v>
      </c>
      <c r="CB547" s="4" t="s">
        <v>372</v>
      </c>
      <c r="CC547" s="4">
        <v>1000</v>
      </c>
      <c r="DO547" s="4">
        <v>3</v>
      </c>
      <c r="EP547" s="4">
        <v>80.49</v>
      </c>
      <c r="EQ547" s="36">
        <v>1.02</v>
      </c>
      <c r="ER547" s="36"/>
      <c r="ES547" s="4">
        <v>80.49</v>
      </c>
    </row>
    <row r="548" customHeight="1" spans="1:313">
      <c r="A548" s="16">
        <v>18</v>
      </c>
      <c r="B548" s="4" t="s">
        <v>748</v>
      </c>
      <c r="C548" s="5" t="s">
        <v>749</v>
      </c>
      <c r="D548" s="4" t="s">
        <v>529</v>
      </c>
      <c r="H548" s="4" t="s">
        <v>328</v>
      </c>
      <c r="I548" s="4" t="s">
        <v>750</v>
      </c>
      <c r="N548" s="4" t="s">
        <v>751</v>
      </c>
      <c r="O548" s="4" t="s">
        <v>343</v>
      </c>
      <c r="Q548" s="4" t="s">
        <v>539</v>
      </c>
      <c r="AB548" s="4" t="s">
        <v>752</v>
      </c>
      <c r="AC548" s="4" t="s">
        <v>753</v>
      </c>
      <c r="AD548" s="4" t="s">
        <v>754</v>
      </c>
      <c r="AE548" s="4" t="s">
        <v>755</v>
      </c>
      <c r="AF548" s="4" t="s">
        <v>756</v>
      </c>
      <c r="AL548" s="4" t="s">
        <v>757</v>
      </c>
      <c r="BD548" s="4" t="s">
        <v>758</v>
      </c>
      <c r="BI548" s="4" t="s">
        <v>321</v>
      </c>
      <c r="BK548" s="4">
        <v>5</v>
      </c>
      <c r="BL548" s="4">
        <v>1</v>
      </c>
      <c r="BO548" s="4">
        <v>0.05</v>
      </c>
      <c r="BS548" s="4">
        <v>5</v>
      </c>
      <c r="BU548" s="4" t="s">
        <v>398</v>
      </c>
      <c r="BV548" s="4">
        <v>60</v>
      </c>
      <c r="BW548" s="4" t="s">
        <v>311</v>
      </c>
      <c r="CB548" s="4" t="s">
        <v>372</v>
      </c>
      <c r="CC548" s="4">
        <v>1000</v>
      </c>
      <c r="DO548" s="4">
        <v>3</v>
      </c>
      <c r="EP548" s="4">
        <v>84.28</v>
      </c>
      <c r="EQ548" s="36">
        <v>7.71</v>
      </c>
      <c r="ER548" s="36"/>
      <c r="ES548" s="4">
        <v>84.28</v>
      </c>
    </row>
    <row r="549" customHeight="1" spans="1:313">
      <c r="A549" s="16">
        <v>18</v>
      </c>
      <c r="B549" s="4" t="s">
        <v>748</v>
      </c>
      <c r="C549" s="5" t="s">
        <v>749</v>
      </c>
      <c r="D549" s="4" t="s">
        <v>529</v>
      </c>
      <c r="H549" s="4" t="s">
        <v>328</v>
      </c>
      <c r="I549" s="4" t="s">
        <v>750</v>
      </c>
      <c r="N549" s="4" t="s">
        <v>751</v>
      </c>
      <c r="O549" s="4" t="s">
        <v>343</v>
      </c>
      <c r="Q549" s="4" t="s">
        <v>539</v>
      </c>
      <c r="AB549" s="4" t="s">
        <v>752</v>
      </c>
      <c r="AC549" s="4" t="s">
        <v>753</v>
      </c>
      <c r="AD549" s="4" t="s">
        <v>754</v>
      </c>
      <c r="AE549" s="4" t="s">
        <v>755</v>
      </c>
      <c r="AF549" s="4" t="s">
        <v>756</v>
      </c>
      <c r="AL549" s="4" t="s">
        <v>757</v>
      </c>
      <c r="BD549" s="4" t="s">
        <v>758</v>
      </c>
      <c r="BI549" s="4" t="s">
        <v>321</v>
      </c>
      <c r="BK549" s="4">
        <v>5</v>
      </c>
      <c r="BL549" s="4">
        <v>1</v>
      </c>
      <c r="BO549" s="4">
        <v>0.05</v>
      </c>
      <c r="BS549" s="4">
        <v>7</v>
      </c>
      <c r="BU549" s="4" t="s">
        <v>398</v>
      </c>
      <c r="BV549" s="4">
        <v>60</v>
      </c>
      <c r="BW549" s="4" t="s">
        <v>311</v>
      </c>
      <c r="CB549" s="4" t="s">
        <v>372</v>
      </c>
      <c r="CC549" s="4">
        <v>1000</v>
      </c>
      <c r="DO549" s="4">
        <v>3</v>
      </c>
      <c r="EP549" s="4">
        <v>80.79</v>
      </c>
      <c r="EQ549" s="36">
        <v>0.73</v>
      </c>
      <c r="ER549" s="36"/>
      <c r="ES549" s="4">
        <v>80.79</v>
      </c>
    </row>
    <row r="550" customHeight="1" spans="1:313">
      <c r="A550" s="16">
        <v>18</v>
      </c>
      <c r="B550" s="4" t="s">
        <v>748</v>
      </c>
      <c r="C550" s="5" t="s">
        <v>749</v>
      </c>
      <c r="D550" s="4" t="s">
        <v>529</v>
      </c>
      <c r="H550" s="4" t="s">
        <v>328</v>
      </c>
      <c r="I550" s="4" t="s">
        <v>750</v>
      </c>
      <c r="N550" s="4" t="s">
        <v>751</v>
      </c>
      <c r="O550" s="4" t="s">
        <v>343</v>
      </c>
      <c r="Q550" s="4" t="s">
        <v>539</v>
      </c>
      <c r="AB550" s="4" t="s">
        <v>752</v>
      </c>
      <c r="AC550" s="4" t="s">
        <v>753</v>
      </c>
      <c r="AD550" s="4" t="s">
        <v>754</v>
      </c>
      <c r="AE550" s="4" t="s">
        <v>755</v>
      </c>
      <c r="AF550" s="4" t="s">
        <v>756</v>
      </c>
      <c r="AL550" s="4" t="s">
        <v>757</v>
      </c>
      <c r="BD550" s="4" t="s">
        <v>758</v>
      </c>
      <c r="BI550" s="4" t="s">
        <v>321</v>
      </c>
      <c r="BK550" s="4">
        <v>5</v>
      </c>
      <c r="BL550" s="4">
        <v>1</v>
      </c>
      <c r="BO550" s="4">
        <v>0.05</v>
      </c>
      <c r="BS550" s="4">
        <v>10</v>
      </c>
      <c r="BU550" s="4" t="s">
        <v>398</v>
      </c>
      <c r="BV550" s="4">
        <v>60</v>
      </c>
      <c r="BW550" s="4" t="s">
        <v>311</v>
      </c>
      <c r="CB550" s="4" t="s">
        <v>372</v>
      </c>
      <c r="CC550" s="4">
        <v>1000</v>
      </c>
      <c r="DO550" s="4">
        <v>3</v>
      </c>
      <c r="EP550" s="4">
        <v>78.75</v>
      </c>
      <c r="EQ550" s="36">
        <v>0.44</v>
      </c>
      <c r="ER550" s="36"/>
      <c r="ES550" s="4">
        <v>78.75</v>
      </c>
    </row>
    <row r="551" customHeight="1" spans="1:313">
      <c r="A551" s="16">
        <v>18</v>
      </c>
      <c r="B551" s="4" t="s">
        <v>748</v>
      </c>
      <c r="C551" s="5" t="s">
        <v>749</v>
      </c>
      <c r="D551" s="4" t="s">
        <v>529</v>
      </c>
      <c r="H551" s="4" t="s">
        <v>328</v>
      </c>
      <c r="I551" s="4" t="s">
        <v>750</v>
      </c>
      <c r="N551" s="4" t="s">
        <v>751</v>
      </c>
      <c r="O551" s="4" t="s">
        <v>343</v>
      </c>
      <c r="Q551" s="4" t="s">
        <v>539</v>
      </c>
      <c r="AB551" s="4" t="s">
        <v>752</v>
      </c>
      <c r="AC551" s="4" t="s">
        <v>753</v>
      </c>
      <c r="AD551" s="4" t="s">
        <v>754</v>
      </c>
      <c r="AE551" s="4" t="s">
        <v>755</v>
      </c>
      <c r="AF551" s="4" t="s">
        <v>756</v>
      </c>
      <c r="AL551" s="4" t="s">
        <v>757</v>
      </c>
      <c r="BD551" s="4" t="s">
        <v>758</v>
      </c>
      <c r="BI551" s="4" t="s">
        <v>321</v>
      </c>
      <c r="BO551" s="4">
        <v>0</v>
      </c>
      <c r="BU551" s="4" t="s">
        <v>398</v>
      </c>
      <c r="BV551" s="4">
        <v>15</v>
      </c>
      <c r="CB551" s="4" t="s">
        <v>8</v>
      </c>
      <c r="CC551" s="4">
        <v>1000</v>
      </c>
      <c r="DO551" s="4">
        <v>3</v>
      </c>
      <c r="EF551" s="4">
        <v>41.16</v>
      </c>
      <c r="EH551" s="4">
        <v>41.16</v>
      </c>
      <c r="ER551" s="1">
        <f>(1000-EH551)/10</f>
        <v>95.884</v>
      </c>
      <c r="ES551" s="1">
        <v>95.884</v>
      </c>
    </row>
    <row r="552" customHeight="1" spans="1:313">
      <c r="A552" s="16">
        <v>18</v>
      </c>
      <c r="B552" s="4" t="s">
        <v>748</v>
      </c>
      <c r="C552" s="5" t="s">
        <v>749</v>
      </c>
      <c r="D552" s="4" t="s">
        <v>529</v>
      </c>
      <c r="H552" s="4" t="s">
        <v>328</v>
      </c>
      <c r="I552" s="4" t="s">
        <v>750</v>
      </c>
      <c r="N552" s="4" t="s">
        <v>751</v>
      </c>
      <c r="O552" s="4" t="s">
        <v>343</v>
      </c>
      <c r="Q552" s="4" t="s">
        <v>539</v>
      </c>
      <c r="AB552" s="4" t="s">
        <v>752</v>
      </c>
      <c r="AC552" s="4" t="s">
        <v>753</v>
      </c>
      <c r="AD552" s="4" t="s">
        <v>754</v>
      </c>
      <c r="AE552" s="4" t="s">
        <v>755</v>
      </c>
      <c r="AF552" s="4" t="s">
        <v>756</v>
      </c>
      <c r="AL552" s="4" t="s">
        <v>757</v>
      </c>
      <c r="BD552" s="4" t="s">
        <v>758</v>
      </c>
      <c r="BI552" s="4" t="s">
        <v>321</v>
      </c>
      <c r="BO552" s="4">
        <v>0.05</v>
      </c>
      <c r="BU552" s="4" t="s">
        <v>398</v>
      </c>
      <c r="BV552" s="4">
        <v>15</v>
      </c>
      <c r="CB552" s="4" t="s">
        <v>8</v>
      </c>
      <c r="CC552" s="4">
        <v>1000</v>
      </c>
      <c r="DO552" s="4">
        <v>3</v>
      </c>
      <c r="EF552" s="4">
        <v>41.16</v>
      </c>
      <c r="EH552" s="4">
        <v>38.83</v>
      </c>
      <c r="EP552" s="4">
        <v>94.33</v>
      </c>
      <c r="ES552" s="4">
        <v>94.33</v>
      </c>
    </row>
    <row r="553" customHeight="1" spans="1:313">
      <c r="A553" s="16">
        <v>18</v>
      </c>
      <c r="B553" s="4" t="s">
        <v>748</v>
      </c>
      <c r="C553" s="5" t="s">
        <v>749</v>
      </c>
      <c r="D553" s="4" t="s">
        <v>529</v>
      </c>
      <c r="H553" s="4" t="s">
        <v>328</v>
      </c>
      <c r="I553" s="4" t="s">
        <v>750</v>
      </c>
      <c r="N553" s="4" t="s">
        <v>751</v>
      </c>
      <c r="O553" s="4" t="s">
        <v>343</v>
      </c>
      <c r="Q553" s="4" t="s">
        <v>539</v>
      </c>
      <c r="AB553" s="4" t="s">
        <v>752</v>
      </c>
      <c r="AC553" s="4" t="s">
        <v>753</v>
      </c>
      <c r="AD553" s="4" t="s">
        <v>754</v>
      </c>
      <c r="AE553" s="4" t="s">
        <v>755</v>
      </c>
      <c r="AF553" s="4" t="s">
        <v>756</v>
      </c>
      <c r="AL553" s="4" t="s">
        <v>757</v>
      </c>
      <c r="BD553" s="4" t="s">
        <v>758</v>
      </c>
      <c r="BI553" s="4" t="s">
        <v>321</v>
      </c>
      <c r="DO553" s="4">
        <v>3</v>
      </c>
    </row>
    <row r="554" customHeight="1" spans="1:313">
      <c r="A554" s="16">
        <v>18</v>
      </c>
      <c r="B554" s="4" t="s">
        <v>748</v>
      </c>
      <c r="C554" s="5" t="s">
        <v>749</v>
      </c>
      <c r="D554" s="4" t="s">
        <v>529</v>
      </c>
      <c r="H554" s="4" t="s">
        <v>328</v>
      </c>
      <c r="I554" s="4" t="s">
        <v>750</v>
      </c>
      <c r="N554" s="4" t="s">
        <v>751</v>
      </c>
      <c r="O554" s="4" t="s">
        <v>343</v>
      </c>
      <c r="Q554" s="4" t="s">
        <v>539</v>
      </c>
      <c r="AB554" s="4" t="s">
        <v>752</v>
      </c>
      <c r="AC554" s="4" t="s">
        <v>753</v>
      </c>
      <c r="AD554" s="4" t="s">
        <v>754</v>
      </c>
      <c r="AE554" s="4" t="s">
        <v>755</v>
      </c>
      <c r="AF554" s="4" t="s">
        <v>756</v>
      </c>
      <c r="AL554" s="4" t="s">
        <v>757</v>
      </c>
      <c r="BD554" s="4" t="s">
        <v>758</v>
      </c>
      <c r="BI554" s="4" t="s">
        <v>321</v>
      </c>
      <c r="DO554" s="4">
        <v>3</v>
      </c>
    </row>
    <row r="555" customHeight="1" spans="1:313">
      <c r="A555" s="16">
        <v>18</v>
      </c>
      <c r="B555" s="4" t="s">
        <v>748</v>
      </c>
      <c r="C555" s="5" t="s">
        <v>749</v>
      </c>
      <c r="D555" s="4" t="s">
        <v>529</v>
      </c>
      <c r="H555" s="4" t="s">
        <v>328</v>
      </c>
      <c r="I555" s="4" t="s">
        <v>750</v>
      </c>
      <c r="N555" s="4" t="s">
        <v>751</v>
      </c>
      <c r="O555" s="4" t="s">
        <v>343</v>
      </c>
      <c r="Q555" s="4" t="s">
        <v>539</v>
      </c>
      <c r="AB555" s="4" t="s">
        <v>752</v>
      </c>
      <c r="AC555" s="4" t="s">
        <v>753</v>
      </c>
      <c r="AD555" s="4" t="s">
        <v>754</v>
      </c>
      <c r="AE555" s="4" t="s">
        <v>755</v>
      </c>
      <c r="AF555" s="4" t="s">
        <v>756</v>
      </c>
      <c r="AL555" s="4" t="s">
        <v>757</v>
      </c>
      <c r="BD555" s="4" t="s">
        <v>758</v>
      </c>
      <c r="BI555" s="4" t="s">
        <v>321</v>
      </c>
      <c r="DO555" s="4">
        <v>3</v>
      </c>
    </row>
    <row r="556" customHeight="1" spans="1:313">
      <c r="A556" s="3">
        <v>19</v>
      </c>
      <c r="B556" s="4" t="s">
        <v>762</v>
      </c>
      <c r="C556" s="5" t="s">
        <v>763</v>
      </c>
      <c r="D556" s="4" t="s">
        <v>764</v>
      </c>
      <c r="N556" s="4" t="s">
        <v>567</v>
      </c>
      <c r="O556" s="4" t="s">
        <v>343</v>
      </c>
      <c r="P556" s="4">
        <v>2</v>
      </c>
      <c r="Q556" s="4" t="s">
        <v>542</v>
      </c>
      <c r="X556" s="4">
        <v>0.75</v>
      </c>
      <c r="AB556" s="4" t="s">
        <v>765</v>
      </c>
      <c r="AC556" s="4" t="s">
        <v>766</v>
      </c>
      <c r="AD556" s="4" t="s">
        <v>767</v>
      </c>
      <c r="AE556" s="4" t="s">
        <v>768</v>
      </c>
      <c r="AF556" s="4" t="s">
        <v>769</v>
      </c>
      <c r="AH556" s="4" t="s">
        <v>596</v>
      </c>
      <c r="AM556" s="4">
        <v>6.2</v>
      </c>
      <c r="AN556" s="4">
        <v>10.26</v>
      </c>
      <c r="BD556" s="4" t="s">
        <v>770</v>
      </c>
      <c r="BE556" s="4" t="s">
        <v>771</v>
      </c>
      <c r="BI556" s="4" t="s">
        <v>321</v>
      </c>
      <c r="BK556" s="4">
        <v>5</v>
      </c>
      <c r="BL556" s="4">
        <v>1</v>
      </c>
      <c r="BO556" s="4">
        <v>0.01</v>
      </c>
      <c r="BU556" s="4" t="s">
        <v>398</v>
      </c>
      <c r="BW556" s="4" t="s">
        <v>311</v>
      </c>
      <c r="CB556" s="4" t="s">
        <v>319</v>
      </c>
      <c r="CC556" s="4">
        <v>1000</v>
      </c>
      <c r="CE556" s="4" t="s">
        <v>772</v>
      </c>
      <c r="CH556" s="4" t="s">
        <v>526</v>
      </c>
      <c r="DO556" s="4">
        <v>3</v>
      </c>
      <c r="EA556" s="1" t="s">
        <v>773</v>
      </c>
      <c r="EB556" s="1">
        <v>7.1</v>
      </c>
      <c r="ED556" s="1" t="s">
        <v>773</v>
      </c>
      <c r="GI556" s="27"/>
      <c r="GL556" s="27"/>
      <c r="KZ556" s="1" t="s">
        <v>7</v>
      </c>
      <c r="LA556" s="1" t="s">
        <v>774</v>
      </c>
    </row>
    <row r="557" customHeight="1" spans="1:313">
      <c r="A557" s="3">
        <v>19</v>
      </c>
      <c r="B557" s="4" t="s">
        <v>762</v>
      </c>
      <c r="C557" s="5" t="s">
        <v>763</v>
      </c>
      <c r="D557" s="4" t="s">
        <v>764</v>
      </c>
      <c r="N557" s="4" t="s">
        <v>567</v>
      </c>
      <c r="O557" s="4" t="s">
        <v>343</v>
      </c>
      <c r="P557" s="4">
        <v>2</v>
      </c>
      <c r="Q557" s="4" t="s">
        <v>542</v>
      </c>
      <c r="X557" s="4">
        <v>0.75</v>
      </c>
      <c r="AB557" s="4" t="s">
        <v>765</v>
      </c>
      <c r="AC557" s="4" t="s">
        <v>766</v>
      </c>
      <c r="AD557" s="4" t="s">
        <v>767</v>
      </c>
      <c r="AE557" s="4" t="s">
        <v>768</v>
      </c>
      <c r="AF557" s="4" t="s">
        <v>769</v>
      </c>
      <c r="AH557" s="4" t="s">
        <v>596</v>
      </c>
      <c r="AM557" s="4">
        <v>6.2</v>
      </c>
      <c r="AN557" s="4">
        <v>10.26</v>
      </c>
      <c r="BD557" s="4" t="s">
        <v>770</v>
      </c>
      <c r="BE557" s="4" t="s">
        <v>771</v>
      </c>
      <c r="BI557" s="4" t="s">
        <v>321</v>
      </c>
      <c r="BK557" s="4">
        <v>5</v>
      </c>
      <c r="BL557" s="4">
        <v>1</v>
      </c>
      <c r="BO557" s="4">
        <v>0.03</v>
      </c>
      <c r="BU557" s="4" t="s">
        <v>398</v>
      </c>
      <c r="BW557" s="4" t="s">
        <v>311</v>
      </c>
      <c r="CB557" s="4" t="s">
        <v>319</v>
      </c>
      <c r="CC557" s="4">
        <v>1000</v>
      </c>
      <c r="CE557" s="4" t="s">
        <v>772</v>
      </c>
      <c r="CH557" s="4" t="s">
        <v>526</v>
      </c>
      <c r="DO557" s="4">
        <v>3</v>
      </c>
      <c r="EA557" s="1">
        <v>10.968</v>
      </c>
      <c r="EB557" s="1">
        <v>0</v>
      </c>
      <c r="ED557" s="1">
        <v>10.968</v>
      </c>
      <c r="GI557" s="27"/>
      <c r="GL557" s="27"/>
    </row>
    <row r="558" customHeight="1" spans="1:313">
      <c r="A558" s="3">
        <v>19</v>
      </c>
      <c r="B558" s="4" t="s">
        <v>762</v>
      </c>
      <c r="C558" s="5" t="s">
        <v>763</v>
      </c>
      <c r="D558" s="4" t="s">
        <v>764</v>
      </c>
      <c r="N558" s="4" t="s">
        <v>567</v>
      </c>
      <c r="O558" s="4" t="s">
        <v>343</v>
      </c>
      <c r="P558" s="4">
        <v>2</v>
      </c>
      <c r="Q558" s="4" t="s">
        <v>542</v>
      </c>
      <c r="X558" s="4">
        <v>0.75</v>
      </c>
      <c r="AB558" s="4" t="s">
        <v>765</v>
      </c>
      <c r="AC558" s="4" t="s">
        <v>766</v>
      </c>
      <c r="AD558" s="4" t="s">
        <v>767</v>
      </c>
      <c r="AE558" s="4" t="s">
        <v>768</v>
      </c>
      <c r="AF558" s="4" t="s">
        <v>769</v>
      </c>
      <c r="AH558" s="4" t="s">
        <v>596</v>
      </c>
      <c r="AM558" s="4">
        <v>6.2</v>
      </c>
      <c r="AN558" s="4">
        <v>10.26</v>
      </c>
      <c r="BD558" s="4" t="s">
        <v>770</v>
      </c>
      <c r="BE558" s="4" t="s">
        <v>771</v>
      </c>
      <c r="BI558" s="4" t="s">
        <v>321</v>
      </c>
      <c r="BK558" s="4">
        <v>5</v>
      </c>
      <c r="BL558" s="4">
        <v>1</v>
      </c>
      <c r="BO558" s="4">
        <v>0.05</v>
      </c>
      <c r="BU558" s="4" t="s">
        <v>398</v>
      </c>
      <c r="BW558" s="4" t="s">
        <v>311</v>
      </c>
      <c r="CB558" s="4" t="s">
        <v>319</v>
      </c>
      <c r="CC558" s="4">
        <v>1000</v>
      </c>
      <c r="CE558" s="4" t="s">
        <v>772</v>
      </c>
      <c r="CH558" s="4" t="s">
        <v>526</v>
      </c>
      <c r="DO558" s="4">
        <v>3</v>
      </c>
      <c r="EA558" s="1">
        <v>16.129</v>
      </c>
      <c r="EB558" s="1">
        <v>1.94</v>
      </c>
      <c r="ED558" s="1">
        <v>16.129</v>
      </c>
      <c r="GI558" s="27"/>
      <c r="GL558" s="27"/>
    </row>
    <row r="559" customHeight="1" spans="1:313">
      <c r="A559" s="3">
        <v>19</v>
      </c>
      <c r="B559" s="4" t="s">
        <v>762</v>
      </c>
      <c r="C559" s="5" t="s">
        <v>763</v>
      </c>
      <c r="D559" s="4" t="s">
        <v>764</v>
      </c>
      <c r="N559" s="4" t="s">
        <v>567</v>
      </c>
      <c r="O559" s="4" t="s">
        <v>343</v>
      </c>
      <c r="P559" s="4">
        <v>2</v>
      </c>
      <c r="Q559" s="4" t="s">
        <v>542</v>
      </c>
      <c r="X559" s="4">
        <v>0.75</v>
      </c>
      <c r="AB559" s="4" t="s">
        <v>765</v>
      </c>
      <c r="AC559" s="4" t="s">
        <v>766</v>
      </c>
      <c r="AD559" s="4" t="s">
        <v>767</v>
      </c>
      <c r="AE559" s="4" t="s">
        <v>768</v>
      </c>
      <c r="AF559" s="4" t="s">
        <v>769</v>
      </c>
      <c r="AH559" s="4" t="s">
        <v>596</v>
      </c>
      <c r="AM559" s="4">
        <v>6.2</v>
      </c>
      <c r="AN559" s="4">
        <v>10.26</v>
      </c>
      <c r="BD559" s="4" t="s">
        <v>770</v>
      </c>
      <c r="BE559" s="4" t="s">
        <v>771</v>
      </c>
      <c r="BI559" s="4" t="s">
        <v>321</v>
      </c>
      <c r="BK559" s="4">
        <v>5</v>
      </c>
      <c r="BL559" s="4">
        <v>1</v>
      </c>
      <c r="BO559" s="4">
        <v>0.07</v>
      </c>
      <c r="BU559" s="4" t="s">
        <v>398</v>
      </c>
      <c r="BW559" s="4" t="s">
        <v>311</v>
      </c>
      <c r="CB559" s="4" t="s">
        <v>319</v>
      </c>
      <c r="CC559" s="4">
        <v>1000</v>
      </c>
      <c r="CE559" s="4" t="s">
        <v>772</v>
      </c>
      <c r="CH559" s="4" t="s">
        <v>526</v>
      </c>
      <c r="DO559" s="4">
        <v>3</v>
      </c>
      <c r="EA559" s="1">
        <v>38.387</v>
      </c>
      <c r="EB559" s="1">
        <v>0</v>
      </c>
      <c r="ED559" s="1">
        <v>38.387</v>
      </c>
      <c r="GI559" s="27"/>
      <c r="GL559" s="27"/>
    </row>
    <row r="560" customHeight="1" spans="1:313">
      <c r="A560" s="3">
        <v>19</v>
      </c>
      <c r="B560" s="4" t="s">
        <v>762</v>
      </c>
      <c r="C560" s="5" t="s">
        <v>763</v>
      </c>
      <c r="D560" s="4" t="s">
        <v>764</v>
      </c>
      <c r="N560" s="4" t="s">
        <v>567</v>
      </c>
      <c r="O560" s="4" t="s">
        <v>343</v>
      </c>
      <c r="P560" s="4">
        <v>2</v>
      </c>
      <c r="Q560" s="4" t="s">
        <v>542</v>
      </c>
      <c r="X560" s="4">
        <v>0.75</v>
      </c>
      <c r="AB560" s="4" t="s">
        <v>765</v>
      </c>
      <c r="AC560" s="4" t="s">
        <v>766</v>
      </c>
      <c r="AD560" s="4" t="s">
        <v>767</v>
      </c>
      <c r="AE560" s="4" t="s">
        <v>768</v>
      </c>
      <c r="AF560" s="4" t="s">
        <v>769</v>
      </c>
      <c r="AH560" s="4" t="s">
        <v>596</v>
      </c>
      <c r="AM560" s="4">
        <v>6.2</v>
      </c>
      <c r="AN560" s="4">
        <v>10.26</v>
      </c>
      <c r="BD560" s="4" t="s">
        <v>770</v>
      </c>
      <c r="BE560" s="4" t="s">
        <v>771</v>
      </c>
      <c r="BI560" s="4" t="s">
        <v>321</v>
      </c>
      <c r="BK560" s="4">
        <v>5</v>
      </c>
      <c r="BL560" s="4">
        <v>1</v>
      </c>
      <c r="BU560" s="4" t="s">
        <v>398</v>
      </c>
      <c r="BW560" s="4" t="s">
        <v>311</v>
      </c>
      <c r="CB560" s="4" t="s">
        <v>319</v>
      </c>
      <c r="CC560" s="4">
        <v>500</v>
      </c>
      <c r="CE560" s="4" t="s">
        <v>772</v>
      </c>
      <c r="CH560" s="4" t="s">
        <v>526</v>
      </c>
      <c r="DO560" s="4">
        <v>3</v>
      </c>
      <c r="EA560" s="1">
        <v>26.51</v>
      </c>
      <c r="EB560" s="1">
        <v>5.03</v>
      </c>
      <c r="ED560" s="1">
        <v>26.51</v>
      </c>
      <c r="GI560" s="27"/>
      <c r="GL560" s="27"/>
    </row>
    <row r="561" customHeight="1" spans="1:313">
      <c r="A561" s="3">
        <v>19</v>
      </c>
      <c r="B561" s="4" t="s">
        <v>762</v>
      </c>
      <c r="C561" s="5" t="s">
        <v>763</v>
      </c>
      <c r="D561" s="4" t="s">
        <v>764</v>
      </c>
      <c r="N561" s="4" t="s">
        <v>567</v>
      </c>
      <c r="O561" s="4" t="s">
        <v>343</v>
      </c>
      <c r="P561" s="4">
        <v>2</v>
      </c>
      <c r="Q561" s="4" t="s">
        <v>542</v>
      </c>
      <c r="X561" s="4">
        <v>0.75</v>
      </c>
      <c r="AB561" s="4" t="s">
        <v>765</v>
      </c>
      <c r="AC561" s="4" t="s">
        <v>766</v>
      </c>
      <c r="AD561" s="4" t="s">
        <v>767</v>
      </c>
      <c r="AE561" s="4" t="s">
        <v>768</v>
      </c>
      <c r="AF561" s="4" t="s">
        <v>769</v>
      </c>
      <c r="AH561" s="4" t="s">
        <v>596</v>
      </c>
      <c r="AM561" s="4">
        <v>6.2</v>
      </c>
      <c r="AN561" s="4">
        <v>10.26</v>
      </c>
      <c r="BD561" s="4" t="s">
        <v>770</v>
      </c>
      <c r="BE561" s="4" t="s">
        <v>771</v>
      </c>
      <c r="BI561" s="4" t="s">
        <v>321</v>
      </c>
      <c r="BK561" s="4">
        <v>5</v>
      </c>
      <c r="BL561" s="4">
        <v>1</v>
      </c>
      <c r="BU561" s="4" t="s">
        <v>398</v>
      </c>
      <c r="BW561" s="4" t="s">
        <v>311</v>
      </c>
      <c r="CB561" s="4" t="s">
        <v>319</v>
      </c>
      <c r="CC561" s="4">
        <v>1000</v>
      </c>
      <c r="CE561" s="4" t="s">
        <v>772</v>
      </c>
      <c r="CH561" s="4" t="s">
        <v>526</v>
      </c>
      <c r="DO561" s="4">
        <v>3</v>
      </c>
      <c r="EA561" s="1">
        <v>38.591</v>
      </c>
      <c r="EB561" s="1">
        <v>0</v>
      </c>
      <c r="ED561" s="1">
        <v>38.591</v>
      </c>
      <c r="GI561" s="27"/>
      <c r="GL561" s="27"/>
    </row>
    <row r="562" customHeight="1" spans="1:313">
      <c r="A562" s="3">
        <v>19</v>
      </c>
      <c r="B562" s="4" t="s">
        <v>762</v>
      </c>
      <c r="C562" s="5" t="s">
        <v>763</v>
      </c>
      <c r="D562" s="4" t="s">
        <v>764</v>
      </c>
      <c r="N562" s="4" t="s">
        <v>567</v>
      </c>
      <c r="O562" s="4" t="s">
        <v>343</v>
      </c>
      <c r="P562" s="4">
        <v>2</v>
      </c>
      <c r="Q562" s="4" t="s">
        <v>542</v>
      </c>
      <c r="X562" s="4">
        <v>0.75</v>
      </c>
      <c r="AB562" s="4" t="s">
        <v>765</v>
      </c>
      <c r="AC562" s="4" t="s">
        <v>766</v>
      </c>
      <c r="AD562" s="4" t="s">
        <v>767</v>
      </c>
      <c r="AE562" s="4" t="s">
        <v>768</v>
      </c>
      <c r="AF562" s="4" t="s">
        <v>769</v>
      </c>
      <c r="AH562" s="4" t="s">
        <v>596</v>
      </c>
      <c r="AM562" s="4">
        <v>6.2</v>
      </c>
      <c r="AN562" s="4">
        <v>10.26</v>
      </c>
      <c r="BD562" s="4" t="s">
        <v>770</v>
      </c>
      <c r="BE562" s="4" t="s">
        <v>771</v>
      </c>
      <c r="BI562" s="4" t="s">
        <v>321</v>
      </c>
      <c r="BK562" s="4">
        <v>5</v>
      </c>
      <c r="BL562" s="4">
        <v>1</v>
      </c>
      <c r="BU562" s="4" t="s">
        <v>398</v>
      </c>
      <c r="BW562" s="4" t="s">
        <v>311</v>
      </c>
      <c r="CB562" s="4" t="s">
        <v>319</v>
      </c>
      <c r="CC562" s="4">
        <v>1500</v>
      </c>
      <c r="CE562" s="4" t="s">
        <v>772</v>
      </c>
      <c r="CH562" s="4" t="s">
        <v>526</v>
      </c>
      <c r="DO562" s="4">
        <v>3</v>
      </c>
      <c r="EA562" s="1">
        <v>-1.678</v>
      </c>
      <c r="EB562" s="1">
        <v>4.03</v>
      </c>
      <c r="ED562" s="1">
        <v>-1.678</v>
      </c>
      <c r="GI562" s="27"/>
      <c r="GL562" s="27"/>
    </row>
    <row r="563" customHeight="1" spans="1:313">
      <c r="A563" s="3">
        <v>19</v>
      </c>
      <c r="B563" s="4" t="s">
        <v>762</v>
      </c>
      <c r="C563" s="5" t="s">
        <v>763</v>
      </c>
      <c r="D563" s="4" t="s">
        <v>764</v>
      </c>
      <c r="N563" s="4" t="s">
        <v>567</v>
      </c>
      <c r="O563" s="4" t="s">
        <v>343</v>
      </c>
      <c r="P563" s="4">
        <v>2</v>
      </c>
      <c r="Q563" s="4" t="s">
        <v>542</v>
      </c>
      <c r="X563" s="4">
        <v>0.75</v>
      </c>
      <c r="AB563" s="4" t="s">
        <v>765</v>
      </c>
      <c r="AC563" s="4" t="s">
        <v>766</v>
      </c>
      <c r="AD563" s="4" t="s">
        <v>767</v>
      </c>
      <c r="AE563" s="4" t="s">
        <v>768</v>
      </c>
      <c r="AF563" s="4" t="s">
        <v>769</v>
      </c>
      <c r="AH563" s="4" t="s">
        <v>596</v>
      </c>
      <c r="AM563" s="4">
        <v>6.2</v>
      </c>
      <c r="AN563" s="4">
        <v>10.26</v>
      </c>
      <c r="BD563" s="4" t="s">
        <v>770</v>
      </c>
      <c r="BE563" s="4" t="s">
        <v>771</v>
      </c>
      <c r="BI563" s="4" t="s">
        <v>321</v>
      </c>
      <c r="BK563" s="4">
        <v>5</v>
      </c>
      <c r="BL563" s="4">
        <v>1</v>
      </c>
      <c r="BU563" s="4" t="s">
        <v>398</v>
      </c>
      <c r="BW563" s="4" t="s">
        <v>311</v>
      </c>
      <c r="CB563" s="4" t="s">
        <v>319</v>
      </c>
      <c r="CC563" s="4">
        <v>2000</v>
      </c>
      <c r="CE563" s="4" t="s">
        <v>772</v>
      </c>
      <c r="CH563" s="4" t="s">
        <v>526</v>
      </c>
      <c r="DO563" s="4">
        <v>3</v>
      </c>
      <c r="EA563" s="1">
        <v>9.396</v>
      </c>
      <c r="EB563" s="1">
        <v>6.04</v>
      </c>
      <c r="ED563" s="1">
        <v>9.396</v>
      </c>
      <c r="GI563" s="27"/>
      <c r="GL563" s="27"/>
    </row>
    <row r="564" customHeight="1" spans="1:313">
      <c r="A564" s="3">
        <v>19</v>
      </c>
      <c r="B564" s="4" t="s">
        <v>762</v>
      </c>
      <c r="C564" s="5" t="s">
        <v>763</v>
      </c>
      <c r="D564" s="4" t="s">
        <v>764</v>
      </c>
      <c r="N564" s="4" t="s">
        <v>567</v>
      </c>
      <c r="O564" s="4" t="s">
        <v>343</v>
      </c>
      <c r="P564" s="4">
        <v>2</v>
      </c>
      <c r="Q564" s="4" t="s">
        <v>542</v>
      </c>
      <c r="X564" s="4">
        <v>0.75</v>
      </c>
      <c r="AB564" s="4" t="s">
        <v>765</v>
      </c>
      <c r="AC564" s="4" t="s">
        <v>766</v>
      </c>
      <c r="AD564" s="4" t="s">
        <v>767</v>
      </c>
      <c r="AE564" s="4" t="s">
        <v>768</v>
      </c>
      <c r="AF564" s="4" t="s">
        <v>769</v>
      </c>
      <c r="AH564" s="4" t="s">
        <v>596</v>
      </c>
      <c r="AM564" s="4">
        <v>6.2</v>
      </c>
      <c r="AN564" s="4">
        <v>10.26</v>
      </c>
      <c r="BD564" s="4" t="s">
        <v>770</v>
      </c>
      <c r="BE564" s="4" t="s">
        <v>771</v>
      </c>
      <c r="BI564" s="4" t="s">
        <v>321</v>
      </c>
      <c r="BK564" s="4">
        <v>5</v>
      </c>
      <c r="BL564" s="4">
        <v>1</v>
      </c>
      <c r="BT564" s="4">
        <v>3</v>
      </c>
      <c r="BU564" s="4" t="s">
        <v>398</v>
      </c>
      <c r="BW564" s="4" t="s">
        <v>311</v>
      </c>
      <c r="CB564" s="4" t="s">
        <v>319</v>
      </c>
      <c r="CC564" s="4">
        <v>1000</v>
      </c>
      <c r="CE564" s="4" t="s">
        <v>772</v>
      </c>
      <c r="CH564" s="4" t="s">
        <v>526</v>
      </c>
      <c r="DO564" s="4">
        <v>3</v>
      </c>
      <c r="EA564" s="1">
        <v>-0.337</v>
      </c>
      <c r="EB564" s="1">
        <v>2.02</v>
      </c>
      <c r="ED564" s="1">
        <v>-0.337</v>
      </c>
      <c r="GI564" s="27"/>
      <c r="GL564" s="27"/>
    </row>
    <row r="565" customHeight="1" spans="1:313">
      <c r="A565" s="3">
        <v>19</v>
      </c>
      <c r="B565" s="4" t="s">
        <v>762</v>
      </c>
      <c r="C565" s="5" t="s">
        <v>763</v>
      </c>
      <c r="D565" s="4" t="s">
        <v>764</v>
      </c>
      <c r="N565" s="4" t="s">
        <v>567</v>
      </c>
      <c r="O565" s="4" t="s">
        <v>343</v>
      </c>
      <c r="P565" s="4">
        <v>2</v>
      </c>
      <c r="Q565" s="4" t="s">
        <v>542</v>
      </c>
      <c r="X565" s="4">
        <v>0.75</v>
      </c>
      <c r="AB565" s="4" t="s">
        <v>765</v>
      </c>
      <c r="AC565" s="4" t="s">
        <v>766</v>
      </c>
      <c r="AD565" s="4" t="s">
        <v>767</v>
      </c>
      <c r="AE565" s="4" t="s">
        <v>768</v>
      </c>
      <c r="AF565" s="4" t="s">
        <v>769</v>
      </c>
      <c r="AH565" s="4" t="s">
        <v>596</v>
      </c>
      <c r="AM565" s="4">
        <v>6.2</v>
      </c>
      <c r="AN565" s="4">
        <v>10.26</v>
      </c>
      <c r="BD565" s="4" t="s">
        <v>770</v>
      </c>
      <c r="BE565" s="4" t="s">
        <v>771</v>
      </c>
      <c r="BI565" s="4" t="s">
        <v>321</v>
      </c>
      <c r="BK565" s="4">
        <v>5</v>
      </c>
      <c r="BL565" s="4">
        <v>1</v>
      </c>
      <c r="BT565" s="4">
        <v>4</v>
      </c>
      <c r="BU565" s="4" t="s">
        <v>398</v>
      </c>
      <c r="BW565" s="4" t="s">
        <v>311</v>
      </c>
      <c r="CB565" s="4" t="s">
        <v>319</v>
      </c>
      <c r="CC565" s="4">
        <v>1000</v>
      </c>
      <c r="CE565" s="4" t="s">
        <v>772</v>
      </c>
      <c r="CH565" s="4" t="s">
        <v>526</v>
      </c>
      <c r="DO565" s="4">
        <v>3</v>
      </c>
      <c r="EA565" s="1">
        <v>69.697</v>
      </c>
      <c r="EB565" s="1">
        <v>3.37</v>
      </c>
      <c r="ED565" s="1">
        <v>69.697</v>
      </c>
      <c r="GI565" s="27"/>
      <c r="GL565" s="27"/>
    </row>
    <row r="566" customHeight="1" spans="1:313">
      <c r="A566" s="3">
        <v>19</v>
      </c>
      <c r="B566" s="4" t="s">
        <v>762</v>
      </c>
      <c r="C566" s="5" t="s">
        <v>763</v>
      </c>
      <c r="D566" s="4" t="s">
        <v>764</v>
      </c>
      <c r="N566" s="4" t="s">
        <v>567</v>
      </c>
      <c r="O566" s="4" t="s">
        <v>343</v>
      </c>
      <c r="P566" s="4">
        <v>2</v>
      </c>
      <c r="Q566" s="4" t="s">
        <v>542</v>
      </c>
      <c r="X566" s="4">
        <v>0.75</v>
      </c>
      <c r="AB566" s="4" t="s">
        <v>765</v>
      </c>
      <c r="AC566" s="4" t="s">
        <v>766</v>
      </c>
      <c r="AD566" s="4" t="s">
        <v>767</v>
      </c>
      <c r="AE566" s="4" t="s">
        <v>768</v>
      </c>
      <c r="AF566" s="4" t="s">
        <v>769</v>
      </c>
      <c r="AH566" s="4" t="s">
        <v>596</v>
      </c>
      <c r="AM566" s="4">
        <v>6.2</v>
      </c>
      <c r="AN566" s="4">
        <v>10.26</v>
      </c>
      <c r="BD566" s="4" t="s">
        <v>770</v>
      </c>
      <c r="BE566" s="4" t="s">
        <v>771</v>
      </c>
      <c r="BI566" s="4" t="s">
        <v>321</v>
      </c>
      <c r="BK566" s="4">
        <v>5</v>
      </c>
      <c r="BL566" s="4">
        <v>1</v>
      </c>
      <c r="BT566" s="4">
        <v>5</v>
      </c>
      <c r="BU566" s="4" t="s">
        <v>398</v>
      </c>
      <c r="BW566" s="4" t="s">
        <v>311</v>
      </c>
      <c r="CB566" s="4" t="s">
        <v>319</v>
      </c>
      <c r="CC566" s="4">
        <v>1000</v>
      </c>
      <c r="CE566" s="4" t="s">
        <v>772</v>
      </c>
      <c r="CH566" s="4" t="s">
        <v>526</v>
      </c>
      <c r="DO566" s="4">
        <v>3</v>
      </c>
      <c r="EA566" s="1">
        <v>68.013</v>
      </c>
      <c r="EB566" s="1">
        <v>6.06</v>
      </c>
      <c r="ED566" s="1">
        <v>68.013</v>
      </c>
      <c r="GI566" s="27"/>
      <c r="GL566" s="27"/>
    </row>
    <row r="567" customHeight="1" spans="1:313">
      <c r="A567" s="3">
        <v>19</v>
      </c>
      <c r="B567" s="4" t="s">
        <v>762</v>
      </c>
      <c r="C567" s="5" t="s">
        <v>763</v>
      </c>
      <c r="D567" s="4" t="s">
        <v>764</v>
      </c>
      <c r="N567" s="4" t="s">
        <v>567</v>
      </c>
      <c r="O567" s="4" t="s">
        <v>343</v>
      </c>
      <c r="P567" s="4">
        <v>2</v>
      </c>
      <c r="Q567" s="4" t="s">
        <v>542</v>
      </c>
      <c r="X567" s="4">
        <v>0.75</v>
      </c>
      <c r="AB567" s="4" t="s">
        <v>765</v>
      </c>
      <c r="AC567" s="4" t="s">
        <v>766</v>
      </c>
      <c r="AD567" s="4" t="s">
        <v>767</v>
      </c>
      <c r="AE567" s="4" t="s">
        <v>768</v>
      </c>
      <c r="AF567" s="4" t="s">
        <v>769</v>
      </c>
      <c r="AH567" s="4" t="s">
        <v>596</v>
      </c>
      <c r="AM567" s="4">
        <v>6.2</v>
      </c>
      <c r="AN567" s="4">
        <v>10.26</v>
      </c>
      <c r="BD567" s="4" t="s">
        <v>770</v>
      </c>
      <c r="BE567" s="4" t="s">
        <v>771</v>
      </c>
      <c r="BI567" s="4" t="s">
        <v>321</v>
      </c>
      <c r="BK567" s="4">
        <v>5</v>
      </c>
      <c r="BL567" s="4">
        <v>1</v>
      </c>
      <c r="BT567" s="4">
        <v>6</v>
      </c>
      <c r="BU567" s="4" t="s">
        <v>398</v>
      </c>
      <c r="BW567" s="4" t="s">
        <v>311</v>
      </c>
      <c r="CB567" s="4" t="s">
        <v>319</v>
      </c>
      <c r="CC567" s="4">
        <v>1000</v>
      </c>
      <c r="CE567" s="4" t="s">
        <v>772</v>
      </c>
      <c r="CH567" s="4" t="s">
        <v>526</v>
      </c>
      <c r="DO567" s="4">
        <v>3</v>
      </c>
      <c r="EA567" s="1">
        <v>67.34</v>
      </c>
      <c r="EB567" s="1">
        <v>7.41</v>
      </c>
      <c r="ED567" s="1">
        <v>67.34</v>
      </c>
      <c r="GI567" s="27"/>
      <c r="GL567" s="27"/>
    </row>
    <row r="568" customHeight="1" spans="1:313">
      <c r="A568" s="3">
        <v>19</v>
      </c>
      <c r="B568" s="4" t="s">
        <v>762</v>
      </c>
      <c r="C568" s="5" t="s">
        <v>763</v>
      </c>
      <c r="D568" s="4" t="s">
        <v>764</v>
      </c>
      <c r="N568" s="4" t="s">
        <v>567</v>
      </c>
      <c r="O568" s="4" t="s">
        <v>343</v>
      </c>
      <c r="P568" s="4">
        <v>2</v>
      </c>
      <c r="Q568" s="4" t="s">
        <v>542</v>
      </c>
      <c r="X568" s="4">
        <v>0.75</v>
      </c>
      <c r="AB568" s="4" t="s">
        <v>765</v>
      </c>
      <c r="AC568" s="4" t="s">
        <v>766</v>
      </c>
      <c r="AD568" s="4" t="s">
        <v>767</v>
      </c>
      <c r="AE568" s="4" t="s">
        <v>768</v>
      </c>
      <c r="AF568" s="4" t="s">
        <v>769</v>
      </c>
      <c r="AH568" s="4" t="s">
        <v>596</v>
      </c>
      <c r="AM568" s="4">
        <v>6.2</v>
      </c>
      <c r="AN568" s="4">
        <v>10.26</v>
      </c>
      <c r="BD568" s="4" t="s">
        <v>770</v>
      </c>
      <c r="BI568" s="4" t="s">
        <v>321</v>
      </c>
      <c r="BK568" s="4">
        <v>5</v>
      </c>
      <c r="BL568" s="4">
        <v>1</v>
      </c>
      <c r="BU568" s="4" t="s">
        <v>398</v>
      </c>
      <c r="BV568" s="4">
        <v>4320</v>
      </c>
      <c r="CB568" s="4" t="s">
        <v>7</v>
      </c>
      <c r="CC568" s="4">
        <v>1000</v>
      </c>
      <c r="DO568" s="4">
        <v>3</v>
      </c>
      <c r="DS568" s="4">
        <v>39.15</v>
      </c>
      <c r="EC568" s="1">
        <f>(1000-DS568)/10</f>
        <v>96.085</v>
      </c>
      <c r="ED568" s="1">
        <v>96.085</v>
      </c>
    </row>
    <row r="569" customHeight="1" spans="1:313">
      <c r="A569" s="3">
        <v>19</v>
      </c>
      <c r="B569" s="4" t="s">
        <v>762</v>
      </c>
      <c r="C569" s="5" t="s">
        <v>763</v>
      </c>
      <c r="D569" s="4" t="s">
        <v>764</v>
      </c>
      <c r="N569" s="4" t="s">
        <v>567</v>
      </c>
      <c r="O569" s="4" t="s">
        <v>343</v>
      </c>
      <c r="P569" s="4">
        <v>2</v>
      </c>
      <c r="Q569" s="4" t="s">
        <v>542</v>
      </c>
      <c r="X569" s="4">
        <v>0.75</v>
      </c>
      <c r="AB569" s="4" t="s">
        <v>765</v>
      </c>
      <c r="AC569" s="4" t="s">
        <v>766</v>
      </c>
      <c r="AD569" s="4" t="s">
        <v>767</v>
      </c>
      <c r="AE569" s="4" t="s">
        <v>768</v>
      </c>
      <c r="AF569" s="4" t="s">
        <v>769</v>
      </c>
      <c r="AH569" s="4" t="s">
        <v>596</v>
      </c>
      <c r="AM569" s="4">
        <v>6.2</v>
      </c>
      <c r="AN569" s="4">
        <v>10.26</v>
      </c>
      <c r="BD569" s="4" t="s">
        <v>770</v>
      </c>
      <c r="BI569" s="4" t="s">
        <v>321</v>
      </c>
      <c r="BK569" s="4">
        <v>5</v>
      </c>
      <c r="BL569" s="4">
        <v>1</v>
      </c>
      <c r="BU569" s="4" t="s">
        <v>398</v>
      </c>
      <c r="BV569" s="4">
        <v>4320</v>
      </c>
      <c r="CB569" s="4" t="s">
        <v>7</v>
      </c>
      <c r="CC569" s="4">
        <v>1000</v>
      </c>
      <c r="DO569" s="4">
        <v>3</v>
      </c>
      <c r="DS569" s="4">
        <v>18.9</v>
      </c>
      <c r="EC569" s="1">
        <f>(1000-DS569)/10</f>
        <v>98.11</v>
      </c>
      <c r="ED569" s="1">
        <v>98.11</v>
      </c>
    </row>
    <row r="570" customHeight="1" spans="1:313">
      <c r="A570" s="3">
        <v>19</v>
      </c>
      <c r="B570" s="4" t="s">
        <v>762</v>
      </c>
      <c r="C570" s="5" t="s">
        <v>763</v>
      </c>
      <c r="D570" s="4" t="s">
        <v>764</v>
      </c>
      <c r="N570" s="4" t="s">
        <v>567</v>
      </c>
      <c r="O570" s="4" t="s">
        <v>343</v>
      </c>
      <c r="P570" s="4">
        <v>2</v>
      </c>
      <c r="Q570" s="4" t="s">
        <v>542</v>
      </c>
      <c r="X570" s="4">
        <v>0.75</v>
      </c>
      <c r="AB570" s="4" t="s">
        <v>765</v>
      </c>
      <c r="AC570" s="4" t="s">
        <v>766</v>
      </c>
      <c r="AD570" s="4" t="s">
        <v>767</v>
      </c>
      <c r="AE570" s="4" t="s">
        <v>768</v>
      </c>
      <c r="AF570" s="4" t="s">
        <v>769</v>
      </c>
      <c r="AH570" s="4" t="s">
        <v>596</v>
      </c>
      <c r="AM570" s="4">
        <v>6.2</v>
      </c>
      <c r="AN570" s="4">
        <v>10.26</v>
      </c>
      <c r="BD570" s="4" t="s">
        <v>770</v>
      </c>
      <c r="DO570" s="4">
        <v>3</v>
      </c>
    </row>
    <row r="571" customHeight="1" spans="1:313">
      <c r="A571" s="3">
        <v>19</v>
      </c>
      <c r="B571" s="4" t="s">
        <v>762</v>
      </c>
      <c r="C571" s="5" t="s">
        <v>763</v>
      </c>
      <c r="D571" s="4" t="s">
        <v>764</v>
      </c>
      <c r="N571" s="4" t="s">
        <v>567</v>
      </c>
      <c r="O571" s="4" t="s">
        <v>343</v>
      </c>
      <c r="P571" s="4">
        <v>2</v>
      </c>
      <c r="Q571" s="4" t="s">
        <v>542</v>
      </c>
      <c r="X571" s="4">
        <v>0.75</v>
      </c>
      <c r="AB571" s="4" t="s">
        <v>765</v>
      </c>
      <c r="AC571" s="4" t="s">
        <v>766</v>
      </c>
      <c r="AD571" s="4" t="s">
        <v>767</v>
      </c>
      <c r="AE571" s="4" t="s">
        <v>768</v>
      </c>
      <c r="AF571" s="4" t="s">
        <v>769</v>
      </c>
      <c r="AH571" s="4" t="s">
        <v>596</v>
      </c>
      <c r="AM571" s="4">
        <v>6.2</v>
      </c>
      <c r="AN571" s="4">
        <v>10.26</v>
      </c>
      <c r="BD571" s="4" t="s">
        <v>770</v>
      </c>
      <c r="DO571" s="4">
        <v>3</v>
      </c>
    </row>
    <row r="572" customHeight="1" spans="1:313">
      <c r="A572" s="3">
        <v>19</v>
      </c>
      <c r="B572" s="4" t="s">
        <v>762</v>
      </c>
      <c r="C572" s="5" t="s">
        <v>763</v>
      </c>
      <c r="D572" s="4" t="s">
        <v>764</v>
      </c>
      <c r="N572" s="4" t="s">
        <v>567</v>
      </c>
      <c r="O572" s="4" t="s">
        <v>343</v>
      </c>
      <c r="P572" s="4">
        <v>2</v>
      </c>
      <c r="Q572" s="4" t="s">
        <v>542</v>
      </c>
      <c r="X572" s="4">
        <v>0.75</v>
      </c>
      <c r="AB572" s="4" t="s">
        <v>765</v>
      </c>
      <c r="AC572" s="4" t="s">
        <v>766</v>
      </c>
      <c r="AD572" s="4" t="s">
        <v>767</v>
      </c>
      <c r="AE572" s="4" t="s">
        <v>768</v>
      </c>
      <c r="AF572" s="4" t="s">
        <v>769</v>
      </c>
      <c r="AH572" s="4" t="s">
        <v>596</v>
      </c>
      <c r="AM572" s="4">
        <v>6.2</v>
      </c>
      <c r="AN572" s="4">
        <v>10.26</v>
      </c>
      <c r="BD572" s="4" t="s">
        <v>770</v>
      </c>
      <c r="DO572" s="4">
        <v>3</v>
      </c>
    </row>
    <row r="573" customHeight="1" spans="1:313">
      <c r="A573" s="3">
        <v>19</v>
      </c>
      <c r="B573" s="4" t="s">
        <v>762</v>
      </c>
      <c r="C573" s="5" t="s">
        <v>775</v>
      </c>
      <c r="D573" s="4" t="s">
        <v>776</v>
      </c>
      <c r="F573" s="4" t="s">
        <v>328</v>
      </c>
      <c r="N573" s="4" t="s">
        <v>567</v>
      </c>
      <c r="O573" s="4" t="s">
        <v>343</v>
      </c>
      <c r="AB573" s="4" t="s">
        <v>777</v>
      </c>
      <c r="AC573" s="4" t="s">
        <v>778</v>
      </c>
      <c r="AD573" s="4" t="s">
        <v>779</v>
      </c>
      <c r="AE573" s="4" t="s">
        <v>780</v>
      </c>
      <c r="AF573" s="4" t="s">
        <v>781</v>
      </c>
      <c r="AH573" s="4" t="s">
        <v>596</v>
      </c>
      <c r="AM573" s="4">
        <v>6.2</v>
      </c>
      <c r="AN573" s="4">
        <v>10.26</v>
      </c>
      <c r="BD573" s="4" t="s">
        <v>770</v>
      </c>
      <c r="BE573" s="4" t="s">
        <v>771</v>
      </c>
      <c r="BI573" s="4" t="s">
        <v>321</v>
      </c>
      <c r="BK573" s="4">
        <v>5</v>
      </c>
      <c r="BL573" s="4">
        <v>1</v>
      </c>
      <c r="BO573" s="4">
        <v>0.01</v>
      </c>
      <c r="BU573" s="4" t="s">
        <v>398</v>
      </c>
      <c r="BW573" s="4" t="s">
        <v>311</v>
      </c>
      <c r="CB573" s="4" t="s">
        <v>319</v>
      </c>
      <c r="CC573" s="4">
        <v>1000</v>
      </c>
      <c r="CE573" s="4" t="s">
        <v>772</v>
      </c>
      <c r="CH573" s="4" t="s">
        <v>526</v>
      </c>
      <c r="DO573" s="4">
        <v>3</v>
      </c>
      <c r="EA573" s="1">
        <v>13.871</v>
      </c>
      <c r="EB573" s="1">
        <v>6.13</v>
      </c>
      <c r="ED573" s="1">
        <v>13.871</v>
      </c>
      <c r="KZ573" s="1" t="s">
        <v>7</v>
      </c>
      <c r="LA573" s="1" t="s">
        <v>774</v>
      </c>
    </row>
    <row r="574" customHeight="1" spans="1:313">
      <c r="A574" s="3">
        <v>19</v>
      </c>
      <c r="B574" s="4" t="s">
        <v>762</v>
      </c>
      <c r="C574" s="5" t="s">
        <v>775</v>
      </c>
      <c r="D574" s="4" t="s">
        <v>776</v>
      </c>
      <c r="F574" s="4" t="s">
        <v>328</v>
      </c>
      <c r="N574" s="4" t="s">
        <v>567</v>
      </c>
      <c r="O574" s="4" t="s">
        <v>343</v>
      </c>
      <c r="AB574" s="4" t="s">
        <v>777</v>
      </c>
      <c r="AC574" s="4" t="s">
        <v>778</v>
      </c>
      <c r="AD574" s="4" t="s">
        <v>779</v>
      </c>
      <c r="AE574" s="4" t="s">
        <v>780</v>
      </c>
      <c r="AF574" s="4" t="s">
        <v>781</v>
      </c>
      <c r="AH574" s="4" t="s">
        <v>596</v>
      </c>
      <c r="AM574" s="4">
        <v>6.2</v>
      </c>
      <c r="AN574" s="4">
        <v>10.26</v>
      </c>
      <c r="BD574" s="4" t="s">
        <v>770</v>
      </c>
      <c r="BE574" s="4" t="s">
        <v>771</v>
      </c>
      <c r="BI574" s="4" t="s">
        <v>321</v>
      </c>
      <c r="BK574" s="4">
        <v>5</v>
      </c>
      <c r="BL574" s="4">
        <v>1</v>
      </c>
      <c r="BO574" s="4">
        <v>0.03</v>
      </c>
      <c r="BU574" s="4" t="s">
        <v>398</v>
      </c>
      <c r="BW574" s="4" t="s">
        <v>311</v>
      </c>
      <c r="CB574" s="4" t="s">
        <v>319</v>
      </c>
      <c r="CC574" s="4">
        <v>1000</v>
      </c>
      <c r="CE574" s="4" t="s">
        <v>772</v>
      </c>
      <c r="CH574" s="4" t="s">
        <v>526</v>
      </c>
      <c r="DO574" s="4">
        <v>3</v>
      </c>
      <c r="EA574" s="1">
        <v>20.323</v>
      </c>
      <c r="EB574" s="1">
        <v>1.94</v>
      </c>
      <c r="ED574" s="1">
        <v>20.323</v>
      </c>
    </row>
    <row r="575" customHeight="1" spans="1:313">
      <c r="A575" s="3">
        <v>19</v>
      </c>
      <c r="B575" s="4" t="s">
        <v>762</v>
      </c>
      <c r="C575" s="5" t="s">
        <v>775</v>
      </c>
      <c r="D575" s="4" t="s">
        <v>776</v>
      </c>
      <c r="F575" s="4" t="s">
        <v>328</v>
      </c>
      <c r="N575" s="4" t="s">
        <v>567</v>
      </c>
      <c r="O575" s="4" t="s">
        <v>343</v>
      </c>
      <c r="AB575" s="4" t="s">
        <v>777</v>
      </c>
      <c r="AC575" s="4" t="s">
        <v>778</v>
      </c>
      <c r="AD575" s="4" t="s">
        <v>779</v>
      </c>
      <c r="AE575" s="4" t="s">
        <v>780</v>
      </c>
      <c r="AF575" s="4" t="s">
        <v>781</v>
      </c>
      <c r="AH575" s="4" t="s">
        <v>596</v>
      </c>
      <c r="AM575" s="4">
        <v>6.2</v>
      </c>
      <c r="AN575" s="4">
        <v>10.26</v>
      </c>
      <c r="BD575" s="4" t="s">
        <v>770</v>
      </c>
      <c r="BE575" s="4" t="s">
        <v>771</v>
      </c>
      <c r="BI575" s="4" t="s">
        <v>321</v>
      </c>
      <c r="BK575" s="4">
        <v>5</v>
      </c>
      <c r="BL575" s="4">
        <v>1</v>
      </c>
      <c r="BO575" s="4">
        <v>0.05</v>
      </c>
      <c r="BU575" s="4" t="s">
        <v>398</v>
      </c>
      <c r="BW575" s="4" t="s">
        <v>311</v>
      </c>
      <c r="CB575" s="4" t="s">
        <v>319</v>
      </c>
      <c r="CC575" s="4">
        <v>1000</v>
      </c>
      <c r="CE575" s="4" t="s">
        <v>772</v>
      </c>
      <c r="CH575" s="4" t="s">
        <v>526</v>
      </c>
      <c r="DO575" s="4">
        <v>3</v>
      </c>
      <c r="EA575" s="1">
        <v>25.161</v>
      </c>
      <c r="EB575" s="1">
        <v>1.94</v>
      </c>
      <c r="ED575" s="1">
        <v>25.161</v>
      </c>
    </row>
    <row r="576" customHeight="1" spans="1:313">
      <c r="A576" s="3">
        <v>19</v>
      </c>
      <c r="B576" s="4" t="s">
        <v>762</v>
      </c>
      <c r="C576" s="5" t="s">
        <v>775</v>
      </c>
      <c r="D576" s="4" t="s">
        <v>776</v>
      </c>
      <c r="F576" s="4" t="s">
        <v>328</v>
      </c>
      <c r="N576" s="4" t="s">
        <v>567</v>
      </c>
      <c r="O576" s="4" t="s">
        <v>343</v>
      </c>
      <c r="AB576" s="4" t="s">
        <v>777</v>
      </c>
      <c r="AC576" s="4" t="s">
        <v>778</v>
      </c>
      <c r="AD576" s="4" t="s">
        <v>779</v>
      </c>
      <c r="AE576" s="4" t="s">
        <v>780</v>
      </c>
      <c r="AF576" s="4" t="s">
        <v>781</v>
      </c>
      <c r="AH576" s="4" t="s">
        <v>596</v>
      </c>
      <c r="AM576" s="4">
        <v>6.2</v>
      </c>
      <c r="AN576" s="4">
        <v>10.26</v>
      </c>
      <c r="BD576" s="4" t="s">
        <v>770</v>
      </c>
      <c r="BE576" s="4" t="s">
        <v>771</v>
      </c>
      <c r="BI576" s="4" t="s">
        <v>321</v>
      </c>
      <c r="BK576" s="4">
        <v>5</v>
      </c>
      <c r="BL576" s="4">
        <v>1</v>
      </c>
      <c r="BO576" s="4">
        <v>0.07</v>
      </c>
      <c r="BU576" s="4" t="s">
        <v>398</v>
      </c>
      <c r="BW576" s="4" t="s">
        <v>311</v>
      </c>
      <c r="CB576" s="4" t="s">
        <v>319</v>
      </c>
      <c r="CC576" s="4">
        <v>1000</v>
      </c>
      <c r="CE576" s="4" t="s">
        <v>772</v>
      </c>
      <c r="CH576" s="4" t="s">
        <v>526</v>
      </c>
      <c r="DO576" s="4">
        <v>3</v>
      </c>
      <c r="EA576" s="1">
        <v>33.871</v>
      </c>
      <c r="EB576" s="1">
        <v>2.58</v>
      </c>
      <c r="ED576" s="1">
        <v>33.871</v>
      </c>
    </row>
    <row r="577" customHeight="1" spans="1:313">
      <c r="A577" s="3">
        <v>19</v>
      </c>
      <c r="B577" s="4" t="s">
        <v>762</v>
      </c>
      <c r="C577" s="5" t="s">
        <v>775</v>
      </c>
      <c r="D577" s="4" t="s">
        <v>776</v>
      </c>
      <c r="F577" s="4" t="s">
        <v>328</v>
      </c>
      <c r="N577" s="4" t="s">
        <v>567</v>
      </c>
      <c r="O577" s="4" t="s">
        <v>343</v>
      </c>
      <c r="AB577" s="4" t="s">
        <v>777</v>
      </c>
      <c r="AC577" s="4" t="s">
        <v>778</v>
      </c>
      <c r="AD577" s="4" t="s">
        <v>779</v>
      </c>
      <c r="AE577" s="4" t="s">
        <v>780</v>
      </c>
      <c r="AF577" s="4" t="s">
        <v>781</v>
      </c>
      <c r="AH577" s="4" t="s">
        <v>596</v>
      </c>
      <c r="AM577" s="4">
        <v>6.2</v>
      </c>
      <c r="AN577" s="4">
        <v>10.26</v>
      </c>
      <c r="BD577" s="4" t="s">
        <v>770</v>
      </c>
      <c r="BE577" s="4" t="s">
        <v>771</v>
      </c>
      <c r="BI577" s="4" t="s">
        <v>321</v>
      </c>
      <c r="BK577" s="4">
        <v>5</v>
      </c>
      <c r="BL577" s="4">
        <v>1</v>
      </c>
      <c r="BU577" s="4" t="s">
        <v>398</v>
      </c>
      <c r="BW577" s="4" t="s">
        <v>311</v>
      </c>
      <c r="CB577" s="4" t="s">
        <v>319</v>
      </c>
      <c r="CC577" s="4">
        <v>500</v>
      </c>
      <c r="CE577" s="4" t="s">
        <v>772</v>
      </c>
      <c r="CH577" s="4" t="s">
        <v>526</v>
      </c>
      <c r="DO577" s="4">
        <v>3</v>
      </c>
      <c r="EA577" s="1">
        <v>21.812</v>
      </c>
      <c r="EB577" s="1">
        <v>7.72</v>
      </c>
      <c r="ED577" s="1">
        <v>21.812</v>
      </c>
    </row>
    <row r="578" customHeight="1" spans="1:313">
      <c r="A578" s="3">
        <v>19</v>
      </c>
      <c r="B578" s="4" t="s">
        <v>762</v>
      </c>
      <c r="C578" s="5" t="s">
        <v>775</v>
      </c>
      <c r="D578" s="4" t="s">
        <v>776</v>
      </c>
      <c r="F578" s="4" t="s">
        <v>328</v>
      </c>
      <c r="N578" s="4" t="s">
        <v>567</v>
      </c>
      <c r="O578" s="4" t="s">
        <v>343</v>
      </c>
      <c r="AB578" s="4" t="s">
        <v>777</v>
      </c>
      <c r="AC578" s="4" t="s">
        <v>778</v>
      </c>
      <c r="AD578" s="4" t="s">
        <v>779</v>
      </c>
      <c r="AE578" s="4" t="s">
        <v>780</v>
      </c>
      <c r="AF578" s="4" t="s">
        <v>781</v>
      </c>
      <c r="AH578" s="4" t="s">
        <v>596</v>
      </c>
      <c r="AM578" s="4">
        <v>6.2</v>
      </c>
      <c r="AN578" s="4">
        <v>10.26</v>
      </c>
      <c r="BD578" s="4" t="s">
        <v>770</v>
      </c>
      <c r="BE578" s="4" t="s">
        <v>771</v>
      </c>
      <c r="BI578" s="4" t="s">
        <v>321</v>
      </c>
      <c r="BK578" s="4">
        <v>5</v>
      </c>
      <c r="BL578" s="4">
        <v>1</v>
      </c>
      <c r="BU578" s="4" t="s">
        <v>398</v>
      </c>
      <c r="BW578" s="4" t="s">
        <v>311</v>
      </c>
      <c r="CB578" s="4" t="s">
        <v>319</v>
      </c>
      <c r="CC578" s="4">
        <v>1000</v>
      </c>
      <c r="CE578" s="4" t="s">
        <v>772</v>
      </c>
      <c r="CH578" s="4" t="s">
        <v>526</v>
      </c>
      <c r="DO578" s="4">
        <v>3</v>
      </c>
      <c r="EA578" s="1">
        <v>33.893</v>
      </c>
      <c r="EB578" s="1">
        <v>1.68</v>
      </c>
      <c r="ED578" s="1">
        <v>33.893</v>
      </c>
    </row>
    <row r="579" customHeight="1" spans="1:313">
      <c r="A579" s="3">
        <v>19</v>
      </c>
      <c r="B579" s="4" t="s">
        <v>762</v>
      </c>
      <c r="C579" s="5" t="s">
        <v>775</v>
      </c>
      <c r="D579" s="4" t="s">
        <v>776</v>
      </c>
      <c r="F579" s="4" t="s">
        <v>328</v>
      </c>
      <c r="N579" s="4" t="s">
        <v>567</v>
      </c>
      <c r="O579" s="4" t="s">
        <v>343</v>
      </c>
      <c r="AB579" s="4" t="s">
        <v>777</v>
      </c>
      <c r="AC579" s="4" t="s">
        <v>778</v>
      </c>
      <c r="AD579" s="4" t="s">
        <v>779</v>
      </c>
      <c r="AE579" s="4" t="s">
        <v>780</v>
      </c>
      <c r="AF579" s="4" t="s">
        <v>781</v>
      </c>
      <c r="AH579" s="4" t="s">
        <v>596</v>
      </c>
      <c r="AM579" s="4">
        <v>6.2</v>
      </c>
      <c r="AN579" s="4">
        <v>10.26</v>
      </c>
      <c r="BD579" s="4" t="s">
        <v>770</v>
      </c>
      <c r="BE579" s="4" t="s">
        <v>771</v>
      </c>
      <c r="BI579" s="4" t="s">
        <v>321</v>
      </c>
      <c r="BK579" s="4">
        <v>5</v>
      </c>
      <c r="BL579" s="4">
        <v>1</v>
      </c>
      <c r="BU579" s="4" t="s">
        <v>398</v>
      </c>
      <c r="BW579" s="4" t="s">
        <v>311</v>
      </c>
      <c r="CB579" s="4" t="s">
        <v>319</v>
      </c>
      <c r="CC579" s="4">
        <v>1500</v>
      </c>
      <c r="CE579" s="4" t="s">
        <v>772</v>
      </c>
      <c r="CH579" s="4" t="s">
        <v>526</v>
      </c>
      <c r="DO579" s="4">
        <v>3</v>
      </c>
      <c r="EA579" s="1">
        <v>37.248</v>
      </c>
      <c r="EB579" s="1">
        <v>11.74</v>
      </c>
      <c r="ED579" s="1">
        <v>37.248</v>
      </c>
    </row>
    <row r="580" customHeight="1" spans="1:313">
      <c r="A580" s="3">
        <v>19</v>
      </c>
      <c r="B580" s="4" t="s">
        <v>762</v>
      </c>
      <c r="C580" s="5" t="s">
        <v>775</v>
      </c>
      <c r="D580" s="4" t="s">
        <v>776</v>
      </c>
      <c r="F580" s="4" t="s">
        <v>328</v>
      </c>
      <c r="N580" s="4" t="s">
        <v>567</v>
      </c>
      <c r="O580" s="4" t="s">
        <v>343</v>
      </c>
      <c r="AB580" s="4" t="s">
        <v>777</v>
      </c>
      <c r="AC580" s="4" t="s">
        <v>778</v>
      </c>
      <c r="AD580" s="4" t="s">
        <v>779</v>
      </c>
      <c r="AE580" s="4" t="s">
        <v>780</v>
      </c>
      <c r="AF580" s="4" t="s">
        <v>781</v>
      </c>
      <c r="AH580" s="4" t="s">
        <v>596</v>
      </c>
      <c r="AM580" s="4">
        <v>6.2</v>
      </c>
      <c r="AN580" s="4">
        <v>10.26</v>
      </c>
      <c r="BD580" s="4" t="s">
        <v>770</v>
      </c>
      <c r="BE580" s="4" t="s">
        <v>771</v>
      </c>
      <c r="BI580" s="4" t="s">
        <v>321</v>
      </c>
      <c r="BK580" s="4">
        <v>5</v>
      </c>
      <c r="BL580" s="4">
        <v>1</v>
      </c>
      <c r="BU580" s="4" t="s">
        <v>398</v>
      </c>
      <c r="BW580" s="4" t="s">
        <v>311</v>
      </c>
      <c r="CB580" s="4" t="s">
        <v>319</v>
      </c>
      <c r="CC580" s="4">
        <v>2000</v>
      </c>
      <c r="CE580" s="4" t="s">
        <v>772</v>
      </c>
      <c r="CH580" s="4" t="s">
        <v>526</v>
      </c>
      <c r="DO580" s="4">
        <v>3</v>
      </c>
      <c r="EA580" s="1">
        <v>34.564</v>
      </c>
      <c r="EB580" s="1">
        <v>2.01</v>
      </c>
      <c r="ED580" s="1">
        <v>34.564</v>
      </c>
    </row>
    <row r="581" customHeight="1" spans="1:313">
      <c r="A581" s="3">
        <v>19</v>
      </c>
      <c r="B581" s="4" t="s">
        <v>762</v>
      </c>
      <c r="C581" s="5" t="s">
        <v>775</v>
      </c>
      <c r="D581" s="4" t="s">
        <v>776</v>
      </c>
      <c r="F581" s="4" t="s">
        <v>328</v>
      </c>
      <c r="N581" s="4" t="s">
        <v>567</v>
      </c>
      <c r="O581" s="4" t="s">
        <v>343</v>
      </c>
      <c r="AB581" s="4" t="s">
        <v>777</v>
      </c>
      <c r="AC581" s="4" t="s">
        <v>778</v>
      </c>
      <c r="AD581" s="4" t="s">
        <v>779</v>
      </c>
      <c r="AE581" s="4" t="s">
        <v>780</v>
      </c>
      <c r="AF581" s="4" t="s">
        <v>781</v>
      </c>
      <c r="AH581" s="4" t="s">
        <v>596</v>
      </c>
      <c r="AM581" s="4">
        <v>6.2</v>
      </c>
      <c r="AN581" s="4">
        <v>10.26</v>
      </c>
      <c r="BD581" s="4" t="s">
        <v>770</v>
      </c>
      <c r="BE581" s="4" t="s">
        <v>771</v>
      </c>
      <c r="BI581" s="4" t="s">
        <v>321</v>
      </c>
      <c r="BK581" s="4">
        <v>5</v>
      </c>
      <c r="BL581" s="4">
        <v>1</v>
      </c>
      <c r="BT581" s="4">
        <v>3</v>
      </c>
      <c r="BU581" s="4" t="s">
        <v>398</v>
      </c>
      <c r="BW581" s="4" t="s">
        <v>311</v>
      </c>
      <c r="CB581" s="4" t="s">
        <v>319</v>
      </c>
      <c r="CC581" s="4">
        <v>1000</v>
      </c>
      <c r="CE581" s="4" t="s">
        <v>772</v>
      </c>
      <c r="CH581" s="4" t="s">
        <v>526</v>
      </c>
      <c r="DO581" s="4">
        <v>3</v>
      </c>
      <c r="EA581" s="1">
        <v>45.791</v>
      </c>
      <c r="EB581" s="1">
        <v>6.06</v>
      </c>
      <c r="ED581" s="1">
        <v>45.791</v>
      </c>
    </row>
    <row r="582" customHeight="1" spans="1:313">
      <c r="A582" s="3">
        <v>19</v>
      </c>
      <c r="B582" s="4" t="s">
        <v>762</v>
      </c>
      <c r="C582" s="5" t="s">
        <v>775</v>
      </c>
      <c r="D582" s="4" t="s">
        <v>776</v>
      </c>
      <c r="F582" s="4" t="s">
        <v>328</v>
      </c>
      <c r="N582" s="4" t="s">
        <v>567</v>
      </c>
      <c r="O582" s="4" t="s">
        <v>343</v>
      </c>
      <c r="AB582" s="4" t="s">
        <v>777</v>
      </c>
      <c r="AC582" s="4" t="s">
        <v>778</v>
      </c>
      <c r="AD582" s="4" t="s">
        <v>779</v>
      </c>
      <c r="AE582" s="4" t="s">
        <v>780</v>
      </c>
      <c r="AF582" s="4" t="s">
        <v>781</v>
      </c>
      <c r="AH582" s="4" t="s">
        <v>596</v>
      </c>
      <c r="AM582" s="4">
        <v>6.2</v>
      </c>
      <c r="AN582" s="4">
        <v>10.26</v>
      </c>
      <c r="BD582" s="4" t="s">
        <v>770</v>
      </c>
      <c r="BE582" s="4" t="s">
        <v>771</v>
      </c>
      <c r="BI582" s="4" t="s">
        <v>321</v>
      </c>
      <c r="BK582" s="4">
        <v>5</v>
      </c>
      <c r="BL582" s="4">
        <v>1</v>
      </c>
      <c r="BT582" s="4">
        <v>4</v>
      </c>
      <c r="BU582" s="4" t="s">
        <v>398</v>
      </c>
      <c r="BW582" s="4" t="s">
        <v>311</v>
      </c>
      <c r="CB582" s="4" t="s">
        <v>319</v>
      </c>
      <c r="CC582" s="4">
        <v>1000</v>
      </c>
      <c r="CE582" s="4" t="s">
        <v>772</v>
      </c>
      <c r="CH582" s="4" t="s">
        <v>526</v>
      </c>
      <c r="DO582" s="4">
        <v>3</v>
      </c>
      <c r="EA582" s="1">
        <v>67.34</v>
      </c>
      <c r="EB582" s="1">
        <v>0</v>
      </c>
      <c r="ED582" s="1">
        <v>67.34</v>
      </c>
    </row>
    <row r="583" customHeight="1" spans="1:313">
      <c r="A583" s="3">
        <v>19</v>
      </c>
      <c r="B583" s="4" t="s">
        <v>762</v>
      </c>
      <c r="C583" s="5" t="s">
        <v>775</v>
      </c>
      <c r="D583" s="4" t="s">
        <v>776</v>
      </c>
      <c r="F583" s="4" t="s">
        <v>328</v>
      </c>
      <c r="N583" s="4" t="s">
        <v>567</v>
      </c>
      <c r="O583" s="4" t="s">
        <v>343</v>
      </c>
      <c r="AB583" s="4" t="s">
        <v>777</v>
      </c>
      <c r="AC583" s="4" t="s">
        <v>778</v>
      </c>
      <c r="AD583" s="4" t="s">
        <v>779</v>
      </c>
      <c r="AE583" s="4" t="s">
        <v>780</v>
      </c>
      <c r="AF583" s="4" t="s">
        <v>781</v>
      </c>
      <c r="AH583" s="4" t="s">
        <v>596</v>
      </c>
      <c r="AM583" s="4">
        <v>6.2</v>
      </c>
      <c r="AN583" s="4">
        <v>10.26</v>
      </c>
      <c r="BD583" s="4" t="s">
        <v>770</v>
      </c>
      <c r="BE583" s="4" t="s">
        <v>771</v>
      </c>
      <c r="BI583" s="4" t="s">
        <v>321</v>
      </c>
      <c r="BK583" s="4">
        <v>5</v>
      </c>
      <c r="BL583" s="4">
        <v>1</v>
      </c>
      <c r="BT583" s="4">
        <v>5</v>
      </c>
      <c r="BU583" s="4" t="s">
        <v>398</v>
      </c>
      <c r="BW583" s="4" t="s">
        <v>311</v>
      </c>
      <c r="CB583" s="4" t="s">
        <v>319</v>
      </c>
      <c r="CC583" s="4">
        <v>1000</v>
      </c>
      <c r="CE583" s="4" t="s">
        <v>772</v>
      </c>
      <c r="CH583" s="4" t="s">
        <v>526</v>
      </c>
      <c r="DO583" s="4">
        <v>3</v>
      </c>
      <c r="EA583" s="1">
        <v>71.044</v>
      </c>
      <c r="EB583" s="1">
        <v>3.37</v>
      </c>
      <c r="ED583" s="1">
        <v>71.044</v>
      </c>
    </row>
    <row r="584" customHeight="1" spans="1:313">
      <c r="A584" s="3">
        <v>19</v>
      </c>
      <c r="B584" s="4" t="s">
        <v>762</v>
      </c>
      <c r="C584" s="5" t="s">
        <v>775</v>
      </c>
      <c r="D584" s="4" t="s">
        <v>776</v>
      </c>
      <c r="F584" s="4" t="s">
        <v>328</v>
      </c>
      <c r="N584" s="4" t="s">
        <v>567</v>
      </c>
      <c r="O584" s="4" t="s">
        <v>343</v>
      </c>
      <c r="AB584" s="4" t="s">
        <v>777</v>
      </c>
      <c r="AC584" s="4" t="s">
        <v>778</v>
      </c>
      <c r="AD584" s="4" t="s">
        <v>779</v>
      </c>
      <c r="AE584" s="4" t="s">
        <v>780</v>
      </c>
      <c r="AF584" s="4" t="s">
        <v>781</v>
      </c>
      <c r="AH584" s="4" t="s">
        <v>596</v>
      </c>
      <c r="AM584" s="4">
        <v>6.2</v>
      </c>
      <c r="AN584" s="4">
        <v>10.26</v>
      </c>
      <c r="BD584" s="4" t="s">
        <v>770</v>
      </c>
      <c r="BE584" s="4" t="s">
        <v>771</v>
      </c>
      <c r="BI584" s="4" t="s">
        <v>321</v>
      </c>
      <c r="BK584" s="4">
        <v>5</v>
      </c>
      <c r="BL584" s="4">
        <v>1</v>
      </c>
      <c r="BT584" s="4">
        <v>6</v>
      </c>
      <c r="BU584" s="4" t="s">
        <v>398</v>
      </c>
      <c r="BW584" s="4" t="s">
        <v>311</v>
      </c>
      <c r="CB584" s="4" t="s">
        <v>319</v>
      </c>
      <c r="CC584" s="4">
        <v>1000</v>
      </c>
      <c r="CE584" s="4" t="s">
        <v>772</v>
      </c>
      <c r="CH584" s="4" t="s">
        <v>526</v>
      </c>
      <c r="DO584" s="4">
        <v>3</v>
      </c>
      <c r="EA584" s="1">
        <v>74.411</v>
      </c>
      <c r="EB584" s="1">
        <v>0</v>
      </c>
      <c r="ED584" s="1">
        <v>74.411</v>
      </c>
    </row>
    <row r="585" customHeight="1" spans="1:313">
      <c r="A585" s="3">
        <v>19</v>
      </c>
      <c r="B585" s="4" t="s">
        <v>762</v>
      </c>
      <c r="C585" s="5" t="s">
        <v>775</v>
      </c>
      <c r="D585" s="4" t="s">
        <v>776</v>
      </c>
      <c r="F585" s="4" t="s">
        <v>328</v>
      </c>
      <c r="N585" s="4" t="s">
        <v>567</v>
      </c>
      <c r="O585" s="4" t="s">
        <v>343</v>
      </c>
      <c r="AB585" s="4" t="s">
        <v>777</v>
      </c>
      <c r="AC585" s="4" t="s">
        <v>778</v>
      </c>
      <c r="AD585" s="4" t="s">
        <v>779</v>
      </c>
      <c r="AE585" s="4" t="s">
        <v>780</v>
      </c>
      <c r="AF585" s="4" t="s">
        <v>781</v>
      </c>
      <c r="AH585" s="4" t="s">
        <v>596</v>
      </c>
      <c r="AM585" s="4">
        <v>6.2</v>
      </c>
      <c r="AN585" s="4">
        <v>10.26</v>
      </c>
      <c r="BD585" s="4" t="s">
        <v>770</v>
      </c>
      <c r="BI585" s="4" t="s">
        <v>321</v>
      </c>
      <c r="BK585" s="4">
        <v>5</v>
      </c>
      <c r="BL585" s="4">
        <v>1</v>
      </c>
      <c r="BU585" s="4" t="s">
        <v>398</v>
      </c>
      <c r="BV585" s="4">
        <v>4320</v>
      </c>
      <c r="CB585" s="4" t="s">
        <v>7</v>
      </c>
      <c r="CC585" s="4">
        <v>1000</v>
      </c>
      <c r="DO585" s="4">
        <v>3</v>
      </c>
      <c r="DS585" s="4">
        <v>39.15</v>
      </c>
      <c r="EC585" s="1">
        <f>(1000-DS585)/10</f>
        <v>96.085</v>
      </c>
      <c r="ED585" s="1">
        <v>96.085</v>
      </c>
    </row>
    <row r="586" customHeight="1" spans="1:313">
      <c r="A586" s="3">
        <v>19</v>
      </c>
      <c r="B586" s="4" t="s">
        <v>762</v>
      </c>
      <c r="C586" s="5" t="s">
        <v>775</v>
      </c>
      <c r="D586" s="4" t="s">
        <v>776</v>
      </c>
      <c r="F586" s="4" t="s">
        <v>328</v>
      </c>
      <c r="N586" s="4" t="s">
        <v>567</v>
      </c>
      <c r="O586" s="4" t="s">
        <v>343</v>
      </c>
      <c r="AB586" s="4" t="s">
        <v>777</v>
      </c>
      <c r="AC586" s="4" t="s">
        <v>778</v>
      </c>
      <c r="AD586" s="4" t="s">
        <v>779</v>
      </c>
      <c r="AE586" s="4" t="s">
        <v>780</v>
      </c>
      <c r="AF586" s="4" t="s">
        <v>781</v>
      </c>
      <c r="AH586" s="4" t="s">
        <v>596</v>
      </c>
      <c r="AM586" s="4">
        <v>6.2</v>
      </c>
      <c r="AN586" s="4">
        <v>10.26</v>
      </c>
      <c r="BD586" s="4" t="s">
        <v>770</v>
      </c>
      <c r="BI586" s="4" t="s">
        <v>321</v>
      </c>
      <c r="BK586" s="4">
        <v>5</v>
      </c>
      <c r="BL586" s="4">
        <v>1</v>
      </c>
      <c r="BU586" s="4" t="s">
        <v>398</v>
      </c>
      <c r="BV586" s="4">
        <v>4320</v>
      </c>
      <c r="CB586" s="4" t="s">
        <v>7</v>
      </c>
      <c r="CC586" s="4">
        <v>1000</v>
      </c>
      <c r="DO586" s="4">
        <v>3</v>
      </c>
      <c r="DS586" s="4">
        <v>28.5</v>
      </c>
      <c r="EC586" s="1">
        <f>(1000-DS586)/10</f>
        <v>97.15</v>
      </c>
      <c r="ED586" s="1">
        <v>97.15</v>
      </c>
    </row>
    <row r="587" customHeight="1" spans="1:313">
      <c r="A587" s="3">
        <v>19</v>
      </c>
      <c r="B587" s="4" t="s">
        <v>762</v>
      </c>
      <c r="C587" s="5" t="s">
        <v>775</v>
      </c>
      <c r="D587" s="4" t="s">
        <v>776</v>
      </c>
      <c r="F587" s="4" t="s">
        <v>328</v>
      </c>
      <c r="N587" s="4" t="s">
        <v>567</v>
      </c>
      <c r="O587" s="4" t="s">
        <v>343</v>
      </c>
      <c r="AB587" s="4" t="s">
        <v>777</v>
      </c>
      <c r="AC587" s="4" t="s">
        <v>778</v>
      </c>
      <c r="AD587" s="4" t="s">
        <v>779</v>
      </c>
      <c r="AE587" s="4" t="s">
        <v>780</v>
      </c>
      <c r="AF587" s="4" t="s">
        <v>781</v>
      </c>
      <c r="AH587" s="4" t="s">
        <v>596</v>
      </c>
      <c r="AM587" s="4">
        <v>6.2</v>
      </c>
      <c r="AN587" s="4">
        <v>10.26</v>
      </c>
      <c r="BD587" s="4" t="s">
        <v>770</v>
      </c>
      <c r="DO587" s="4">
        <v>3</v>
      </c>
    </row>
    <row r="588" customHeight="1" spans="1:313">
      <c r="A588" s="3">
        <v>19</v>
      </c>
      <c r="B588" s="4" t="s">
        <v>762</v>
      </c>
      <c r="C588" s="5" t="s">
        <v>775</v>
      </c>
      <c r="D588" s="4" t="s">
        <v>776</v>
      </c>
      <c r="F588" s="4" t="s">
        <v>328</v>
      </c>
      <c r="N588" s="4" t="s">
        <v>567</v>
      </c>
      <c r="O588" s="4" t="s">
        <v>343</v>
      </c>
      <c r="AB588" s="4" t="s">
        <v>777</v>
      </c>
      <c r="AC588" s="4" t="s">
        <v>778</v>
      </c>
      <c r="AD588" s="4" t="s">
        <v>779</v>
      </c>
      <c r="AE588" s="4" t="s">
        <v>780</v>
      </c>
      <c r="AF588" s="4" t="s">
        <v>781</v>
      </c>
      <c r="AH588" s="4" t="s">
        <v>596</v>
      </c>
      <c r="AM588" s="4">
        <v>6.2</v>
      </c>
      <c r="AN588" s="4">
        <v>10.26</v>
      </c>
      <c r="BD588" s="4" t="s">
        <v>770</v>
      </c>
      <c r="DO588" s="4">
        <v>3</v>
      </c>
    </row>
    <row r="589" customHeight="1" spans="1:313">
      <c r="A589" s="3">
        <v>19</v>
      </c>
      <c r="B589" s="4" t="s">
        <v>762</v>
      </c>
      <c r="C589" s="5" t="s">
        <v>775</v>
      </c>
      <c r="D589" s="4" t="s">
        <v>776</v>
      </c>
      <c r="F589" s="4" t="s">
        <v>328</v>
      </c>
      <c r="N589" s="4" t="s">
        <v>567</v>
      </c>
      <c r="O589" s="4" t="s">
        <v>343</v>
      </c>
      <c r="AB589" s="4" t="s">
        <v>777</v>
      </c>
      <c r="AC589" s="4" t="s">
        <v>778</v>
      </c>
      <c r="AD589" s="4" t="s">
        <v>779</v>
      </c>
      <c r="AE589" s="4" t="s">
        <v>780</v>
      </c>
      <c r="AF589" s="4" t="s">
        <v>781</v>
      </c>
      <c r="AH589" s="4" t="s">
        <v>596</v>
      </c>
      <c r="AM589" s="4">
        <v>6.2</v>
      </c>
      <c r="AN589" s="4">
        <v>10.26</v>
      </c>
      <c r="BD589" s="4" t="s">
        <v>770</v>
      </c>
      <c r="DO589" s="4">
        <v>3</v>
      </c>
    </row>
    <row r="590" customHeight="1" spans="1:313">
      <c r="A590" s="3">
        <v>19</v>
      </c>
      <c r="B590" s="4" t="s">
        <v>762</v>
      </c>
      <c r="C590" s="5" t="s">
        <v>341</v>
      </c>
      <c r="D590" s="4" t="s">
        <v>300</v>
      </c>
      <c r="N590" s="4" t="s">
        <v>536</v>
      </c>
      <c r="O590" s="4" t="s">
        <v>343</v>
      </c>
      <c r="P590" s="4">
        <v>2</v>
      </c>
      <c r="Q590" s="4" t="s">
        <v>540</v>
      </c>
      <c r="W590" s="4">
        <v>0.856</v>
      </c>
      <c r="AB590" s="4" t="s">
        <v>765</v>
      </c>
      <c r="AC590" s="4" t="s">
        <v>782</v>
      </c>
      <c r="AD590" s="4" t="s">
        <v>783</v>
      </c>
      <c r="AE590" s="4" t="s">
        <v>784</v>
      </c>
      <c r="AF590" s="4" t="s">
        <v>785</v>
      </c>
      <c r="AH590" s="4" t="s">
        <v>596</v>
      </c>
      <c r="AM590" s="4">
        <v>6.2</v>
      </c>
      <c r="AN590" s="4">
        <v>10.26</v>
      </c>
      <c r="BD590" s="4" t="s">
        <v>770</v>
      </c>
      <c r="BE590" s="4" t="s">
        <v>771</v>
      </c>
      <c r="BI590" s="4" t="s">
        <v>321</v>
      </c>
      <c r="BK590" s="4">
        <v>5</v>
      </c>
      <c r="BL590" s="4">
        <v>1</v>
      </c>
      <c r="BO590" s="4">
        <v>0.01</v>
      </c>
      <c r="BU590" s="4" t="s">
        <v>398</v>
      </c>
      <c r="BW590" s="4" t="s">
        <v>311</v>
      </c>
      <c r="CB590" s="4" t="s">
        <v>319</v>
      </c>
      <c r="CC590" s="4">
        <v>1000</v>
      </c>
      <c r="CE590" s="4" t="s">
        <v>772</v>
      </c>
      <c r="CH590" s="4" t="s">
        <v>526</v>
      </c>
      <c r="DO590" s="4">
        <v>3</v>
      </c>
      <c r="EA590" s="1">
        <v>69.677</v>
      </c>
      <c r="EB590" s="1">
        <v>4.84</v>
      </c>
      <c r="ED590" s="1">
        <v>69.677</v>
      </c>
      <c r="KZ590" s="1" t="s">
        <v>7</v>
      </c>
      <c r="LA590" s="1" t="s">
        <v>786</v>
      </c>
    </row>
    <row r="591" customHeight="1" spans="1:313">
      <c r="A591" s="3">
        <v>19</v>
      </c>
      <c r="B591" s="4" t="s">
        <v>762</v>
      </c>
      <c r="C591" s="5" t="s">
        <v>341</v>
      </c>
      <c r="D591" s="4" t="s">
        <v>300</v>
      </c>
      <c r="N591" s="4" t="s">
        <v>536</v>
      </c>
      <c r="O591" s="4" t="s">
        <v>343</v>
      </c>
      <c r="P591" s="4">
        <v>2</v>
      </c>
      <c r="Q591" s="4" t="s">
        <v>540</v>
      </c>
      <c r="W591" s="4">
        <v>0.856</v>
      </c>
      <c r="AB591" s="4" t="s">
        <v>765</v>
      </c>
      <c r="AC591" s="4" t="s">
        <v>782</v>
      </c>
      <c r="AD591" s="4" t="s">
        <v>783</v>
      </c>
      <c r="AE591" s="4" t="s">
        <v>784</v>
      </c>
      <c r="AF591" s="4" t="s">
        <v>785</v>
      </c>
      <c r="AH591" s="4" t="s">
        <v>596</v>
      </c>
      <c r="AM591" s="4">
        <v>6.2</v>
      </c>
      <c r="AN591" s="4">
        <v>10.26</v>
      </c>
      <c r="BD591" s="4" t="s">
        <v>770</v>
      </c>
      <c r="BE591" s="4" t="s">
        <v>771</v>
      </c>
      <c r="BI591" s="4" t="s">
        <v>321</v>
      </c>
      <c r="BK591" s="4">
        <v>5</v>
      </c>
      <c r="BL591" s="4">
        <v>1</v>
      </c>
      <c r="BO591" s="4">
        <v>0.03</v>
      </c>
      <c r="BU591" s="4" t="s">
        <v>398</v>
      </c>
      <c r="BW591" s="4" t="s">
        <v>311</v>
      </c>
      <c r="CB591" s="4" t="s">
        <v>319</v>
      </c>
      <c r="CC591" s="4">
        <v>1000</v>
      </c>
      <c r="CE591" s="4" t="s">
        <v>772</v>
      </c>
      <c r="CH591" s="4" t="s">
        <v>526</v>
      </c>
      <c r="DO591" s="4">
        <v>3</v>
      </c>
      <c r="EA591" s="1">
        <v>94.839</v>
      </c>
      <c r="EB591" s="1">
        <v>0</v>
      </c>
      <c r="ED591" s="1">
        <v>94.839</v>
      </c>
    </row>
    <row r="592" customHeight="1" spans="1:313">
      <c r="A592" s="3">
        <v>19</v>
      </c>
      <c r="B592" s="4" t="s">
        <v>762</v>
      </c>
      <c r="C592" s="5" t="s">
        <v>341</v>
      </c>
      <c r="D592" s="4" t="s">
        <v>300</v>
      </c>
      <c r="N592" s="4" t="s">
        <v>536</v>
      </c>
      <c r="O592" s="4" t="s">
        <v>343</v>
      </c>
      <c r="P592" s="4">
        <v>2</v>
      </c>
      <c r="Q592" s="4" t="s">
        <v>540</v>
      </c>
      <c r="W592" s="4">
        <v>0.856</v>
      </c>
      <c r="AB592" s="4" t="s">
        <v>765</v>
      </c>
      <c r="AC592" s="4" t="s">
        <v>782</v>
      </c>
      <c r="AD592" s="4" t="s">
        <v>783</v>
      </c>
      <c r="AE592" s="4" t="s">
        <v>784</v>
      </c>
      <c r="AF592" s="4" t="s">
        <v>785</v>
      </c>
      <c r="AH592" s="4" t="s">
        <v>596</v>
      </c>
      <c r="AM592" s="4">
        <v>6.2</v>
      </c>
      <c r="AN592" s="4">
        <v>10.26</v>
      </c>
      <c r="BD592" s="4" t="s">
        <v>770</v>
      </c>
      <c r="BE592" s="4" t="s">
        <v>771</v>
      </c>
      <c r="BI592" s="4" t="s">
        <v>321</v>
      </c>
      <c r="BK592" s="4">
        <v>5</v>
      </c>
      <c r="BL592" s="4">
        <v>1</v>
      </c>
      <c r="BO592" s="4">
        <v>0.05</v>
      </c>
      <c r="BU592" s="4" t="s">
        <v>398</v>
      </c>
      <c r="BW592" s="4" t="s">
        <v>311</v>
      </c>
      <c r="CB592" s="4" t="s">
        <v>319</v>
      </c>
      <c r="CC592" s="4">
        <v>1000</v>
      </c>
      <c r="CE592" s="4" t="s">
        <v>772</v>
      </c>
      <c r="CH592" s="4" t="s">
        <v>526</v>
      </c>
      <c r="DO592" s="4">
        <v>3</v>
      </c>
      <c r="EA592" s="1">
        <v>99.98</v>
      </c>
      <c r="EB592" s="1">
        <v>0</v>
      </c>
      <c r="ED592" s="1">
        <v>99.98</v>
      </c>
    </row>
    <row r="593" customHeight="1" spans="1:313">
      <c r="A593" s="3">
        <v>19</v>
      </c>
      <c r="B593" s="4" t="s">
        <v>762</v>
      </c>
      <c r="C593" s="5" t="s">
        <v>341</v>
      </c>
      <c r="D593" s="4" t="s">
        <v>300</v>
      </c>
      <c r="N593" s="4" t="s">
        <v>536</v>
      </c>
      <c r="O593" s="4" t="s">
        <v>343</v>
      </c>
      <c r="P593" s="4">
        <v>2</v>
      </c>
      <c r="Q593" s="4" t="s">
        <v>540</v>
      </c>
      <c r="W593" s="4">
        <v>0.856</v>
      </c>
      <c r="AB593" s="4" t="s">
        <v>765</v>
      </c>
      <c r="AC593" s="4" t="s">
        <v>782</v>
      </c>
      <c r="AD593" s="4" t="s">
        <v>783</v>
      </c>
      <c r="AE593" s="4" t="s">
        <v>784</v>
      </c>
      <c r="AF593" s="4" t="s">
        <v>785</v>
      </c>
      <c r="AH593" s="4" t="s">
        <v>596</v>
      </c>
      <c r="AM593" s="4">
        <v>6.2</v>
      </c>
      <c r="AN593" s="4">
        <v>10.26</v>
      </c>
      <c r="BD593" s="4" t="s">
        <v>770</v>
      </c>
      <c r="BE593" s="4" t="s">
        <v>771</v>
      </c>
      <c r="BI593" s="4" t="s">
        <v>321</v>
      </c>
      <c r="BK593" s="4">
        <v>5</v>
      </c>
      <c r="BL593" s="4">
        <v>1</v>
      </c>
      <c r="BO593" s="4">
        <v>0.07</v>
      </c>
      <c r="BU593" s="4" t="s">
        <v>398</v>
      </c>
      <c r="BW593" s="4" t="s">
        <v>311</v>
      </c>
      <c r="CB593" s="4" t="s">
        <v>319</v>
      </c>
      <c r="CC593" s="4">
        <v>1000</v>
      </c>
      <c r="CE593" s="4" t="s">
        <v>772</v>
      </c>
      <c r="CH593" s="4" t="s">
        <v>526</v>
      </c>
      <c r="DO593" s="4">
        <v>3</v>
      </c>
      <c r="EA593" s="1">
        <v>100</v>
      </c>
      <c r="EB593" s="1">
        <v>0</v>
      </c>
      <c r="ED593" s="1">
        <v>100</v>
      </c>
    </row>
    <row r="594" customHeight="1" spans="1:313">
      <c r="A594" s="3">
        <v>19</v>
      </c>
      <c r="B594" s="4" t="s">
        <v>762</v>
      </c>
      <c r="C594" s="5" t="s">
        <v>341</v>
      </c>
      <c r="D594" s="4" t="s">
        <v>300</v>
      </c>
      <c r="N594" s="4" t="s">
        <v>536</v>
      </c>
      <c r="O594" s="4" t="s">
        <v>343</v>
      </c>
      <c r="P594" s="4">
        <v>2</v>
      </c>
      <c r="Q594" s="4" t="s">
        <v>540</v>
      </c>
      <c r="W594" s="4">
        <v>0.856</v>
      </c>
      <c r="AB594" s="4" t="s">
        <v>765</v>
      </c>
      <c r="AC594" s="4" t="s">
        <v>782</v>
      </c>
      <c r="AD594" s="4" t="s">
        <v>783</v>
      </c>
      <c r="AE594" s="4" t="s">
        <v>784</v>
      </c>
      <c r="AF594" s="4" t="s">
        <v>785</v>
      </c>
      <c r="AH594" s="4" t="s">
        <v>596</v>
      </c>
      <c r="AM594" s="4">
        <v>6.2</v>
      </c>
      <c r="AN594" s="4">
        <v>10.26</v>
      </c>
      <c r="BD594" s="4" t="s">
        <v>770</v>
      </c>
      <c r="BE594" s="4" t="s">
        <v>771</v>
      </c>
      <c r="BI594" s="4" t="s">
        <v>321</v>
      </c>
      <c r="BK594" s="4">
        <v>5</v>
      </c>
      <c r="BL594" s="4">
        <v>1</v>
      </c>
      <c r="BU594" s="4" t="s">
        <v>398</v>
      </c>
      <c r="BW594" s="4" t="s">
        <v>311</v>
      </c>
      <c r="CB594" s="4" t="s">
        <v>319</v>
      </c>
      <c r="CC594" s="4">
        <v>500</v>
      </c>
      <c r="CE594" s="4" t="s">
        <v>772</v>
      </c>
      <c r="CH594" s="4" t="s">
        <v>526</v>
      </c>
      <c r="DO594" s="4">
        <v>3</v>
      </c>
      <c r="EA594" s="1">
        <v>99.663</v>
      </c>
      <c r="EB594" s="1">
        <v>0</v>
      </c>
      <c r="ED594" s="1">
        <v>99.663</v>
      </c>
    </row>
    <row r="595" customHeight="1" spans="1:313">
      <c r="A595" s="3">
        <v>19</v>
      </c>
      <c r="B595" s="4" t="s">
        <v>762</v>
      </c>
      <c r="C595" s="5" t="s">
        <v>341</v>
      </c>
      <c r="D595" s="4" t="s">
        <v>300</v>
      </c>
      <c r="N595" s="4" t="s">
        <v>536</v>
      </c>
      <c r="O595" s="4" t="s">
        <v>343</v>
      </c>
      <c r="P595" s="4">
        <v>2</v>
      </c>
      <c r="Q595" s="4" t="s">
        <v>540</v>
      </c>
      <c r="W595" s="4">
        <v>0.856</v>
      </c>
      <c r="AB595" s="4" t="s">
        <v>765</v>
      </c>
      <c r="AC595" s="4" t="s">
        <v>782</v>
      </c>
      <c r="AD595" s="4" t="s">
        <v>783</v>
      </c>
      <c r="AE595" s="4" t="s">
        <v>784</v>
      </c>
      <c r="AF595" s="4" t="s">
        <v>785</v>
      </c>
      <c r="AH595" s="4" t="s">
        <v>596</v>
      </c>
      <c r="AM595" s="4">
        <v>6.2</v>
      </c>
      <c r="AN595" s="4">
        <v>10.26</v>
      </c>
      <c r="BD595" s="4" t="s">
        <v>770</v>
      </c>
      <c r="BE595" s="4" t="s">
        <v>771</v>
      </c>
      <c r="BI595" s="4" t="s">
        <v>321</v>
      </c>
      <c r="BK595" s="4">
        <v>5</v>
      </c>
      <c r="BL595" s="4">
        <v>1</v>
      </c>
      <c r="BU595" s="4" t="s">
        <v>398</v>
      </c>
      <c r="BW595" s="4" t="s">
        <v>311</v>
      </c>
      <c r="CB595" s="4" t="s">
        <v>319</v>
      </c>
      <c r="CC595" s="4">
        <v>1000</v>
      </c>
      <c r="CE595" s="4" t="s">
        <v>772</v>
      </c>
      <c r="CH595" s="4" t="s">
        <v>526</v>
      </c>
      <c r="DO595" s="4">
        <v>3</v>
      </c>
      <c r="EA595" s="1">
        <v>94.949</v>
      </c>
      <c r="EB595" s="1">
        <v>0</v>
      </c>
      <c r="ED595" s="1">
        <v>94.949</v>
      </c>
    </row>
    <row r="596" customHeight="1" spans="1:313">
      <c r="A596" s="3">
        <v>19</v>
      </c>
      <c r="B596" s="4" t="s">
        <v>762</v>
      </c>
      <c r="C596" s="5" t="s">
        <v>341</v>
      </c>
      <c r="D596" s="4" t="s">
        <v>300</v>
      </c>
      <c r="N596" s="4" t="s">
        <v>536</v>
      </c>
      <c r="O596" s="4" t="s">
        <v>343</v>
      </c>
      <c r="P596" s="4">
        <v>2</v>
      </c>
      <c r="Q596" s="4" t="s">
        <v>540</v>
      </c>
      <c r="W596" s="4">
        <v>0.856</v>
      </c>
      <c r="AB596" s="4" t="s">
        <v>765</v>
      </c>
      <c r="AC596" s="4" t="s">
        <v>782</v>
      </c>
      <c r="AD596" s="4" t="s">
        <v>783</v>
      </c>
      <c r="AE596" s="4" t="s">
        <v>784</v>
      </c>
      <c r="AF596" s="4" t="s">
        <v>785</v>
      </c>
      <c r="AH596" s="4" t="s">
        <v>596</v>
      </c>
      <c r="AM596" s="4">
        <v>6.2</v>
      </c>
      <c r="AN596" s="4">
        <v>10.26</v>
      </c>
      <c r="BD596" s="4" t="s">
        <v>770</v>
      </c>
      <c r="BE596" s="4" t="s">
        <v>771</v>
      </c>
      <c r="BI596" s="4" t="s">
        <v>321</v>
      </c>
      <c r="BK596" s="4">
        <v>5</v>
      </c>
      <c r="BL596" s="4">
        <v>1</v>
      </c>
      <c r="BU596" s="4" t="s">
        <v>398</v>
      </c>
      <c r="BW596" s="4" t="s">
        <v>311</v>
      </c>
      <c r="CB596" s="4" t="s">
        <v>319</v>
      </c>
      <c r="CC596" s="4">
        <v>1500</v>
      </c>
      <c r="CE596" s="4" t="s">
        <v>772</v>
      </c>
      <c r="CH596" s="4" t="s">
        <v>526</v>
      </c>
      <c r="DO596" s="4">
        <v>3</v>
      </c>
      <c r="EA596" s="1">
        <v>91.919</v>
      </c>
      <c r="EB596" s="1">
        <v>1.68</v>
      </c>
      <c r="ED596" s="1">
        <v>91.919</v>
      </c>
    </row>
    <row r="597" customHeight="1" spans="1:313">
      <c r="A597" s="3">
        <v>19</v>
      </c>
      <c r="B597" s="4" t="s">
        <v>762</v>
      </c>
      <c r="C597" s="5" t="s">
        <v>341</v>
      </c>
      <c r="D597" s="4" t="s">
        <v>300</v>
      </c>
      <c r="N597" s="4" t="s">
        <v>536</v>
      </c>
      <c r="O597" s="4" t="s">
        <v>343</v>
      </c>
      <c r="P597" s="4">
        <v>2</v>
      </c>
      <c r="Q597" s="4" t="s">
        <v>540</v>
      </c>
      <c r="W597" s="4">
        <v>0.856</v>
      </c>
      <c r="AB597" s="4" t="s">
        <v>765</v>
      </c>
      <c r="AC597" s="4" t="s">
        <v>782</v>
      </c>
      <c r="AD597" s="4" t="s">
        <v>783</v>
      </c>
      <c r="AE597" s="4" t="s">
        <v>784</v>
      </c>
      <c r="AF597" s="4" t="s">
        <v>785</v>
      </c>
      <c r="AH597" s="4" t="s">
        <v>596</v>
      </c>
      <c r="AM597" s="4">
        <v>6.2</v>
      </c>
      <c r="AN597" s="4">
        <v>10.26</v>
      </c>
      <c r="BD597" s="4" t="s">
        <v>770</v>
      </c>
      <c r="BE597" s="4" t="s">
        <v>771</v>
      </c>
      <c r="BI597" s="4" t="s">
        <v>321</v>
      </c>
      <c r="BK597" s="4">
        <v>5</v>
      </c>
      <c r="BL597" s="4">
        <v>1</v>
      </c>
      <c r="BU597" s="4" t="s">
        <v>398</v>
      </c>
      <c r="BW597" s="4" t="s">
        <v>311</v>
      </c>
      <c r="CB597" s="4" t="s">
        <v>319</v>
      </c>
      <c r="CC597" s="4">
        <v>2000</v>
      </c>
      <c r="CE597" s="4" t="s">
        <v>772</v>
      </c>
      <c r="CH597" s="4" t="s">
        <v>526</v>
      </c>
      <c r="DO597" s="4">
        <v>3</v>
      </c>
      <c r="EA597" s="1">
        <v>89.899</v>
      </c>
      <c r="EB597" s="1">
        <v>4.04</v>
      </c>
      <c r="ED597" s="1">
        <v>89.899</v>
      </c>
    </row>
    <row r="598" customHeight="1" spans="1:313">
      <c r="A598" s="3">
        <v>19</v>
      </c>
      <c r="B598" s="4" t="s">
        <v>762</v>
      </c>
      <c r="C598" s="5" t="s">
        <v>341</v>
      </c>
      <c r="D598" s="4" t="s">
        <v>300</v>
      </c>
      <c r="N598" s="4" t="s">
        <v>536</v>
      </c>
      <c r="O598" s="4" t="s">
        <v>343</v>
      </c>
      <c r="P598" s="4">
        <v>2</v>
      </c>
      <c r="Q598" s="4" t="s">
        <v>540</v>
      </c>
      <c r="W598" s="4">
        <v>0.856</v>
      </c>
      <c r="AB598" s="4" t="s">
        <v>765</v>
      </c>
      <c r="AC598" s="4" t="s">
        <v>782</v>
      </c>
      <c r="AD598" s="4" t="s">
        <v>783</v>
      </c>
      <c r="AE598" s="4" t="s">
        <v>784</v>
      </c>
      <c r="AF598" s="4" t="s">
        <v>785</v>
      </c>
      <c r="AH598" s="4" t="s">
        <v>596</v>
      </c>
      <c r="AM598" s="4">
        <v>6.2</v>
      </c>
      <c r="AN598" s="4">
        <v>10.26</v>
      </c>
      <c r="BD598" s="4" t="s">
        <v>770</v>
      </c>
      <c r="BE598" s="4" t="s">
        <v>771</v>
      </c>
      <c r="BI598" s="4" t="s">
        <v>321</v>
      </c>
      <c r="BK598" s="4">
        <v>5</v>
      </c>
      <c r="BL598" s="4">
        <v>1</v>
      </c>
      <c r="BT598" s="4">
        <v>3</v>
      </c>
      <c r="BU598" s="4" t="s">
        <v>398</v>
      </c>
      <c r="BW598" s="4" t="s">
        <v>311</v>
      </c>
      <c r="CB598" s="4" t="s">
        <v>319</v>
      </c>
      <c r="CC598" s="4">
        <v>1000</v>
      </c>
      <c r="CE598" s="4" t="s">
        <v>772</v>
      </c>
      <c r="CH598" s="4" t="s">
        <v>526</v>
      </c>
      <c r="DO598" s="4">
        <v>3</v>
      </c>
      <c r="EA598" s="1">
        <v>96.309</v>
      </c>
      <c r="EB598" s="1">
        <v>4.36</v>
      </c>
      <c r="ED598" s="1">
        <v>96.309</v>
      </c>
    </row>
    <row r="599" customHeight="1" spans="1:313">
      <c r="A599" s="3">
        <v>19</v>
      </c>
      <c r="B599" s="4" t="s">
        <v>762</v>
      </c>
      <c r="C599" s="5" t="s">
        <v>341</v>
      </c>
      <c r="D599" s="4" t="s">
        <v>300</v>
      </c>
      <c r="N599" s="4" t="s">
        <v>536</v>
      </c>
      <c r="O599" s="4" t="s">
        <v>343</v>
      </c>
      <c r="P599" s="4">
        <v>2</v>
      </c>
      <c r="Q599" s="4" t="s">
        <v>540</v>
      </c>
      <c r="W599" s="4">
        <v>0.856</v>
      </c>
      <c r="AB599" s="4" t="s">
        <v>765</v>
      </c>
      <c r="AC599" s="4" t="s">
        <v>782</v>
      </c>
      <c r="AD599" s="4" t="s">
        <v>783</v>
      </c>
      <c r="AE599" s="4" t="s">
        <v>784</v>
      </c>
      <c r="AF599" s="4" t="s">
        <v>785</v>
      </c>
      <c r="AH599" s="4" t="s">
        <v>596</v>
      </c>
      <c r="AM599" s="4">
        <v>6.2</v>
      </c>
      <c r="AN599" s="4">
        <v>10.26</v>
      </c>
      <c r="BD599" s="4" t="s">
        <v>770</v>
      </c>
      <c r="BE599" s="4" t="s">
        <v>771</v>
      </c>
      <c r="BI599" s="4" t="s">
        <v>321</v>
      </c>
      <c r="BK599" s="4">
        <v>5</v>
      </c>
      <c r="BL599" s="4">
        <v>1</v>
      </c>
      <c r="BT599" s="4">
        <v>4</v>
      </c>
      <c r="BU599" s="4" t="s">
        <v>398</v>
      </c>
      <c r="BW599" s="4" t="s">
        <v>311</v>
      </c>
      <c r="CB599" s="4" t="s">
        <v>319</v>
      </c>
      <c r="CC599" s="4">
        <v>1000</v>
      </c>
      <c r="CE599" s="4" t="s">
        <v>772</v>
      </c>
      <c r="CH599" s="4" t="s">
        <v>526</v>
      </c>
      <c r="DO599" s="4">
        <v>3</v>
      </c>
      <c r="EA599" s="1">
        <v>102.685</v>
      </c>
      <c r="EB599" s="1">
        <v>0</v>
      </c>
      <c r="ED599" s="1">
        <v>102.685</v>
      </c>
    </row>
    <row r="600" customHeight="1" spans="1:313">
      <c r="A600" s="3">
        <v>19</v>
      </c>
      <c r="B600" s="4" t="s">
        <v>762</v>
      </c>
      <c r="C600" s="5" t="s">
        <v>341</v>
      </c>
      <c r="D600" s="4" t="s">
        <v>300</v>
      </c>
      <c r="N600" s="4" t="s">
        <v>536</v>
      </c>
      <c r="O600" s="4" t="s">
        <v>343</v>
      </c>
      <c r="P600" s="4">
        <v>2</v>
      </c>
      <c r="Q600" s="4" t="s">
        <v>540</v>
      </c>
      <c r="W600" s="4">
        <v>0.856</v>
      </c>
      <c r="AB600" s="4" t="s">
        <v>765</v>
      </c>
      <c r="AC600" s="4" t="s">
        <v>782</v>
      </c>
      <c r="AD600" s="4" t="s">
        <v>783</v>
      </c>
      <c r="AE600" s="4" t="s">
        <v>784</v>
      </c>
      <c r="AF600" s="4" t="s">
        <v>785</v>
      </c>
      <c r="AH600" s="4" t="s">
        <v>596</v>
      </c>
      <c r="AM600" s="4">
        <v>6.2</v>
      </c>
      <c r="AN600" s="4">
        <v>10.26</v>
      </c>
      <c r="BD600" s="4" t="s">
        <v>770</v>
      </c>
      <c r="BE600" s="4" t="s">
        <v>771</v>
      </c>
      <c r="BI600" s="4" t="s">
        <v>321</v>
      </c>
      <c r="BK600" s="4">
        <v>5</v>
      </c>
      <c r="BL600" s="4">
        <v>1</v>
      </c>
      <c r="BT600" s="4">
        <v>5</v>
      </c>
      <c r="BU600" s="4" t="s">
        <v>398</v>
      </c>
      <c r="BW600" s="4" t="s">
        <v>311</v>
      </c>
      <c r="CB600" s="4" t="s">
        <v>319</v>
      </c>
      <c r="CC600" s="4">
        <v>1000</v>
      </c>
      <c r="CE600" s="4" t="s">
        <v>772</v>
      </c>
      <c r="CH600" s="4" t="s">
        <v>526</v>
      </c>
      <c r="DO600" s="4">
        <v>3</v>
      </c>
      <c r="EA600" s="1">
        <v>102.013</v>
      </c>
      <c r="EB600" s="1">
        <v>0</v>
      </c>
      <c r="ED600" s="1">
        <v>102.013</v>
      </c>
    </row>
    <row r="601" customHeight="1" spans="1:313">
      <c r="A601" s="3">
        <v>19</v>
      </c>
      <c r="B601" s="4" t="s">
        <v>762</v>
      </c>
      <c r="C601" s="5" t="s">
        <v>341</v>
      </c>
      <c r="D601" s="4" t="s">
        <v>300</v>
      </c>
      <c r="N601" s="4" t="s">
        <v>536</v>
      </c>
      <c r="O601" s="4" t="s">
        <v>343</v>
      </c>
      <c r="P601" s="4">
        <v>2</v>
      </c>
      <c r="Q601" s="4" t="s">
        <v>540</v>
      </c>
      <c r="W601" s="4">
        <v>0.856</v>
      </c>
      <c r="AB601" s="4" t="s">
        <v>765</v>
      </c>
      <c r="AC601" s="4" t="s">
        <v>782</v>
      </c>
      <c r="AD601" s="4" t="s">
        <v>783</v>
      </c>
      <c r="AE601" s="4" t="s">
        <v>784</v>
      </c>
      <c r="AF601" s="4" t="s">
        <v>785</v>
      </c>
      <c r="AH601" s="4" t="s">
        <v>596</v>
      </c>
      <c r="AM601" s="4">
        <v>6.2</v>
      </c>
      <c r="AN601" s="4">
        <v>10.26</v>
      </c>
      <c r="BD601" s="4" t="s">
        <v>770</v>
      </c>
      <c r="BE601" s="4" t="s">
        <v>771</v>
      </c>
      <c r="BI601" s="4" t="s">
        <v>321</v>
      </c>
      <c r="BK601" s="4">
        <v>5</v>
      </c>
      <c r="BL601" s="4">
        <v>1</v>
      </c>
      <c r="BT601" s="4">
        <v>6</v>
      </c>
      <c r="BU601" s="4" t="s">
        <v>398</v>
      </c>
      <c r="BW601" s="4" t="s">
        <v>311</v>
      </c>
      <c r="CB601" s="4" t="s">
        <v>319</v>
      </c>
      <c r="CC601" s="4">
        <v>1000</v>
      </c>
      <c r="CE601" s="4" t="s">
        <v>772</v>
      </c>
      <c r="CH601" s="4" t="s">
        <v>526</v>
      </c>
      <c r="DO601" s="4">
        <v>3</v>
      </c>
      <c r="EA601" s="1">
        <v>100</v>
      </c>
      <c r="EB601" s="1">
        <v>0</v>
      </c>
      <c r="ED601" s="1">
        <v>100</v>
      </c>
    </row>
    <row r="602" customHeight="1" spans="1:313">
      <c r="A602" s="3">
        <v>19</v>
      </c>
      <c r="B602" s="4" t="s">
        <v>762</v>
      </c>
      <c r="C602" s="5" t="s">
        <v>341</v>
      </c>
      <c r="D602" s="4" t="s">
        <v>300</v>
      </c>
      <c r="N602" s="4" t="s">
        <v>536</v>
      </c>
      <c r="O602" s="4" t="s">
        <v>343</v>
      </c>
      <c r="P602" s="4">
        <v>2</v>
      </c>
      <c r="Q602" s="4" t="s">
        <v>540</v>
      </c>
      <c r="W602" s="4">
        <v>0.856</v>
      </c>
      <c r="AB602" s="4" t="s">
        <v>765</v>
      </c>
      <c r="AC602" s="4" t="s">
        <v>782</v>
      </c>
      <c r="AD602" s="4" t="s">
        <v>783</v>
      </c>
      <c r="AE602" s="4" t="s">
        <v>784</v>
      </c>
      <c r="AF602" s="4" t="s">
        <v>785</v>
      </c>
      <c r="AH602" s="4" t="s">
        <v>596</v>
      </c>
      <c r="AM602" s="4">
        <v>6.2</v>
      </c>
      <c r="AN602" s="4">
        <v>10.26</v>
      </c>
      <c r="BD602" s="4" t="s">
        <v>770</v>
      </c>
      <c r="BI602" s="4" t="s">
        <v>321</v>
      </c>
      <c r="BK602" s="4">
        <v>5</v>
      </c>
      <c r="BL602" s="4">
        <v>1</v>
      </c>
      <c r="BU602" s="4" t="s">
        <v>398</v>
      </c>
      <c r="BV602" s="4">
        <v>4320</v>
      </c>
      <c r="CB602" s="4" t="s">
        <v>7</v>
      </c>
      <c r="CC602" s="4">
        <v>1000</v>
      </c>
      <c r="DO602" s="4">
        <v>3</v>
      </c>
      <c r="DS602" s="4">
        <v>39.15</v>
      </c>
      <c r="EC602" s="1">
        <f>(1000-DS602)/10</f>
        <v>96.085</v>
      </c>
      <c r="ED602" s="1">
        <v>96.085</v>
      </c>
    </row>
    <row r="603" customHeight="1" spans="1:313">
      <c r="A603" s="3">
        <v>19</v>
      </c>
      <c r="B603" s="4" t="s">
        <v>762</v>
      </c>
      <c r="C603" s="5" t="s">
        <v>341</v>
      </c>
      <c r="D603" s="4" t="s">
        <v>300</v>
      </c>
      <c r="N603" s="4" t="s">
        <v>536</v>
      </c>
      <c r="O603" s="4" t="s">
        <v>343</v>
      </c>
      <c r="P603" s="4">
        <v>2</v>
      </c>
      <c r="Q603" s="4" t="s">
        <v>540</v>
      </c>
      <c r="W603" s="4">
        <v>0.856</v>
      </c>
      <c r="AB603" s="4" t="s">
        <v>765</v>
      </c>
      <c r="AC603" s="4" t="s">
        <v>782</v>
      </c>
      <c r="AD603" s="4" t="s">
        <v>783</v>
      </c>
      <c r="AE603" s="4" t="s">
        <v>784</v>
      </c>
      <c r="AF603" s="4" t="s">
        <v>785</v>
      </c>
      <c r="AH603" s="4" t="s">
        <v>596</v>
      </c>
      <c r="AM603" s="4">
        <v>6.2</v>
      </c>
      <c r="AN603" s="4">
        <v>10.26</v>
      </c>
      <c r="BD603" s="4" t="s">
        <v>770</v>
      </c>
      <c r="BI603" s="4" t="s">
        <v>321</v>
      </c>
      <c r="BK603" s="4">
        <v>5</v>
      </c>
      <c r="BL603" s="4">
        <v>1</v>
      </c>
      <c r="BU603" s="4" t="s">
        <v>398</v>
      </c>
      <c r="BV603" s="4">
        <v>4320</v>
      </c>
      <c r="CB603" s="4" t="s">
        <v>7</v>
      </c>
      <c r="CC603" s="4">
        <v>1000</v>
      </c>
      <c r="DO603" s="4">
        <v>3</v>
      </c>
      <c r="DS603" s="4">
        <v>18.37</v>
      </c>
      <c r="EC603" s="1">
        <f>(1000-DS603)/10</f>
        <v>98.163</v>
      </c>
      <c r="ED603" s="1">
        <v>98.163</v>
      </c>
    </row>
    <row r="604" customHeight="1" spans="1:313">
      <c r="A604" s="3">
        <v>19</v>
      </c>
      <c r="B604" s="4" t="s">
        <v>762</v>
      </c>
      <c r="C604" s="5" t="s">
        <v>341</v>
      </c>
      <c r="D604" s="4" t="s">
        <v>300</v>
      </c>
      <c r="N604" s="4" t="s">
        <v>536</v>
      </c>
      <c r="O604" s="4" t="s">
        <v>343</v>
      </c>
      <c r="P604" s="4">
        <v>2</v>
      </c>
      <c r="Q604" s="4" t="s">
        <v>540</v>
      </c>
      <c r="W604" s="4">
        <v>0.856</v>
      </c>
      <c r="AB604" s="4" t="s">
        <v>765</v>
      </c>
      <c r="AC604" s="4" t="s">
        <v>782</v>
      </c>
      <c r="AD604" s="4" t="s">
        <v>783</v>
      </c>
      <c r="AE604" s="4" t="s">
        <v>784</v>
      </c>
      <c r="AF604" s="4" t="s">
        <v>785</v>
      </c>
      <c r="AH604" s="4" t="s">
        <v>596</v>
      </c>
      <c r="AM604" s="4">
        <v>6.2</v>
      </c>
      <c r="AN604" s="4">
        <v>10.26</v>
      </c>
      <c r="BD604" s="4" t="s">
        <v>770</v>
      </c>
      <c r="DO604" s="4">
        <v>3</v>
      </c>
    </row>
    <row r="605" customHeight="1" spans="1:313">
      <c r="A605" s="3">
        <v>19</v>
      </c>
      <c r="B605" s="4" t="s">
        <v>762</v>
      </c>
      <c r="C605" s="5" t="s">
        <v>341</v>
      </c>
      <c r="D605" s="4" t="s">
        <v>300</v>
      </c>
      <c r="N605" s="4" t="s">
        <v>536</v>
      </c>
      <c r="O605" s="4" t="s">
        <v>343</v>
      </c>
      <c r="P605" s="4">
        <v>2</v>
      </c>
      <c r="Q605" s="4" t="s">
        <v>540</v>
      </c>
      <c r="W605" s="4">
        <v>0.856</v>
      </c>
      <c r="AB605" s="4" t="s">
        <v>765</v>
      </c>
      <c r="AC605" s="4" t="s">
        <v>782</v>
      </c>
      <c r="AD605" s="4" t="s">
        <v>783</v>
      </c>
      <c r="AE605" s="4" t="s">
        <v>784</v>
      </c>
      <c r="AF605" s="4" t="s">
        <v>785</v>
      </c>
      <c r="AH605" s="4" t="s">
        <v>596</v>
      </c>
      <c r="AM605" s="4">
        <v>6.2</v>
      </c>
      <c r="AN605" s="4">
        <v>10.26</v>
      </c>
      <c r="BD605" s="4" t="s">
        <v>770</v>
      </c>
      <c r="DO605" s="4">
        <v>3</v>
      </c>
    </row>
    <row r="606" customHeight="1" spans="1:313">
      <c r="A606" s="3">
        <v>19</v>
      </c>
      <c r="B606" s="4" t="s">
        <v>762</v>
      </c>
      <c r="C606" s="5" t="s">
        <v>341</v>
      </c>
      <c r="D606" s="4" t="s">
        <v>300</v>
      </c>
      <c r="N606" s="4" t="s">
        <v>536</v>
      </c>
      <c r="O606" s="4" t="s">
        <v>343</v>
      </c>
      <c r="P606" s="4">
        <v>2</v>
      </c>
      <c r="Q606" s="4" t="s">
        <v>540</v>
      </c>
      <c r="W606" s="4">
        <v>0.856</v>
      </c>
      <c r="AB606" s="4" t="s">
        <v>765</v>
      </c>
      <c r="AC606" s="4" t="s">
        <v>782</v>
      </c>
      <c r="AD606" s="4" t="s">
        <v>783</v>
      </c>
      <c r="AE606" s="4" t="s">
        <v>784</v>
      </c>
      <c r="AF606" s="4" t="s">
        <v>785</v>
      </c>
      <c r="AH606" s="4" t="s">
        <v>596</v>
      </c>
      <c r="AM606" s="4">
        <v>6.2</v>
      </c>
      <c r="AN606" s="4">
        <v>10.26</v>
      </c>
      <c r="BD606" s="4" t="s">
        <v>770</v>
      </c>
      <c r="DO606" s="4">
        <v>3</v>
      </c>
    </row>
    <row r="607" customHeight="1" spans="1:313">
      <c r="A607" s="3">
        <v>19</v>
      </c>
      <c r="B607" s="4" t="s">
        <v>762</v>
      </c>
      <c r="C607" s="5" t="s">
        <v>787</v>
      </c>
      <c r="D607" s="4" t="s">
        <v>788</v>
      </c>
      <c r="F607" s="4" t="s">
        <v>328</v>
      </c>
      <c r="N607" s="4" t="s">
        <v>536</v>
      </c>
      <c r="O607" s="4" t="s">
        <v>343</v>
      </c>
      <c r="AB607" s="4" t="s">
        <v>777</v>
      </c>
      <c r="AE607" s="4" t="s">
        <v>789</v>
      </c>
      <c r="AF607" s="4" t="s">
        <v>790</v>
      </c>
      <c r="AH607" s="4" t="s">
        <v>596</v>
      </c>
      <c r="AM607" s="4">
        <v>6.2</v>
      </c>
      <c r="AN607" s="4">
        <v>10.26</v>
      </c>
      <c r="BD607" s="4" t="s">
        <v>770</v>
      </c>
      <c r="BE607" s="4" t="s">
        <v>771</v>
      </c>
      <c r="BI607" s="4" t="s">
        <v>321</v>
      </c>
      <c r="BK607" s="4">
        <v>5</v>
      </c>
      <c r="BL607" s="4">
        <v>1</v>
      </c>
      <c r="BO607" s="4">
        <v>0.01</v>
      </c>
      <c r="BU607" s="4" t="s">
        <v>398</v>
      </c>
      <c r="BW607" s="4" t="s">
        <v>311</v>
      </c>
      <c r="CB607" s="4" t="s">
        <v>319</v>
      </c>
      <c r="CC607" s="4">
        <v>1000</v>
      </c>
      <c r="CE607" s="4" t="s">
        <v>772</v>
      </c>
      <c r="CH607" s="4" t="s">
        <v>526</v>
      </c>
      <c r="DO607" s="4">
        <v>3</v>
      </c>
      <c r="EA607" s="1">
        <v>4.516</v>
      </c>
      <c r="EB607" s="1">
        <v>3.55</v>
      </c>
      <c r="ED607" s="1">
        <v>4.516</v>
      </c>
      <c r="KZ607" s="1" t="s">
        <v>7</v>
      </c>
      <c r="LA607" s="1" t="s">
        <v>786</v>
      </c>
    </row>
    <row r="608" customHeight="1" spans="1:313">
      <c r="A608" s="3">
        <v>19</v>
      </c>
      <c r="B608" s="4" t="s">
        <v>762</v>
      </c>
      <c r="C608" s="5" t="s">
        <v>787</v>
      </c>
      <c r="D608" s="4" t="s">
        <v>788</v>
      </c>
      <c r="F608" s="4" t="s">
        <v>328</v>
      </c>
      <c r="N608" s="4" t="s">
        <v>536</v>
      </c>
      <c r="O608" s="4" t="s">
        <v>343</v>
      </c>
      <c r="AB608" s="4" t="s">
        <v>777</v>
      </c>
      <c r="AE608" s="4" t="s">
        <v>789</v>
      </c>
      <c r="AF608" s="4" t="s">
        <v>790</v>
      </c>
      <c r="AH608" s="4" t="s">
        <v>596</v>
      </c>
      <c r="AM608" s="4">
        <v>6.2</v>
      </c>
      <c r="AN608" s="4">
        <v>10.26</v>
      </c>
      <c r="BD608" s="4" t="s">
        <v>770</v>
      </c>
      <c r="BE608" s="4" t="s">
        <v>771</v>
      </c>
      <c r="BI608" s="4" t="s">
        <v>321</v>
      </c>
      <c r="BK608" s="4">
        <v>5</v>
      </c>
      <c r="BL608" s="4">
        <v>1</v>
      </c>
      <c r="BO608" s="4">
        <v>0.03</v>
      </c>
      <c r="BU608" s="4" t="s">
        <v>398</v>
      </c>
      <c r="BW608" s="4" t="s">
        <v>311</v>
      </c>
      <c r="CB608" s="4" t="s">
        <v>319</v>
      </c>
      <c r="CC608" s="4">
        <v>1000</v>
      </c>
      <c r="CE608" s="4" t="s">
        <v>772</v>
      </c>
      <c r="CH608" s="4" t="s">
        <v>526</v>
      </c>
      <c r="DO608" s="4">
        <v>3</v>
      </c>
      <c r="EA608" s="1">
        <v>41.935</v>
      </c>
      <c r="EB608" s="1">
        <v>12.9</v>
      </c>
      <c r="ED608" s="1">
        <v>41.935</v>
      </c>
    </row>
    <row r="609" customHeight="1" spans="1:313">
      <c r="A609" s="3">
        <v>19</v>
      </c>
      <c r="B609" s="4" t="s">
        <v>762</v>
      </c>
      <c r="C609" s="5" t="s">
        <v>787</v>
      </c>
      <c r="D609" s="4" t="s">
        <v>788</v>
      </c>
      <c r="F609" s="4" t="s">
        <v>328</v>
      </c>
      <c r="N609" s="4" t="s">
        <v>536</v>
      </c>
      <c r="O609" s="4" t="s">
        <v>343</v>
      </c>
      <c r="AB609" s="4" t="s">
        <v>777</v>
      </c>
      <c r="AE609" s="4" t="s">
        <v>789</v>
      </c>
      <c r="AF609" s="4" t="s">
        <v>790</v>
      </c>
      <c r="AH609" s="4" t="s">
        <v>596</v>
      </c>
      <c r="AM609" s="4">
        <v>6.2</v>
      </c>
      <c r="AN609" s="4">
        <v>10.26</v>
      </c>
      <c r="BD609" s="4" t="s">
        <v>770</v>
      </c>
      <c r="BE609" s="4" t="s">
        <v>771</v>
      </c>
      <c r="BI609" s="4" t="s">
        <v>321</v>
      </c>
      <c r="BK609" s="4">
        <v>5</v>
      </c>
      <c r="BL609" s="4">
        <v>1</v>
      </c>
      <c r="BO609" s="4">
        <v>0.05</v>
      </c>
      <c r="BU609" s="4" t="s">
        <v>398</v>
      </c>
      <c r="BW609" s="4" t="s">
        <v>311</v>
      </c>
      <c r="CB609" s="4" t="s">
        <v>319</v>
      </c>
      <c r="CC609" s="4">
        <v>1000</v>
      </c>
      <c r="CE609" s="4" t="s">
        <v>772</v>
      </c>
      <c r="CH609" s="4" t="s">
        <v>526</v>
      </c>
      <c r="DO609" s="4">
        <v>3</v>
      </c>
      <c r="EA609" s="1">
        <v>50.645</v>
      </c>
      <c r="EB609" s="1">
        <v>0</v>
      </c>
      <c r="ED609" s="1">
        <v>50.645</v>
      </c>
    </row>
    <row r="610" customHeight="1" spans="1:313">
      <c r="A610" s="3">
        <v>19</v>
      </c>
      <c r="B610" s="4" t="s">
        <v>762</v>
      </c>
      <c r="C610" s="5" t="s">
        <v>787</v>
      </c>
      <c r="D610" s="4" t="s">
        <v>788</v>
      </c>
      <c r="F610" s="4" t="s">
        <v>328</v>
      </c>
      <c r="N610" s="4" t="s">
        <v>536</v>
      </c>
      <c r="O610" s="4" t="s">
        <v>343</v>
      </c>
      <c r="AB610" s="4" t="s">
        <v>777</v>
      </c>
      <c r="AE610" s="4" t="s">
        <v>789</v>
      </c>
      <c r="AF610" s="4" t="s">
        <v>790</v>
      </c>
      <c r="AH610" s="4" t="s">
        <v>596</v>
      </c>
      <c r="AM610" s="4">
        <v>6.2</v>
      </c>
      <c r="AN610" s="4">
        <v>10.26</v>
      </c>
      <c r="BD610" s="4" t="s">
        <v>770</v>
      </c>
      <c r="BE610" s="4" t="s">
        <v>771</v>
      </c>
      <c r="BI610" s="4" t="s">
        <v>321</v>
      </c>
      <c r="BK610" s="4">
        <v>5</v>
      </c>
      <c r="BL610" s="4">
        <v>1</v>
      </c>
      <c r="BO610" s="4">
        <v>0.07</v>
      </c>
      <c r="BU610" s="4" t="s">
        <v>398</v>
      </c>
      <c r="BW610" s="4" t="s">
        <v>311</v>
      </c>
      <c r="CB610" s="4" t="s">
        <v>319</v>
      </c>
      <c r="CC610" s="4">
        <v>1000</v>
      </c>
      <c r="CE610" s="4" t="s">
        <v>772</v>
      </c>
      <c r="CH610" s="4" t="s">
        <v>526</v>
      </c>
      <c r="DO610" s="4">
        <v>3</v>
      </c>
      <c r="EA610" s="1">
        <v>61.935</v>
      </c>
      <c r="EB610" s="1">
        <v>1.61</v>
      </c>
      <c r="ED610" s="1">
        <v>61.935</v>
      </c>
    </row>
    <row r="611" customHeight="1" spans="1:313">
      <c r="A611" s="3">
        <v>19</v>
      </c>
      <c r="B611" s="4" t="s">
        <v>762</v>
      </c>
      <c r="C611" s="5" t="s">
        <v>787</v>
      </c>
      <c r="D611" s="4" t="s">
        <v>788</v>
      </c>
      <c r="F611" s="4" t="s">
        <v>328</v>
      </c>
      <c r="N611" s="4" t="s">
        <v>536</v>
      </c>
      <c r="O611" s="4" t="s">
        <v>343</v>
      </c>
      <c r="AB611" s="4" t="s">
        <v>777</v>
      </c>
      <c r="AE611" s="4" t="s">
        <v>789</v>
      </c>
      <c r="AF611" s="4" t="s">
        <v>790</v>
      </c>
      <c r="AH611" s="4" t="s">
        <v>596</v>
      </c>
      <c r="AM611" s="4">
        <v>6.2</v>
      </c>
      <c r="AN611" s="4">
        <v>10.26</v>
      </c>
      <c r="BD611" s="4" t="s">
        <v>770</v>
      </c>
      <c r="BE611" s="4" t="s">
        <v>771</v>
      </c>
      <c r="BI611" s="4" t="s">
        <v>321</v>
      </c>
      <c r="BK611" s="4">
        <v>5</v>
      </c>
      <c r="BL611" s="4">
        <v>1</v>
      </c>
      <c r="BU611" s="4" t="s">
        <v>398</v>
      </c>
      <c r="BW611" s="4" t="s">
        <v>311</v>
      </c>
      <c r="CB611" s="4" t="s">
        <v>319</v>
      </c>
      <c r="CC611" s="4">
        <v>500</v>
      </c>
      <c r="CE611" s="4" t="s">
        <v>772</v>
      </c>
      <c r="CH611" s="4" t="s">
        <v>526</v>
      </c>
      <c r="DO611" s="4">
        <v>3</v>
      </c>
      <c r="EA611" s="1">
        <v>48.822</v>
      </c>
      <c r="EB611" s="1">
        <v>7.41</v>
      </c>
      <c r="ED611" s="1">
        <v>48.822</v>
      </c>
    </row>
    <row r="612" customHeight="1" spans="1:313">
      <c r="A612" s="3">
        <v>19</v>
      </c>
      <c r="B612" s="4" t="s">
        <v>762</v>
      </c>
      <c r="C612" s="5" t="s">
        <v>787</v>
      </c>
      <c r="D612" s="4" t="s">
        <v>788</v>
      </c>
      <c r="F612" s="4" t="s">
        <v>328</v>
      </c>
      <c r="N612" s="4" t="s">
        <v>536</v>
      </c>
      <c r="O612" s="4" t="s">
        <v>343</v>
      </c>
      <c r="AB612" s="4" t="s">
        <v>777</v>
      </c>
      <c r="AE612" s="4" t="s">
        <v>789</v>
      </c>
      <c r="AF612" s="4" t="s">
        <v>790</v>
      </c>
      <c r="AH612" s="4" t="s">
        <v>596</v>
      </c>
      <c r="AM612" s="4">
        <v>6.2</v>
      </c>
      <c r="AN612" s="4">
        <v>10.26</v>
      </c>
      <c r="BD612" s="4" t="s">
        <v>770</v>
      </c>
      <c r="BE612" s="4" t="s">
        <v>771</v>
      </c>
      <c r="BI612" s="4" t="s">
        <v>321</v>
      </c>
      <c r="BK612" s="4">
        <v>5</v>
      </c>
      <c r="BL612" s="4">
        <v>1</v>
      </c>
      <c r="BU612" s="4" t="s">
        <v>398</v>
      </c>
      <c r="BW612" s="4" t="s">
        <v>311</v>
      </c>
      <c r="CB612" s="4" t="s">
        <v>319</v>
      </c>
      <c r="CC612" s="4">
        <v>1000</v>
      </c>
      <c r="CE612" s="4" t="s">
        <v>772</v>
      </c>
      <c r="CH612" s="4" t="s">
        <v>526</v>
      </c>
      <c r="DO612" s="4">
        <v>3</v>
      </c>
      <c r="EA612" s="1">
        <v>42.088</v>
      </c>
      <c r="EB612" s="1">
        <v>12.79</v>
      </c>
      <c r="ED612" s="1">
        <v>42.088</v>
      </c>
    </row>
    <row r="613" customHeight="1" spans="1:313">
      <c r="A613" s="3">
        <v>19</v>
      </c>
      <c r="B613" s="4" t="s">
        <v>762</v>
      </c>
      <c r="C613" s="5" t="s">
        <v>787</v>
      </c>
      <c r="D613" s="4" t="s">
        <v>788</v>
      </c>
      <c r="F613" s="4" t="s">
        <v>328</v>
      </c>
      <c r="N613" s="4" t="s">
        <v>536</v>
      </c>
      <c r="O613" s="4" t="s">
        <v>343</v>
      </c>
      <c r="AB613" s="4" t="s">
        <v>777</v>
      </c>
      <c r="AE613" s="4" t="s">
        <v>789</v>
      </c>
      <c r="AF613" s="4" t="s">
        <v>790</v>
      </c>
      <c r="AH613" s="4" t="s">
        <v>596</v>
      </c>
      <c r="AM613" s="4">
        <v>6.2</v>
      </c>
      <c r="AN613" s="4">
        <v>10.26</v>
      </c>
      <c r="BD613" s="4" t="s">
        <v>770</v>
      </c>
      <c r="BE613" s="4" t="s">
        <v>771</v>
      </c>
      <c r="BI613" s="4" t="s">
        <v>321</v>
      </c>
      <c r="BK613" s="4">
        <v>5</v>
      </c>
      <c r="BL613" s="4">
        <v>1</v>
      </c>
      <c r="BU613" s="4" t="s">
        <v>398</v>
      </c>
      <c r="BW613" s="4" t="s">
        <v>311</v>
      </c>
      <c r="CB613" s="4" t="s">
        <v>319</v>
      </c>
      <c r="CC613" s="4">
        <v>1500</v>
      </c>
      <c r="CE613" s="4" t="s">
        <v>772</v>
      </c>
      <c r="CH613" s="4" t="s">
        <v>526</v>
      </c>
      <c r="DO613" s="4">
        <v>3</v>
      </c>
      <c r="EA613" s="1">
        <v>38.721</v>
      </c>
      <c r="EB613" s="1">
        <v>6.4</v>
      </c>
      <c r="ED613" s="1">
        <v>38.721</v>
      </c>
    </row>
    <row r="614" customHeight="1" spans="1:313">
      <c r="A614" s="3">
        <v>19</v>
      </c>
      <c r="B614" s="4" t="s">
        <v>762</v>
      </c>
      <c r="C614" s="5" t="s">
        <v>787</v>
      </c>
      <c r="D614" s="4" t="s">
        <v>788</v>
      </c>
      <c r="F614" s="4" t="s">
        <v>328</v>
      </c>
      <c r="N614" s="4" t="s">
        <v>536</v>
      </c>
      <c r="O614" s="4" t="s">
        <v>343</v>
      </c>
      <c r="AB614" s="4" t="s">
        <v>777</v>
      </c>
      <c r="AE614" s="4" t="s">
        <v>789</v>
      </c>
      <c r="AF614" s="4" t="s">
        <v>790</v>
      </c>
      <c r="AH614" s="4" t="s">
        <v>596</v>
      </c>
      <c r="AM614" s="4">
        <v>6.2</v>
      </c>
      <c r="AN614" s="4">
        <v>10.26</v>
      </c>
      <c r="BD614" s="4" t="s">
        <v>770</v>
      </c>
      <c r="BE614" s="4" t="s">
        <v>771</v>
      </c>
      <c r="BI614" s="4" t="s">
        <v>321</v>
      </c>
      <c r="BK614" s="4">
        <v>5</v>
      </c>
      <c r="BL614" s="4">
        <v>1</v>
      </c>
      <c r="BU614" s="4" t="s">
        <v>398</v>
      </c>
      <c r="BW614" s="4" t="s">
        <v>311</v>
      </c>
      <c r="CB614" s="4" t="s">
        <v>319</v>
      </c>
      <c r="CC614" s="4">
        <v>2000</v>
      </c>
      <c r="CE614" s="4" t="s">
        <v>772</v>
      </c>
      <c r="CH614" s="4" t="s">
        <v>526</v>
      </c>
      <c r="DO614" s="4">
        <v>3</v>
      </c>
      <c r="EA614" s="1">
        <v>37.71</v>
      </c>
      <c r="EB614" s="1">
        <v>2.02</v>
      </c>
      <c r="ED614" s="1">
        <v>37.71</v>
      </c>
    </row>
    <row r="615" customHeight="1" spans="1:313">
      <c r="A615" s="3">
        <v>19</v>
      </c>
      <c r="B615" s="4" t="s">
        <v>762</v>
      </c>
      <c r="C615" s="5" t="s">
        <v>787</v>
      </c>
      <c r="D615" s="4" t="s">
        <v>788</v>
      </c>
      <c r="F615" s="4" t="s">
        <v>328</v>
      </c>
      <c r="N615" s="4" t="s">
        <v>536</v>
      </c>
      <c r="O615" s="4" t="s">
        <v>343</v>
      </c>
      <c r="AB615" s="4" t="s">
        <v>777</v>
      </c>
      <c r="AE615" s="4" t="s">
        <v>789</v>
      </c>
      <c r="AF615" s="4" t="s">
        <v>790</v>
      </c>
      <c r="AH615" s="4" t="s">
        <v>596</v>
      </c>
      <c r="AM615" s="4">
        <v>6.2</v>
      </c>
      <c r="AN615" s="4">
        <v>10.26</v>
      </c>
      <c r="BD615" s="4" t="s">
        <v>770</v>
      </c>
      <c r="BE615" s="4" t="s">
        <v>771</v>
      </c>
      <c r="BI615" s="4" t="s">
        <v>321</v>
      </c>
      <c r="BK615" s="4">
        <v>5</v>
      </c>
      <c r="BL615" s="4">
        <v>1</v>
      </c>
      <c r="BT615" s="4">
        <v>3</v>
      </c>
      <c r="BU615" s="4" t="s">
        <v>398</v>
      </c>
      <c r="BW615" s="4" t="s">
        <v>311</v>
      </c>
      <c r="CB615" s="4" t="s">
        <v>319</v>
      </c>
      <c r="CC615" s="4">
        <v>1000</v>
      </c>
      <c r="CE615" s="4" t="s">
        <v>772</v>
      </c>
      <c r="CH615" s="4" t="s">
        <v>526</v>
      </c>
      <c r="DO615" s="4">
        <v>3</v>
      </c>
      <c r="EA615" s="1">
        <v>0</v>
      </c>
      <c r="EB615" s="1">
        <v>5.03</v>
      </c>
      <c r="ED615" s="1">
        <v>0</v>
      </c>
    </row>
    <row r="616" customHeight="1" spans="1:313">
      <c r="A616" s="3">
        <v>19</v>
      </c>
      <c r="B616" s="4" t="s">
        <v>762</v>
      </c>
      <c r="C616" s="5" t="s">
        <v>787</v>
      </c>
      <c r="D616" s="4" t="s">
        <v>788</v>
      </c>
      <c r="F616" s="4" t="s">
        <v>328</v>
      </c>
      <c r="N616" s="4" t="s">
        <v>536</v>
      </c>
      <c r="O616" s="4" t="s">
        <v>343</v>
      </c>
      <c r="AB616" s="4" t="s">
        <v>777</v>
      </c>
      <c r="AE616" s="4" t="s">
        <v>789</v>
      </c>
      <c r="AF616" s="4" t="s">
        <v>790</v>
      </c>
      <c r="AH616" s="4" t="s">
        <v>596</v>
      </c>
      <c r="AM616" s="4">
        <v>6.2</v>
      </c>
      <c r="AN616" s="4">
        <v>10.26</v>
      </c>
      <c r="BD616" s="4" t="s">
        <v>770</v>
      </c>
      <c r="BE616" s="4" t="s">
        <v>771</v>
      </c>
      <c r="BI616" s="4" t="s">
        <v>321</v>
      </c>
      <c r="BK616" s="4">
        <v>5</v>
      </c>
      <c r="BL616" s="4">
        <v>1</v>
      </c>
      <c r="BT616" s="4">
        <v>4</v>
      </c>
      <c r="BU616" s="4" t="s">
        <v>398</v>
      </c>
      <c r="BW616" s="4" t="s">
        <v>311</v>
      </c>
      <c r="CB616" s="4" t="s">
        <v>319</v>
      </c>
      <c r="CC616" s="4">
        <v>1000</v>
      </c>
      <c r="CE616" s="4" t="s">
        <v>772</v>
      </c>
      <c r="CH616" s="4" t="s">
        <v>526</v>
      </c>
      <c r="DO616" s="4">
        <v>3</v>
      </c>
      <c r="EA616" s="1">
        <v>19.799</v>
      </c>
      <c r="EB616" s="1">
        <v>8.72</v>
      </c>
      <c r="ED616" s="1">
        <v>19.799</v>
      </c>
    </row>
    <row r="617" customHeight="1" spans="1:313">
      <c r="A617" s="3">
        <v>19</v>
      </c>
      <c r="B617" s="4" t="s">
        <v>762</v>
      </c>
      <c r="C617" s="5" t="s">
        <v>787</v>
      </c>
      <c r="D617" s="4" t="s">
        <v>788</v>
      </c>
      <c r="F617" s="4" t="s">
        <v>328</v>
      </c>
      <c r="N617" s="4" t="s">
        <v>536</v>
      </c>
      <c r="O617" s="4" t="s">
        <v>343</v>
      </c>
      <c r="AB617" s="4" t="s">
        <v>777</v>
      </c>
      <c r="AE617" s="4" t="s">
        <v>789</v>
      </c>
      <c r="AF617" s="4" t="s">
        <v>790</v>
      </c>
      <c r="AH617" s="4" t="s">
        <v>596</v>
      </c>
      <c r="AM617" s="4">
        <v>6.2</v>
      </c>
      <c r="AN617" s="4">
        <v>10.26</v>
      </c>
      <c r="BD617" s="4" t="s">
        <v>770</v>
      </c>
      <c r="BE617" s="4" t="s">
        <v>771</v>
      </c>
      <c r="BI617" s="4" t="s">
        <v>321</v>
      </c>
      <c r="BK617" s="4">
        <v>5</v>
      </c>
      <c r="BL617" s="4">
        <v>1</v>
      </c>
      <c r="BT617" s="4">
        <v>5</v>
      </c>
      <c r="BU617" s="4" t="s">
        <v>398</v>
      </c>
      <c r="BW617" s="4" t="s">
        <v>311</v>
      </c>
      <c r="CB617" s="4" t="s">
        <v>319</v>
      </c>
      <c r="CC617" s="4">
        <v>1000</v>
      </c>
      <c r="CE617" s="4" t="s">
        <v>772</v>
      </c>
      <c r="CH617" s="4" t="s">
        <v>526</v>
      </c>
      <c r="DO617" s="4">
        <v>3</v>
      </c>
      <c r="EA617" s="1">
        <v>24.832</v>
      </c>
      <c r="EB617" s="1">
        <v>6.71</v>
      </c>
      <c r="ED617" s="1">
        <v>24.832</v>
      </c>
    </row>
    <row r="618" customHeight="1" spans="1:313">
      <c r="A618" s="3">
        <v>19</v>
      </c>
      <c r="B618" s="4" t="s">
        <v>762</v>
      </c>
      <c r="C618" s="5" t="s">
        <v>787</v>
      </c>
      <c r="D618" s="4" t="s">
        <v>788</v>
      </c>
      <c r="F618" s="4" t="s">
        <v>328</v>
      </c>
      <c r="N618" s="4" t="s">
        <v>536</v>
      </c>
      <c r="O618" s="4" t="s">
        <v>343</v>
      </c>
      <c r="AB618" s="4" t="s">
        <v>777</v>
      </c>
      <c r="AE618" s="4" t="s">
        <v>789</v>
      </c>
      <c r="AF618" s="4" t="s">
        <v>790</v>
      </c>
      <c r="AH618" s="4" t="s">
        <v>596</v>
      </c>
      <c r="AM618" s="4">
        <v>6.2</v>
      </c>
      <c r="AN618" s="4">
        <v>10.26</v>
      </c>
      <c r="BD618" s="4" t="s">
        <v>770</v>
      </c>
      <c r="BE618" s="4" t="s">
        <v>771</v>
      </c>
      <c r="BI618" s="4" t="s">
        <v>321</v>
      </c>
      <c r="BK618" s="4">
        <v>5</v>
      </c>
      <c r="BL618" s="4">
        <v>1</v>
      </c>
      <c r="BT618" s="4">
        <v>6</v>
      </c>
      <c r="BU618" s="4" t="s">
        <v>398</v>
      </c>
      <c r="BW618" s="4" t="s">
        <v>311</v>
      </c>
      <c r="CB618" s="4" t="s">
        <v>319</v>
      </c>
      <c r="CC618" s="4">
        <v>1000</v>
      </c>
      <c r="CE618" s="4" t="s">
        <v>772</v>
      </c>
      <c r="CH618" s="4" t="s">
        <v>526</v>
      </c>
      <c r="DO618" s="4">
        <v>3</v>
      </c>
      <c r="EA618" s="1">
        <v>18.792</v>
      </c>
      <c r="EB618" s="1">
        <v>4.36</v>
      </c>
      <c r="ED618" s="1">
        <v>18.792</v>
      </c>
    </row>
    <row r="619" customHeight="1" spans="1:313">
      <c r="A619" s="3">
        <v>19</v>
      </c>
      <c r="B619" s="4" t="s">
        <v>762</v>
      </c>
      <c r="C619" s="5" t="s">
        <v>787</v>
      </c>
      <c r="D619" s="4" t="s">
        <v>788</v>
      </c>
      <c r="F619" s="4" t="s">
        <v>328</v>
      </c>
      <c r="N619" s="4" t="s">
        <v>536</v>
      </c>
      <c r="O619" s="4" t="s">
        <v>343</v>
      </c>
      <c r="AB619" s="4" t="s">
        <v>777</v>
      </c>
      <c r="AE619" s="4" t="s">
        <v>789</v>
      </c>
      <c r="AF619" s="4" t="s">
        <v>790</v>
      </c>
      <c r="AH619" s="4" t="s">
        <v>596</v>
      </c>
      <c r="AM619" s="4">
        <v>6.2</v>
      </c>
      <c r="AN619" s="4">
        <v>10.26</v>
      </c>
      <c r="BD619" s="4" t="s">
        <v>770</v>
      </c>
      <c r="BI619" s="4" t="s">
        <v>321</v>
      </c>
      <c r="BK619" s="4">
        <v>5</v>
      </c>
      <c r="BL619" s="4">
        <v>1</v>
      </c>
      <c r="BU619" s="4" t="s">
        <v>398</v>
      </c>
      <c r="BV619" s="4">
        <v>4320</v>
      </c>
      <c r="CB619" s="4" t="s">
        <v>7</v>
      </c>
      <c r="CC619" s="4">
        <v>1000</v>
      </c>
      <c r="DO619" s="4">
        <v>3</v>
      </c>
      <c r="DS619" s="4">
        <v>39.15</v>
      </c>
      <c r="EC619" s="1">
        <f>(1000-DS619)/10</f>
        <v>96.085</v>
      </c>
      <c r="ED619" s="1">
        <v>96.085</v>
      </c>
    </row>
    <row r="620" customHeight="1" spans="1:313">
      <c r="A620" s="3">
        <v>19</v>
      </c>
      <c r="B620" s="4" t="s">
        <v>762</v>
      </c>
      <c r="C620" s="5" t="s">
        <v>787</v>
      </c>
      <c r="D620" s="4" t="s">
        <v>788</v>
      </c>
      <c r="F620" s="4" t="s">
        <v>328</v>
      </c>
      <c r="N620" s="4" t="s">
        <v>536</v>
      </c>
      <c r="O620" s="4" t="s">
        <v>343</v>
      </c>
      <c r="AB620" s="4" t="s">
        <v>777</v>
      </c>
      <c r="AE620" s="4" t="s">
        <v>789</v>
      </c>
      <c r="AF620" s="4" t="s">
        <v>790</v>
      </c>
      <c r="AH620" s="4" t="s">
        <v>596</v>
      </c>
      <c r="AM620" s="4">
        <v>6.2</v>
      </c>
      <c r="AN620" s="4">
        <v>10.26</v>
      </c>
      <c r="BD620" s="4" t="s">
        <v>770</v>
      </c>
      <c r="BI620" s="4" t="s">
        <v>321</v>
      </c>
      <c r="BK620" s="4">
        <v>5</v>
      </c>
      <c r="BL620" s="4">
        <v>1</v>
      </c>
      <c r="BU620" s="4" t="s">
        <v>398</v>
      </c>
      <c r="BV620" s="4">
        <v>4320</v>
      </c>
      <c r="CB620" s="4" t="s">
        <v>7</v>
      </c>
      <c r="CC620" s="4">
        <v>1000</v>
      </c>
      <c r="DO620" s="4">
        <v>3</v>
      </c>
      <c r="DS620" s="4">
        <v>14.02</v>
      </c>
      <c r="EC620" s="1">
        <f>(1000-DS620)/10</f>
        <v>98.598</v>
      </c>
      <c r="ED620" s="1">
        <v>98.598</v>
      </c>
    </row>
    <row r="621" customHeight="1" spans="1:313">
      <c r="A621" s="3">
        <v>19</v>
      </c>
      <c r="B621" s="4" t="s">
        <v>762</v>
      </c>
      <c r="C621" s="5" t="s">
        <v>787</v>
      </c>
      <c r="D621" s="4" t="s">
        <v>788</v>
      </c>
      <c r="F621" s="4" t="s">
        <v>328</v>
      </c>
      <c r="N621" s="4" t="s">
        <v>536</v>
      </c>
      <c r="O621" s="4" t="s">
        <v>343</v>
      </c>
      <c r="AB621" s="4" t="s">
        <v>777</v>
      </c>
      <c r="AE621" s="4" t="s">
        <v>789</v>
      </c>
      <c r="AF621" s="4" t="s">
        <v>790</v>
      </c>
      <c r="AH621" s="4" t="s">
        <v>596</v>
      </c>
      <c r="AM621" s="4">
        <v>6.2</v>
      </c>
      <c r="AN621" s="4">
        <v>10.26</v>
      </c>
      <c r="BD621" s="4" t="s">
        <v>770</v>
      </c>
      <c r="DO621" s="4">
        <v>3</v>
      </c>
    </row>
    <row r="622" customHeight="1" spans="1:313">
      <c r="A622" s="3">
        <v>19</v>
      </c>
      <c r="B622" s="4" t="s">
        <v>762</v>
      </c>
      <c r="C622" s="5" t="s">
        <v>787</v>
      </c>
      <c r="D622" s="4" t="s">
        <v>788</v>
      </c>
      <c r="F622" s="4" t="s">
        <v>328</v>
      </c>
      <c r="N622" s="4" t="s">
        <v>536</v>
      </c>
      <c r="O622" s="4" t="s">
        <v>343</v>
      </c>
      <c r="AB622" s="4" t="s">
        <v>777</v>
      </c>
      <c r="AE622" s="4" t="s">
        <v>789</v>
      </c>
      <c r="AF622" s="4" t="s">
        <v>790</v>
      </c>
      <c r="AH622" s="4" t="s">
        <v>596</v>
      </c>
      <c r="AM622" s="4">
        <v>6.2</v>
      </c>
      <c r="AN622" s="4">
        <v>10.26</v>
      </c>
      <c r="BD622" s="4" t="s">
        <v>770</v>
      </c>
      <c r="DO622" s="4">
        <v>3</v>
      </c>
    </row>
    <row r="623" customHeight="1" spans="1:313">
      <c r="A623" s="3">
        <v>19</v>
      </c>
      <c r="B623" s="4" t="s">
        <v>762</v>
      </c>
      <c r="C623" s="5" t="s">
        <v>787</v>
      </c>
      <c r="D623" s="4" t="s">
        <v>788</v>
      </c>
      <c r="F623" s="4" t="s">
        <v>328</v>
      </c>
      <c r="N623" s="4" t="s">
        <v>536</v>
      </c>
      <c r="O623" s="4" t="s">
        <v>343</v>
      </c>
      <c r="AB623" s="4" t="s">
        <v>777</v>
      </c>
      <c r="AE623" s="4" t="s">
        <v>789</v>
      </c>
      <c r="AF623" s="4" t="s">
        <v>790</v>
      </c>
      <c r="AH623" s="4" t="s">
        <v>596</v>
      </c>
      <c r="AM623" s="4">
        <v>6.2</v>
      </c>
      <c r="AN623" s="4">
        <v>10.26</v>
      </c>
      <c r="BD623" s="4" t="s">
        <v>770</v>
      </c>
      <c r="DO623" s="4">
        <v>3</v>
      </c>
    </row>
    <row r="624" customHeight="1" spans="1:313">
      <c r="A624" s="28">
        <v>20</v>
      </c>
      <c r="B624" s="4" t="s">
        <v>791</v>
      </c>
      <c r="C624" s="5" t="s">
        <v>792</v>
      </c>
      <c r="N624" s="4" t="s">
        <v>536</v>
      </c>
      <c r="O624" s="4" t="s">
        <v>343</v>
      </c>
      <c r="P624" s="4">
        <v>2</v>
      </c>
      <c r="Q624" s="4" t="s">
        <v>539</v>
      </c>
      <c r="AH624" s="4" t="s">
        <v>793</v>
      </c>
      <c r="AI624" s="4" t="s">
        <v>794</v>
      </c>
      <c r="AM624" s="4">
        <v>5.3</v>
      </c>
      <c r="BC624" s="4" t="s">
        <v>395</v>
      </c>
      <c r="BD624" s="4" t="s">
        <v>795</v>
      </c>
      <c r="BI624" s="4" t="s">
        <v>321</v>
      </c>
      <c r="BL624" s="4">
        <v>1</v>
      </c>
      <c r="BM624" s="4">
        <v>1.8</v>
      </c>
      <c r="BO624" s="4">
        <v>1.8</v>
      </c>
      <c r="BV624" s="4" t="s">
        <v>796</v>
      </c>
      <c r="BX624" s="4">
        <v>50</v>
      </c>
      <c r="CB624" s="4" t="s">
        <v>7</v>
      </c>
      <c r="CD624" s="4">
        <v>180</v>
      </c>
      <c r="DO624" s="4">
        <v>3</v>
      </c>
      <c r="EA624" s="20">
        <v>39</v>
      </c>
      <c r="EB624" s="20" t="s">
        <v>797</v>
      </c>
      <c r="EC624" s="20"/>
      <c r="ED624" s="20">
        <v>39</v>
      </c>
      <c r="KZ624" s="1" t="s">
        <v>458</v>
      </c>
      <c r="LA624" s="1" t="s">
        <v>798</v>
      </c>
    </row>
    <row r="625" customHeight="1" spans="1:287">
      <c r="A625" s="28">
        <v>20</v>
      </c>
      <c r="B625" s="4" t="s">
        <v>791</v>
      </c>
      <c r="C625" s="5" t="s">
        <v>792</v>
      </c>
      <c r="N625" s="4" t="s">
        <v>536</v>
      </c>
      <c r="O625" s="4" t="s">
        <v>343</v>
      </c>
      <c r="P625" s="4">
        <v>2</v>
      </c>
      <c r="Q625" s="4" t="s">
        <v>539</v>
      </c>
      <c r="AI625" s="4" t="s">
        <v>799</v>
      </c>
      <c r="AM625" s="4">
        <v>7.54</v>
      </c>
      <c r="BC625" s="4" t="s">
        <v>800</v>
      </c>
      <c r="BD625" s="4" t="s">
        <v>795</v>
      </c>
      <c r="BI625" s="4" t="s">
        <v>321</v>
      </c>
      <c r="BL625" s="4">
        <v>1</v>
      </c>
      <c r="BM625" s="4">
        <v>1.8</v>
      </c>
      <c r="BO625" s="4">
        <v>1.8</v>
      </c>
      <c r="BV625" s="4" t="s">
        <v>796</v>
      </c>
      <c r="BX625" s="4">
        <v>50</v>
      </c>
      <c r="CB625" s="4" t="s">
        <v>7</v>
      </c>
      <c r="CD625" s="4">
        <v>180</v>
      </c>
      <c r="DO625" s="4">
        <v>3</v>
      </c>
      <c r="EA625" s="20">
        <v>16.8</v>
      </c>
      <c r="ED625" s="20">
        <v>16.8</v>
      </c>
    </row>
    <row r="626" customHeight="1" spans="1:287">
      <c r="A626" s="28">
        <v>20</v>
      </c>
      <c r="B626" s="4" t="s">
        <v>791</v>
      </c>
      <c r="C626" s="5" t="s">
        <v>792</v>
      </c>
      <c r="N626" s="4" t="s">
        <v>536</v>
      </c>
      <c r="O626" s="4" t="s">
        <v>343</v>
      </c>
      <c r="P626" s="4">
        <v>2</v>
      </c>
      <c r="Q626" s="4" t="s">
        <v>539</v>
      </c>
      <c r="AH626" s="4" t="s">
        <v>596</v>
      </c>
      <c r="AI626" s="4" t="s">
        <v>801</v>
      </c>
      <c r="AM626" s="4">
        <v>7.69</v>
      </c>
      <c r="BC626" s="4" t="s">
        <v>802</v>
      </c>
      <c r="BD626" s="4" t="s">
        <v>795</v>
      </c>
      <c r="BI626" s="4" t="s">
        <v>321</v>
      </c>
      <c r="BL626" s="4">
        <v>1</v>
      </c>
      <c r="BM626" s="4">
        <v>1.8</v>
      </c>
      <c r="BO626" s="4">
        <v>1.8</v>
      </c>
      <c r="BV626" s="4" t="s">
        <v>796</v>
      </c>
      <c r="BX626" s="4">
        <v>50</v>
      </c>
      <c r="CB626" s="4" t="s">
        <v>7</v>
      </c>
      <c r="CD626" s="4">
        <v>180</v>
      </c>
      <c r="DO626" s="4">
        <v>3</v>
      </c>
      <c r="EA626" s="20">
        <v>12.7</v>
      </c>
      <c r="ED626" s="20">
        <v>12.7</v>
      </c>
    </row>
    <row r="627" customHeight="1" spans="1:287">
      <c r="A627" s="28">
        <v>20</v>
      </c>
      <c r="B627" s="4" t="s">
        <v>791</v>
      </c>
      <c r="C627" s="5" t="s">
        <v>792</v>
      </c>
      <c r="N627" s="4" t="s">
        <v>536</v>
      </c>
      <c r="O627" s="4" t="s">
        <v>343</v>
      </c>
      <c r="P627" s="4">
        <v>2</v>
      </c>
      <c r="Q627" s="4" t="s">
        <v>539</v>
      </c>
      <c r="AH627" s="4" t="s">
        <v>803</v>
      </c>
      <c r="AI627" s="4" t="s">
        <v>804</v>
      </c>
      <c r="AM627" s="4">
        <v>6.39</v>
      </c>
      <c r="BC627" s="4" t="s">
        <v>805</v>
      </c>
      <c r="BD627" s="4" t="s">
        <v>795</v>
      </c>
      <c r="BI627" s="4" t="s">
        <v>321</v>
      </c>
      <c r="BL627" s="4">
        <v>1</v>
      </c>
      <c r="BM627" s="4">
        <v>1.8</v>
      </c>
      <c r="BO627" s="4">
        <v>1.8</v>
      </c>
      <c r="BV627" s="4" t="s">
        <v>796</v>
      </c>
      <c r="BX627" s="4">
        <v>50</v>
      </c>
      <c r="CB627" s="4" t="s">
        <v>7</v>
      </c>
      <c r="CD627" s="4">
        <v>180</v>
      </c>
      <c r="DO627" s="4">
        <v>3</v>
      </c>
      <c r="EA627" s="20">
        <v>48.2</v>
      </c>
      <c r="ED627" s="20">
        <v>48.2</v>
      </c>
    </row>
    <row r="628" customHeight="1" spans="1:287">
      <c r="A628" s="3">
        <v>21</v>
      </c>
      <c r="B628" s="4" t="s">
        <v>806</v>
      </c>
      <c r="C628" s="5" t="s">
        <v>807</v>
      </c>
      <c r="D628" s="4" t="s">
        <v>300</v>
      </c>
      <c r="E628" s="4" t="s">
        <v>808</v>
      </c>
      <c r="T628" s="4">
        <v>63.05</v>
      </c>
      <c r="U628" s="4">
        <v>0.29</v>
      </c>
      <c r="V628" s="4">
        <v>18.46</v>
      </c>
      <c r="AB628" s="4" t="s">
        <v>809</v>
      </c>
      <c r="AC628" s="4" t="s">
        <v>810</v>
      </c>
      <c r="AD628" s="4" t="s">
        <v>811</v>
      </c>
      <c r="AE628" s="4">
        <v>3595</v>
      </c>
      <c r="AF628" s="4" t="s">
        <v>812</v>
      </c>
      <c r="BI628" s="4" t="s">
        <v>309</v>
      </c>
      <c r="CB628" s="4" t="s">
        <v>424</v>
      </c>
      <c r="DE628" s="4">
        <v>216.08</v>
      </c>
      <c r="DO628" s="4">
        <v>3</v>
      </c>
      <c r="FA628" s="29">
        <v>216.08</v>
      </c>
    </row>
    <row r="629" customHeight="1" spans="1:287">
      <c r="A629" s="3">
        <v>21</v>
      </c>
      <c r="B629" s="4" t="s">
        <v>806</v>
      </c>
      <c r="C629" s="5" t="s">
        <v>807</v>
      </c>
      <c r="D629" s="4" t="s">
        <v>300</v>
      </c>
      <c r="E629" s="4" t="s">
        <v>808</v>
      </c>
      <c r="T629" s="4">
        <v>63.05</v>
      </c>
      <c r="U629" s="4">
        <v>0.29</v>
      </c>
      <c r="V629" s="4">
        <v>18.46</v>
      </c>
      <c r="AB629" s="4" t="s">
        <v>809</v>
      </c>
      <c r="AC629" s="4" t="s">
        <v>810</v>
      </c>
      <c r="AD629" s="4" t="s">
        <v>811</v>
      </c>
      <c r="AE629" s="4">
        <v>3595</v>
      </c>
      <c r="AF629" s="4" t="s">
        <v>812</v>
      </c>
      <c r="BI629" s="4" t="s">
        <v>309</v>
      </c>
      <c r="CB629" s="4" t="s">
        <v>7</v>
      </c>
      <c r="DE629" s="4">
        <v>193.18</v>
      </c>
      <c r="DO629" s="4">
        <v>3</v>
      </c>
      <c r="DW629" s="29">
        <v>193.8</v>
      </c>
    </row>
    <row r="630" customHeight="1" spans="1:287">
      <c r="A630" s="3">
        <v>21</v>
      </c>
      <c r="B630" s="4" t="s">
        <v>806</v>
      </c>
      <c r="C630" s="5" t="s">
        <v>807</v>
      </c>
      <c r="D630" s="4" t="s">
        <v>300</v>
      </c>
      <c r="E630" s="4" t="s">
        <v>808</v>
      </c>
      <c r="T630" s="4">
        <v>63.05</v>
      </c>
      <c r="U630" s="4">
        <v>0.29</v>
      </c>
      <c r="V630" s="4">
        <v>18.46</v>
      </c>
      <c r="AB630" s="4" t="s">
        <v>809</v>
      </c>
      <c r="AC630" s="4" t="s">
        <v>810</v>
      </c>
      <c r="AD630" s="4" t="s">
        <v>811</v>
      </c>
      <c r="AE630" s="4">
        <v>3595</v>
      </c>
      <c r="AF630" s="4" t="s">
        <v>812</v>
      </c>
      <c r="AI630" s="4" t="s">
        <v>813</v>
      </c>
      <c r="AL630" s="4" t="s">
        <v>486</v>
      </c>
      <c r="AM630" s="4">
        <v>5.03</v>
      </c>
      <c r="AQ630" s="4" t="s">
        <v>319</v>
      </c>
      <c r="AR630" s="4">
        <v>0.45</v>
      </c>
      <c r="AS630" s="4" t="s">
        <v>519</v>
      </c>
      <c r="AT630" s="4">
        <v>7.93</v>
      </c>
      <c r="BD630" s="4" t="s">
        <v>814</v>
      </c>
      <c r="DO630" s="4">
        <v>3</v>
      </c>
      <c r="JJ630" s="1" t="s">
        <v>355</v>
      </c>
      <c r="JK630" s="1" t="s">
        <v>321</v>
      </c>
      <c r="JL630" s="27">
        <v>3.47682119205298</v>
      </c>
      <c r="JM630" s="27"/>
      <c r="JN630" s="27">
        <v>11.7549668874172</v>
      </c>
      <c r="JO630" s="27"/>
      <c r="JP630" s="27">
        <v>8.774834437086</v>
      </c>
      <c r="JQ630" s="27"/>
      <c r="JR630" s="27">
        <v>75.9933774834438</v>
      </c>
      <c r="JS630" s="27"/>
      <c r="JT630" s="27">
        <v>28.0788177339901</v>
      </c>
      <c r="JU630" s="27"/>
      <c r="JV630" s="27">
        <v>32.8407224958949</v>
      </c>
      <c r="JW630" s="27"/>
      <c r="JX630" s="27">
        <v>22.6600985221675</v>
      </c>
      <c r="JY630" s="27"/>
      <c r="JZ630" s="27">
        <v>16.4203612479475</v>
      </c>
      <c r="KA630" s="27"/>
    </row>
    <row r="631" customHeight="1" spans="1:287">
      <c r="A631" s="3">
        <v>21</v>
      </c>
      <c r="B631" s="4" t="s">
        <v>806</v>
      </c>
      <c r="C631" s="5" t="s">
        <v>807</v>
      </c>
      <c r="D631" s="4" t="s">
        <v>300</v>
      </c>
      <c r="E631" s="4" t="s">
        <v>808</v>
      </c>
      <c r="T631" s="4">
        <v>63.05</v>
      </c>
      <c r="U631" s="4">
        <v>0.29</v>
      </c>
      <c r="V631" s="4">
        <v>18.46</v>
      </c>
      <c r="AB631" s="4" t="s">
        <v>809</v>
      </c>
      <c r="AC631" s="4" t="s">
        <v>810</v>
      </c>
      <c r="AD631" s="4" t="s">
        <v>811</v>
      </c>
      <c r="AE631" s="4">
        <v>3595</v>
      </c>
      <c r="AF631" s="4" t="s">
        <v>812</v>
      </c>
      <c r="AI631" s="4" t="s">
        <v>813</v>
      </c>
      <c r="AL631" s="4" t="s">
        <v>486</v>
      </c>
      <c r="AM631" s="4">
        <v>5.03</v>
      </c>
      <c r="AQ631" s="4" t="s">
        <v>319</v>
      </c>
      <c r="AR631" s="4">
        <v>0.45</v>
      </c>
      <c r="AS631" s="4" t="s">
        <v>519</v>
      </c>
      <c r="AT631" s="4">
        <v>7.93</v>
      </c>
      <c r="BD631" s="4" t="s">
        <v>814</v>
      </c>
      <c r="DO631" s="4">
        <v>3</v>
      </c>
      <c r="JJ631" s="1" t="s">
        <v>355</v>
      </c>
      <c r="JK631" s="1" t="s">
        <v>321</v>
      </c>
      <c r="JL631" s="27">
        <v>4.3046357615894</v>
      </c>
      <c r="JM631" s="27"/>
      <c r="JN631" s="27">
        <v>8.4437086092715</v>
      </c>
      <c r="JO631" s="27"/>
      <c r="JP631" s="27">
        <v>6.4569536423841</v>
      </c>
      <c r="JQ631" s="27"/>
      <c r="JR631" s="27">
        <v>80.794701986755</v>
      </c>
      <c r="JS631" s="27"/>
      <c r="JT631" s="27">
        <v>24.4663382594417</v>
      </c>
      <c r="JU631" s="27"/>
      <c r="JV631" s="27">
        <v>33.4975369458128</v>
      </c>
      <c r="JW631" s="27"/>
      <c r="JX631" s="27">
        <v>19.2118226600985</v>
      </c>
      <c r="JY631" s="27"/>
      <c r="JZ631" s="27">
        <v>22.824302134647</v>
      </c>
      <c r="KA631" s="27"/>
    </row>
    <row r="632" customHeight="1" spans="1:287">
      <c r="A632" s="3">
        <v>21</v>
      </c>
      <c r="B632" s="4" t="s">
        <v>806</v>
      </c>
      <c r="C632" s="5" t="s">
        <v>807</v>
      </c>
      <c r="D632" s="4" t="s">
        <v>300</v>
      </c>
      <c r="E632" s="4" t="s">
        <v>808</v>
      </c>
      <c r="T632" s="4">
        <v>63.05</v>
      </c>
      <c r="U632" s="4">
        <v>0.29</v>
      </c>
      <c r="V632" s="4">
        <v>18.46</v>
      </c>
      <c r="AB632" s="4" t="s">
        <v>809</v>
      </c>
      <c r="AC632" s="4" t="s">
        <v>810</v>
      </c>
      <c r="AD632" s="4" t="s">
        <v>811</v>
      </c>
      <c r="AE632" s="4">
        <v>3595</v>
      </c>
      <c r="AF632" s="4" t="s">
        <v>812</v>
      </c>
      <c r="AI632" s="4" t="s">
        <v>813</v>
      </c>
      <c r="AL632" s="4" t="s">
        <v>486</v>
      </c>
      <c r="AM632" s="4">
        <v>5.03</v>
      </c>
      <c r="AQ632" s="4" t="s">
        <v>319</v>
      </c>
      <c r="AR632" s="4">
        <v>0.45</v>
      </c>
      <c r="AS632" s="4" t="s">
        <v>519</v>
      </c>
      <c r="AT632" s="4">
        <v>7.93</v>
      </c>
      <c r="BD632" s="4" t="s">
        <v>814</v>
      </c>
      <c r="DO632" s="4">
        <v>3</v>
      </c>
      <c r="JJ632" s="1" t="s">
        <v>355</v>
      </c>
      <c r="JK632" s="1" t="s">
        <v>321</v>
      </c>
      <c r="JL632" s="27">
        <v>3.47682119205298</v>
      </c>
      <c r="JM632" s="27"/>
      <c r="JN632" s="27">
        <v>10.5960264900662</v>
      </c>
      <c r="JO632" s="27"/>
      <c r="JP632" s="27">
        <v>5.7947019867549</v>
      </c>
      <c r="JQ632" s="27"/>
      <c r="JR632" s="27">
        <v>80.1324503311259</v>
      </c>
      <c r="JS632" s="27"/>
      <c r="JT632" s="27">
        <v>19.5402298850574</v>
      </c>
      <c r="JU632" s="27"/>
      <c r="JV632" s="27">
        <v>32.6765188834155</v>
      </c>
      <c r="JW632" s="27"/>
      <c r="JX632" s="27">
        <v>23.3169129720854</v>
      </c>
      <c r="JY632" s="27"/>
      <c r="JZ632" s="27">
        <v>24.4663382594417</v>
      </c>
      <c r="KA632" s="27"/>
    </row>
    <row r="633" customHeight="1" spans="1:287">
      <c r="A633" s="3">
        <v>21</v>
      </c>
      <c r="B633" s="4" t="s">
        <v>806</v>
      </c>
      <c r="C633" s="5" t="s">
        <v>807</v>
      </c>
      <c r="D633" s="4" t="s">
        <v>300</v>
      </c>
      <c r="E633" s="4" t="s">
        <v>808</v>
      </c>
      <c r="T633" s="4">
        <v>63.05</v>
      </c>
      <c r="U633" s="4">
        <v>0.29</v>
      </c>
      <c r="V633" s="4">
        <v>18.46</v>
      </c>
      <c r="AB633" s="4" t="s">
        <v>809</v>
      </c>
      <c r="AC633" s="4" t="s">
        <v>810</v>
      </c>
      <c r="AD633" s="4" t="s">
        <v>811</v>
      </c>
      <c r="AE633" s="4">
        <v>3595</v>
      </c>
      <c r="AF633" s="4" t="s">
        <v>812</v>
      </c>
      <c r="AI633" s="4" t="s">
        <v>813</v>
      </c>
      <c r="AL633" s="4" t="s">
        <v>486</v>
      </c>
      <c r="AM633" s="4">
        <v>5.03</v>
      </c>
      <c r="AQ633" s="4" t="s">
        <v>319</v>
      </c>
      <c r="AR633" s="4">
        <v>0.45</v>
      </c>
      <c r="AS633" s="4" t="s">
        <v>519</v>
      </c>
      <c r="AT633" s="4">
        <v>7.93</v>
      </c>
      <c r="BD633" s="4" t="s">
        <v>814</v>
      </c>
      <c r="DO633" s="4">
        <v>3</v>
      </c>
      <c r="JJ633" s="1" t="s">
        <v>355</v>
      </c>
      <c r="JK633" s="1" t="s">
        <v>321</v>
      </c>
      <c r="JL633" s="27">
        <v>0.827814569536432</v>
      </c>
      <c r="JM633" s="27"/>
      <c r="JN633" s="27">
        <v>9.60264900662247</v>
      </c>
      <c r="JO633" s="27"/>
      <c r="JP633" s="27">
        <v>5.794701986755</v>
      </c>
      <c r="JQ633" s="27"/>
      <c r="JR633" s="27">
        <v>83.7748344370861</v>
      </c>
      <c r="JS633" s="27"/>
      <c r="JT633" s="27">
        <v>16.4203612479474</v>
      </c>
      <c r="JU633" s="27"/>
      <c r="JV633" s="27">
        <v>33.4975369458128</v>
      </c>
      <c r="JW633" s="27"/>
      <c r="JX633" s="27">
        <v>23.4811165845649</v>
      </c>
      <c r="JY633" s="27"/>
      <c r="JZ633" s="27">
        <v>26.6009852216749</v>
      </c>
      <c r="KA633" s="27"/>
    </row>
    <row r="634" customHeight="1" spans="1:287">
      <c r="A634" s="3">
        <v>21</v>
      </c>
      <c r="B634" s="4" t="s">
        <v>806</v>
      </c>
      <c r="C634" s="5" t="s">
        <v>807</v>
      </c>
      <c r="D634" s="4" t="s">
        <v>300</v>
      </c>
      <c r="E634" s="4" t="s">
        <v>808</v>
      </c>
      <c r="T634" s="4">
        <v>63.05</v>
      </c>
      <c r="U634" s="4">
        <v>0.29</v>
      </c>
      <c r="V634" s="4">
        <v>18.46</v>
      </c>
      <c r="AB634" s="4" t="s">
        <v>809</v>
      </c>
      <c r="AC634" s="4" t="s">
        <v>810</v>
      </c>
      <c r="AD634" s="4" t="s">
        <v>811</v>
      </c>
      <c r="AE634" s="4">
        <v>3595</v>
      </c>
      <c r="AF634" s="4" t="s">
        <v>812</v>
      </c>
      <c r="AI634" s="4" t="s">
        <v>813</v>
      </c>
      <c r="AL634" s="4" t="s">
        <v>486</v>
      </c>
      <c r="AM634" s="4">
        <v>5.03</v>
      </c>
      <c r="AQ634" s="4" t="s">
        <v>319</v>
      </c>
      <c r="AR634" s="4">
        <v>0.45</v>
      </c>
      <c r="AS634" s="4" t="s">
        <v>519</v>
      </c>
      <c r="AT634" s="4">
        <v>7.93</v>
      </c>
      <c r="BD634" s="4" t="s">
        <v>815</v>
      </c>
      <c r="DO634" s="4">
        <v>3</v>
      </c>
      <c r="JJ634" s="1" t="s">
        <v>355</v>
      </c>
      <c r="JK634" s="1" t="s">
        <v>321</v>
      </c>
      <c r="JL634" s="27">
        <v>13.7417218543046</v>
      </c>
      <c r="JM634" s="27"/>
      <c r="JN634" s="27">
        <v>40.2317880794702</v>
      </c>
      <c r="JO634" s="27"/>
      <c r="JP634" s="27">
        <v>9.2715231788079</v>
      </c>
      <c r="JQ634" s="27"/>
      <c r="JR634" s="27">
        <v>36.7549668874173</v>
      </c>
      <c r="JS634" s="27"/>
      <c r="JT634" s="27">
        <v>49.0968801313628</v>
      </c>
      <c r="JU634" s="27"/>
      <c r="JV634" s="27">
        <v>26.1083743842365</v>
      </c>
      <c r="JW634" s="27"/>
      <c r="JX634" s="27">
        <v>11.4942528735632</v>
      </c>
      <c r="JY634" s="27"/>
      <c r="JZ634" s="27">
        <v>13.3004926108375</v>
      </c>
      <c r="KA634" s="27"/>
    </row>
    <row r="635" customHeight="1" spans="1:287">
      <c r="A635" s="3">
        <v>21</v>
      </c>
      <c r="B635" s="4" t="s">
        <v>806</v>
      </c>
      <c r="C635" s="5" t="s">
        <v>807</v>
      </c>
      <c r="D635" s="4" t="s">
        <v>300</v>
      </c>
      <c r="E635" s="4" t="s">
        <v>808</v>
      </c>
      <c r="T635" s="4">
        <v>63.05</v>
      </c>
      <c r="U635" s="4">
        <v>0.29</v>
      </c>
      <c r="V635" s="4">
        <v>18.46</v>
      </c>
      <c r="AB635" s="4" t="s">
        <v>809</v>
      </c>
      <c r="AC635" s="4" t="s">
        <v>810</v>
      </c>
      <c r="AD635" s="4" t="s">
        <v>811</v>
      </c>
      <c r="AE635" s="4">
        <v>3595</v>
      </c>
      <c r="AF635" s="4" t="s">
        <v>812</v>
      </c>
      <c r="AI635" s="4" t="s">
        <v>813</v>
      </c>
      <c r="AL635" s="4" t="s">
        <v>486</v>
      </c>
      <c r="AM635" s="4">
        <v>5.03</v>
      </c>
      <c r="AQ635" s="4" t="s">
        <v>319</v>
      </c>
      <c r="AR635" s="4">
        <v>0.45</v>
      </c>
      <c r="AS635" s="4" t="s">
        <v>519</v>
      </c>
      <c r="AT635" s="4">
        <v>7.93</v>
      </c>
      <c r="BD635" s="4" t="s">
        <v>815</v>
      </c>
      <c r="DO635" s="4">
        <v>3</v>
      </c>
      <c r="JJ635" s="1" t="s">
        <v>355</v>
      </c>
      <c r="JK635" s="1" t="s">
        <v>321</v>
      </c>
      <c r="JL635" s="27">
        <v>9.6026490066225</v>
      </c>
      <c r="JM635" s="27"/>
      <c r="JN635" s="27">
        <v>31.1258278145695</v>
      </c>
      <c r="JO635" s="27"/>
      <c r="JP635" s="27">
        <v>7.6158940397351</v>
      </c>
      <c r="JQ635" s="27"/>
      <c r="JR635" s="27">
        <v>51.6556291390729</v>
      </c>
      <c r="JS635" s="27"/>
      <c r="JT635" s="27">
        <v>37.4384236453201</v>
      </c>
      <c r="JU635" s="27"/>
      <c r="JV635" s="27">
        <v>36.2889983579639</v>
      </c>
      <c r="JW635" s="27"/>
      <c r="JX635" s="27">
        <v>13.464696223317</v>
      </c>
      <c r="JY635" s="27"/>
      <c r="JZ635" s="27">
        <v>12.807881773399</v>
      </c>
      <c r="KA635" s="27"/>
    </row>
    <row r="636" customHeight="1" spans="1:287">
      <c r="A636" s="3">
        <v>21</v>
      </c>
      <c r="B636" s="4" t="s">
        <v>806</v>
      </c>
      <c r="C636" s="5" t="s">
        <v>807</v>
      </c>
      <c r="D636" s="4" t="s">
        <v>300</v>
      </c>
      <c r="E636" s="4" t="s">
        <v>808</v>
      </c>
      <c r="T636" s="4">
        <v>63.05</v>
      </c>
      <c r="U636" s="4">
        <v>0.29</v>
      </c>
      <c r="V636" s="4">
        <v>18.46</v>
      </c>
      <c r="AB636" s="4" t="s">
        <v>809</v>
      </c>
      <c r="AC636" s="4" t="s">
        <v>810</v>
      </c>
      <c r="AD636" s="4" t="s">
        <v>811</v>
      </c>
      <c r="AE636" s="4">
        <v>3595</v>
      </c>
      <c r="AF636" s="4" t="s">
        <v>812</v>
      </c>
      <c r="AI636" s="4" t="s">
        <v>813</v>
      </c>
      <c r="AL636" s="4" t="s">
        <v>486</v>
      </c>
      <c r="AM636" s="4">
        <v>5.03</v>
      </c>
      <c r="AQ636" s="4" t="s">
        <v>319</v>
      </c>
      <c r="AR636" s="4">
        <v>0.45</v>
      </c>
      <c r="AS636" s="4" t="s">
        <v>519</v>
      </c>
      <c r="AT636" s="4">
        <v>7.93</v>
      </c>
      <c r="BD636" s="4" t="s">
        <v>815</v>
      </c>
      <c r="DO636" s="4">
        <v>3</v>
      </c>
      <c r="JJ636" s="1" t="s">
        <v>355</v>
      </c>
      <c r="JK636" s="1" t="s">
        <v>321</v>
      </c>
      <c r="JL636" s="27">
        <v>9.10596026490066</v>
      </c>
      <c r="JM636" s="27"/>
      <c r="JN636" s="27">
        <v>39.9006622516556</v>
      </c>
      <c r="JO636" s="27"/>
      <c r="JP636" s="27">
        <v>12.251655629139</v>
      </c>
      <c r="JQ636" s="27"/>
      <c r="JR636" s="27">
        <v>38.7417218543047</v>
      </c>
      <c r="JS636" s="27"/>
      <c r="JT636" s="27">
        <v>31.1986863711001</v>
      </c>
      <c r="JU636" s="27"/>
      <c r="JV636" s="27">
        <v>37.4384236453202</v>
      </c>
      <c r="JW636" s="27"/>
      <c r="JX636" s="27">
        <v>15.7635467980296</v>
      </c>
      <c r="JY636" s="27"/>
      <c r="JZ636" s="27">
        <v>15.5993431855501</v>
      </c>
      <c r="KA636" s="27"/>
    </row>
    <row r="637" customHeight="1" spans="1:287">
      <c r="A637" s="3">
        <v>21</v>
      </c>
      <c r="B637" s="4" t="s">
        <v>806</v>
      </c>
      <c r="C637" s="5" t="s">
        <v>807</v>
      </c>
      <c r="D637" s="4" t="s">
        <v>300</v>
      </c>
      <c r="E637" s="4" t="s">
        <v>808</v>
      </c>
      <c r="T637" s="4">
        <v>63.05</v>
      </c>
      <c r="U637" s="4">
        <v>0.29</v>
      </c>
      <c r="V637" s="4">
        <v>18.46</v>
      </c>
      <c r="AB637" s="4" t="s">
        <v>809</v>
      </c>
      <c r="AC637" s="4" t="s">
        <v>810</v>
      </c>
      <c r="AD637" s="4" t="s">
        <v>811</v>
      </c>
      <c r="AE637" s="4">
        <v>3595</v>
      </c>
      <c r="AF637" s="4" t="s">
        <v>812</v>
      </c>
      <c r="AI637" s="4" t="s">
        <v>813</v>
      </c>
      <c r="AL637" s="4" t="s">
        <v>486</v>
      </c>
      <c r="AM637" s="4">
        <v>5.03</v>
      </c>
      <c r="AQ637" s="4" t="s">
        <v>319</v>
      </c>
      <c r="AR637" s="4">
        <v>0.45</v>
      </c>
      <c r="AS637" s="4" t="s">
        <v>519</v>
      </c>
      <c r="AT637" s="4">
        <v>7.93</v>
      </c>
      <c r="BD637" s="4" t="s">
        <v>815</v>
      </c>
      <c r="DO637" s="4">
        <v>3</v>
      </c>
      <c r="JJ637" s="1" t="s">
        <v>355</v>
      </c>
      <c r="JK637" s="1" t="s">
        <v>321</v>
      </c>
      <c r="JL637" s="27">
        <v>6.95364238410595</v>
      </c>
      <c r="JM637" s="27"/>
      <c r="JN637" s="27">
        <v>42.0529801324504</v>
      </c>
      <c r="JO637" s="27"/>
      <c r="JP637" s="27">
        <v>11.092715231788</v>
      </c>
      <c r="JQ637" s="27"/>
      <c r="JR637" s="27">
        <v>39.9006622516557</v>
      </c>
      <c r="JS637" s="27"/>
      <c r="JT637" s="27">
        <v>26.4367816091954</v>
      </c>
      <c r="JU637" s="27"/>
      <c r="JV637" s="27">
        <v>32.8407224958949</v>
      </c>
      <c r="JW637" s="27"/>
      <c r="JX637" s="27">
        <v>18.5550082101806</v>
      </c>
      <c r="JY637" s="27"/>
      <c r="JZ637" s="27">
        <v>22.1674876847291</v>
      </c>
      <c r="KA637" s="27"/>
    </row>
    <row r="638" customHeight="1" spans="1:287">
      <c r="A638" s="3">
        <v>21</v>
      </c>
      <c r="B638" s="4" t="s">
        <v>806</v>
      </c>
      <c r="C638" s="5" t="s">
        <v>807</v>
      </c>
      <c r="D638" s="4" t="s">
        <v>300</v>
      </c>
      <c r="E638" s="4" t="s">
        <v>808</v>
      </c>
      <c r="T638" s="4">
        <v>63.05</v>
      </c>
      <c r="U638" s="4">
        <v>0.29</v>
      </c>
      <c r="V638" s="4">
        <v>18.46</v>
      </c>
      <c r="AB638" s="4" t="s">
        <v>809</v>
      </c>
      <c r="AC638" s="4" t="s">
        <v>810</v>
      </c>
      <c r="AD638" s="4" t="s">
        <v>811</v>
      </c>
      <c r="AE638" s="4">
        <v>3595</v>
      </c>
      <c r="AF638" s="4" t="s">
        <v>812</v>
      </c>
      <c r="AI638" s="4" t="s">
        <v>813</v>
      </c>
      <c r="AL638" s="4" t="s">
        <v>486</v>
      </c>
      <c r="AM638" s="4">
        <v>5.03</v>
      </c>
      <c r="AQ638" s="4" t="s">
        <v>319</v>
      </c>
      <c r="AR638" s="4">
        <v>0.45</v>
      </c>
      <c r="AS638" s="4" t="s">
        <v>519</v>
      </c>
      <c r="AT638" s="4">
        <v>7.93</v>
      </c>
      <c r="BD638" s="4" t="s">
        <v>816</v>
      </c>
      <c r="DO638" s="4">
        <v>3</v>
      </c>
      <c r="JJ638" s="1" t="s">
        <v>355</v>
      </c>
      <c r="JK638" s="1" t="s">
        <v>321</v>
      </c>
      <c r="JL638" s="27">
        <v>21.3576158940397</v>
      </c>
      <c r="JM638" s="27"/>
      <c r="JN638" s="27">
        <v>50.8278145695364</v>
      </c>
      <c r="JO638" s="27"/>
      <c r="JP638" s="27">
        <v>8.6092715231788</v>
      </c>
      <c r="JQ638" s="27"/>
      <c r="JR638" s="27">
        <v>19.2052980132451</v>
      </c>
      <c r="JS638" s="27"/>
      <c r="JT638" s="27">
        <v>60.7553366174055</v>
      </c>
      <c r="JU638" s="27"/>
      <c r="JV638" s="27">
        <v>23.3169129720854</v>
      </c>
      <c r="JW638" s="27"/>
      <c r="JX638" s="27">
        <v>8.0459770114943</v>
      </c>
      <c r="JY638" s="27"/>
      <c r="JZ638" s="27">
        <v>7.8817733990148</v>
      </c>
      <c r="KA638" s="27"/>
    </row>
    <row r="639" customHeight="1" spans="1:287">
      <c r="A639" s="3">
        <v>21</v>
      </c>
      <c r="B639" s="4" t="s">
        <v>806</v>
      </c>
      <c r="C639" s="5" t="s">
        <v>807</v>
      </c>
      <c r="D639" s="4" t="s">
        <v>300</v>
      </c>
      <c r="E639" s="4" t="s">
        <v>808</v>
      </c>
      <c r="T639" s="4">
        <v>63.05</v>
      </c>
      <c r="U639" s="4">
        <v>0.29</v>
      </c>
      <c r="V639" s="4">
        <v>18.46</v>
      </c>
      <c r="AB639" s="4" t="s">
        <v>809</v>
      </c>
      <c r="AC639" s="4" t="s">
        <v>810</v>
      </c>
      <c r="AD639" s="4" t="s">
        <v>811</v>
      </c>
      <c r="AE639" s="4">
        <v>3595</v>
      </c>
      <c r="AF639" s="4" t="s">
        <v>812</v>
      </c>
      <c r="AI639" s="4" t="s">
        <v>813</v>
      </c>
      <c r="AL639" s="4" t="s">
        <v>486</v>
      </c>
      <c r="AM639" s="4">
        <v>5.03</v>
      </c>
      <c r="AQ639" s="4" t="s">
        <v>319</v>
      </c>
      <c r="AR639" s="4">
        <v>0.45</v>
      </c>
      <c r="AS639" s="4" t="s">
        <v>519</v>
      </c>
      <c r="AT639" s="4">
        <v>7.93</v>
      </c>
      <c r="BD639" s="4" t="s">
        <v>816</v>
      </c>
      <c r="DO639" s="4">
        <v>3</v>
      </c>
      <c r="JJ639" s="1" t="s">
        <v>355</v>
      </c>
      <c r="JK639" s="1" t="s">
        <v>321</v>
      </c>
      <c r="JL639" s="27">
        <v>16.0596026490066</v>
      </c>
      <c r="JM639" s="27"/>
      <c r="JN639" s="27">
        <v>42.7152317880794</v>
      </c>
      <c r="JO639" s="27"/>
      <c r="JP639" s="27">
        <v>6.45695364238411</v>
      </c>
      <c r="JQ639" s="27"/>
      <c r="JR639" s="27">
        <v>34.7682119205299</v>
      </c>
      <c r="JS639" s="27"/>
      <c r="JT639" s="27">
        <v>51.3957307060755</v>
      </c>
      <c r="JU639" s="27"/>
      <c r="JV639" s="27">
        <v>33.0049261083744</v>
      </c>
      <c r="JW639" s="27"/>
      <c r="JX639" s="27">
        <v>9.0311986863711</v>
      </c>
      <c r="JY639" s="27"/>
      <c r="JZ639" s="27">
        <v>6.568144499179</v>
      </c>
      <c r="KA639" s="27"/>
    </row>
    <row r="640" customHeight="1" spans="1:287">
      <c r="A640" s="3">
        <v>21</v>
      </c>
      <c r="B640" s="4" t="s">
        <v>806</v>
      </c>
      <c r="C640" s="5" t="s">
        <v>807</v>
      </c>
      <c r="D640" s="4" t="s">
        <v>300</v>
      </c>
      <c r="E640" s="4" t="s">
        <v>808</v>
      </c>
      <c r="T640" s="4">
        <v>63.05</v>
      </c>
      <c r="U640" s="4">
        <v>0.29</v>
      </c>
      <c r="V640" s="4">
        <v>18.46</v>
      </c>
      <c r="AB640" s="4" t="s">
        <v>809</v>
      </c>
      <c r="AC640" s="4" t="s">
        <v>810</v>
      </c>
      <c r="AD640" s="4" t="s">
        <v>811</v>
      </c>
      <c r="AE640" s="4">
        <v>3595</v>
      </c>
      <c r="AF640" s="4" t="s">
        <v>812</v>
      </c>
      <c r="AI640" s="4" t="s">
        <v>813</v>
      </c>
      <c r="AL640" s="4" t="s">
        <v>486</v>
      </c>
      <c r="AM640" s="4">
        <v>5.03</v>
      </c>
      <c r="AQ640" s="4" t="s">
        <v>319</v>
      </c>
      <c r="AR640" s="4">
        <v>0.45</v>
      </c>
      <c r="AS640" s="4" t="s">
        <v>519</v>
      </c>
      <c r="AT640" s="4">
        <v>7.93</v>
      </c>
      <c r="BD640" s="4" t="s">
        <v>816</v>
      </c>
      <c r="DO640" s="4">
        <v>3</v>
      </c>
      <c r="JJ640" s="1" t="s">
        <v>355</v>
      </c>
      <c r="JK640" s="1" t="s">
        <v>321</v>
      </c>
      <c r="JL640" s="27">
        <v>13.41059602649</v>
      </c>
      <c r="JM640" s="27"/>
      <c r="JN640" s="27">
        <v>43.3774834437086</v>
      </c>
      <c r="JO640" s="27"/>
      <c r="JP640" s="27">
        <v>8.77483443708609</v>
      </c>
      <c r="JQ640" s="27"/>
      <c r="JR640" s="27">
        <v>34.4370860927153</v>
      </c>
      <c r="JS640" s="27"/>
      <c r="JT640" s="27">
        <v>36.7816091954023</v>
      </c>
      <c r="JU640" s="27"/>
      <c r="JV640" s="27">
        <v>32.183908045977</v>
      </c>
      <c r="JW640" s="27"/>
      <c r="JX640" s="27">
        <v>22.3316912972085</v>
      </c>
      <c r="JY640" s="27"/>
      <c r="JZ640" s="27">
        <v>8.7027914614122</v>
      </c>
      <c r="KA640" s="27"/>
    </row>
    <row r="641" customHeight="1" spans="1:313">
      <c r="A641" s="3">
        <v>21</v>
      </c>
      <c r="B641" s="4" t="s">
        <v>806</v>
      </c>
      <c r="C641" s="5" t="s">
        <v>807</v>
      </c>
      <c r="D641" s="4" t="s">
        <v>300</v>
      </c>
      <c r="E641" s="4" t="s">
        <v>808</v>
      </c>
      <c r="T641" s="4">
        <v>63.05</v>
      </c>
      <c r="U641" s="4">
        <v>0.29</v>
      </c>
      <c r="V641" s="4">
        <v>18.46</v>
      </c>
      <c r="AB641" s="4" t="s">
        <v>809</v>
      </c>
      <c r="AC641" s="4" t="s">
        <v>810</v>
      </c>
      <c r="AD641" s="4" t="s">
        <v>811</v>
      </c>
      <c r="AE641" s="4">
        <v>3595</v>
      </c>
      <c r="AF641" s="4" t="s">
        <v>812</v>
      </c>
      <c r="AI641" s="4" t="s">
        <v>813</v>
      </c>
      <c r="AL641" s="4" t="s">
        <v>486</v>
      </c>
      <c r="AM641" s="4">
        <v>5.03</v>
      </c>
      <c r="AQ641" s="4" t="s">
        <v>319</v>
      </c>
      <c r="AR641" s="4">
        <v>0.45</v>
      </c>
      <c r="AS641" s="4" t="s">
        <v>519</v>
      </c>
      <c r="AT641" s="4">
        <v>7.93</v>
      </c>
      <c r="BD641" s="4" t="s">
        <v>816</v>
      </c>
      <c r="DO641" s="4">
        <v>3</v>
      </c>
      <c r="JJ641" s="1" t="s">
        <v>355</v>
      </c>
      <c r="JK641" s="1" t="s">
        <v>321</v>
      </c>
      <c r="JL641" s="27">
        <v>9.27152317880795</v>
      </c>
      <c r="JM641" s="27"/>
      <c r="JN641" s="27">
        <v>41.2251655629138</v>
      </c>
      <c r="JO641" s="27"/>
      <c r="JP641" s="27">
        <v>12.2516556291391</v>
      </c>
      <c r="JQ641" s="27"/>
      <c r="JR641" s="27">
        <v>37.2516556291391</v>
      </c>
      <c r="JS641" s="27"/>
      <c r="JT641" s="27">
        <v>31.855500821018</v>
      </c>
      <c r="JU641" s="27"/>
      <c r="JV641" s="27">
        <v>36.6174055829229</v>
      </c>
      <c r="JW641" s="27"/>
      <c r="JX641" s="27">
        <v>15.2709359605911</v>
      </c>
      <c r="JY641" s="27"/>
      <c r="JZ641" s="27">
        <v>16.256157635468</v>
      </c>
      <c r="KA641" s="27"/>
    </row>
    <row r="642" customHeight="1" spans="1:313">
      <c r="A642" s="37">
        <v>22</v>
      </c>
      <c r="B642" s="4" t="s">
        <v>817</v>
      </c>
      <c r="C642" s="5" t="s">
        <v>818</v>
      </c>
      <c r="D642" s="4" t="s">
        <v>819</v>
      </c>
      <c r="E642" s="4" t="s">
        <v>820</v>
      </c>
      <c r="F642" s="4" t="s">
        <v>328</v>
      </c>
      <c r="G642" s="4" t="s">
        <v>821</v>
      </c>
      <c r="R642" s="4" t="s">
        <v>680</v>
      </c>
      <c r="S642" s="4" t="s">
        <v>681</v>
      </c>
      <c r="T642" s="4">
        <v>51.8</v>
      </c>
      <c r="V642" s="4">
        <v>6.94</v>
      </c>
      <c r="AD642" s="4" t="s">
        <v>822</v>
      </c>
      <c r="BI642" s="4" t="s">
        <v>309</v>
      </c>
      <c r="BK642" s="4">
        <v>40</v>
      </c>
      <c r="BN642" s="4">
        <v>0.5</v>
      </c>
      <c r="BU642" s="4">
        <v>180</v>
      </c>
      <c r="BV642" s="4" t="s">
        <v>823</v>
      </c>
      <c r="BW642" s="4">
        <v>25</v>
      </c>
      <c r="CB642" s="4" t="s">
        <v>372</v>
      </c>
      <c r="CC642" s="4">
        <v>0.5</v>
      </c>
      <c r="DO642" s="4">
        <v>3</v>
      </c>
      <c r="EL642" s="4"/>
      <c r="EP642" s="4"/>
      <c r="ES642" s="4"/>
      <c r="KZ642" s="1" t="s">
        <v>420</v>
      </c>
      <c r="LA642" s="1" t="s">
        <v>824</v>
      </c>
    </row>
    <row r="643" customHeight="1" spans="1:313">
      <c r="A643" s="37">
        <v>22</v>
      </c>
      <c r="B643" s="4" t="s">
        <v>817</v>
      </c>
      <c r="C643" s="5" t="s">
        <v>818</v>
      </c>
      <c r="D643" s="4" t="s">
        <v>819</v>
      </c>
      <c r="E643" s="4" t="s">
        <v>820</v>
      </c>
      <c r="F643" s="4" t="s">
        <v>328</v>
      </c>
      <c r="G643" s="4" t="s">
        <v>821</v>
      </c>
      <c r="R643" s="4" t="s">
        <v>680</v>
      </c>
      <c r="S643" s="4" t="s">
        <v>681</v>
      </c>
      <c r="T643" s="4">
        <v>51.8</v>
      </c>
      <c r="V643" s="4">
        <v>6.94</v>
      </c>
      <c r="AD643" s="4" t="s">
        <v>822</v>
      </c>
      <c r="BI643" s="4" t="s">
        <v>309</v>
      </c>
      <c r="BK643" s="4">
        <v>40</v>
      </c>
      <c r="BN643" s="4">
        <v>0.5</v>
      </c>
      <c r="BU643" s="4">
        <v>180</v>
      </c>
      <c r="BV643" s="4" t="s">
        <v>823</v>
      </c>
      <c r="BW643" s="4">
        <v>25</v>
      </c>
      <c r="CB643" s="4" t="s">
        <v>372</v>
      </c>
      <c r="CC643" s="4">
        <v>1</v>
      </c>
      <c r="DO643" s="4">
        <v>3</v>
      </c>
      <c r="EL643" s="4"/>
      <c r="EP643" s="4"/>
      <c r="ES643" s="4"/>
    </row>
    <row r="644" customHeight="1" spans="1:313">
      <c r="A644" s="37">
        <v>22</v>
      </c>
      <c r="B644" s="4" t="s">
        <v>817</v>
      </c>
      <c r="C644" s="5" t="s">
        <v>818</v>
      </c>
      <c r="D644" s="4" t="s">
        <v>819</v>
      </c>
      <c r="E644" s="4" t="s">
        <v>820</v>
      </c>
      <c r="F644" s="4" t="s">
        <v>328</v>
      </c>
      <c r="G644" s="4" t="s">
        <v>821</v>
      </c>
      <c r="R644" s="4" t="s">
        <v>680</v>
      </c>
      <c r="S644" s="4" t="s">
        <v>681</v>
      </c>
      <c r="T644" s="4">
        <v>51.8</v>
      </c>
      <c r="V644" s="4">
        <v>6.94</v>
      </c>
      <c r="AD644" s="4" t="s">
        <v>822</v>
      </c>
      <c r="BI644" s="4" t="s">
        <v>309</v>
      </c>
      <c r="BK644" s="4">
        <v>40</v>
      </c>
      <c r="BN644" s="4">
        <v>0.5</v>
      </c>
      <c r="BU644" s="4">
        <v>180</v>
      </c>
      <c r="BV644" s="4" t="s">
        <v>823</v>
      </c>
      <c r="BW644" s="4">
        <v>25</v>
      </c>
      <c r="CB644" s="4" t="s">
        <v>372</v>
      </c>
      <c r="CC644" s="4">
        <v>5</v>
      </c>
      <c r="CX644" s="4" t="s">
        <v>314</v>
      </c>
      <c r="CY644" s="4" t="s">
        <v>825</v>
      </c>
      <c r="DM644" s="4">
        <v>30</v>
      </c>
      <c r="DO644" s="4">
        <v>3</v>
      </c>
      <c r="EL644" s="4">
        <v>4.95</v>
      </c>
      <c r="EP644" s="4">
        <v>99</v>
      </c>
      <c r="ES644" s="4">
        <v>99</v>
      </c>
    </row>
    <row r="645" customHeight="1" spans="1:313">
      <c r="A645" s="37">
        <v>22</v>
      </c>
      <c r="B645" s="4" t="s">
        <v>817</v>
      </c>
      <c r="C645" s="5" t="s">
        <v>818</v>
      </c>
      <c r="D645" s="4" t="s">
        <v>819</v>
      </c>
      <c r="E645" s="4" t="s">
        <v>820</v>
      </c>
      <c r="F645" s="4" t="s">
        <v>328</v>
      </c>
      <c r="G645" s="4" t="s">
        <v>821</v>
      </c>
      <c r="R645" s="4" t="s">
        <v>680</v>
      </c>
      <c r="S645" s="4" t="s">
        <v>681</v>
      </c>
      <c r="T645" s="4">
        <v>51.8</v>
      </c>
      <c r="V645" s="4">
        <v>6.94</v>
      </c>
      <c r="AD645" s="4" t="s">
        <v>822</v>
      </c>
      <c r="BI645" s="4" t="s">
        <v>309</v>
      </c>
      <c r="BK645" s="4">
        <v>40</v>
      </c>
      <c r="BN645" s="4">
        <v>0.5</v>
      </c>
      <c r="BU645" s="4">
        <v>180</v>
      </c>
      <c r="BV645" s="4" t="s">
        <v>823</v>
      </c>
      <c r="BW645" s="4">
        <v>25</v>
      </c>
      <c r="CB645" s="4" t="s">
        <v>372</v>
      </c>
      <c r="CC645" s="4">
        <v>10</v>
      </c>
      <c r="CX645" s="4" t="s">
        <v>314</v>
      </c>
      <c r="CY645" s="4" t="s">
        <v>825</v>
      </c>
      <c r="DM645" s="4">
        <v>60</v>
      </c>
      <c r="DO645" s="4">
        <v>3</v>
      </c>
      <c r="EL645" s="4">
        <v>9.95</v>
      </c>
      <c r="EP645" s="4">
        <v>99.5</v>
      </c>
      <c r="ES645" s="4">
        <v>99.5</v>
      </c>
    </row>
    <row r="646" customHeight="1" spans="1:313">
      <c r="A646" s="37">
        <v>22</v>
      </c>
      <c r="B646" s="4" t="s">
        <v>817</v>
      </c>
      <c r="C646" s="5" t="s">
        <v>818</v>
      </c>
      <c r="D646" s="4" t="s">
        <v>819</v>
      </c>
      <c r="E646" s="4" t="s">
        <v>820</v>
      </c>
      <c r="F646" s="4" t="s">
        <v>328</v>
      </c>
      <c r="G646" s="4" t="s">
        <v>821</v>
      </c>
      <c r="R646" s="4" t="s">
        <v>680</v>
      </c>
      <c r="S646" s="4" t="s">
        <v>681</v>
      </c>
      <c r="T646" s="4">
        <v>51.8</v>
      </c>
      <c r="V646" s="4">
        <v>6.94</v>
      </c>
      <c r="AD646" s="4" t="s">
        <v>822</v>
      </c>
      <c r="BI646" s="4" t="s">
        <v>309</v>
      </c>
      <c r="BK646" s="4">
        <v>40</v>
      </c>
      <c r="BN646" s="4">
        <v>0.5</v>
      </c>
      <c r="BU646" s="4">
        <v>180</v>
      </c>
      <c r="BV646" s="4">
        <v>300</v>
      </c>
      <c r="BW646" s="4">
        <v>25</v>
      </c>
      <c r="CB646" s="4" t="s">
        <v>372</v>
      </c>
      <c r="CC646" s="4" t="s">
        <v>826</v>
      </c>
      <c r="DB646" s="4" t="s">
        <v>827</v>
      </c>
      <c r="DC646" s="4" t="s">
        <v>828</v>
      </c>
      <c r="DJ646" s="4">
        <v>-28.04</v>
      </c>
      <c r="DK646" s="4">
        <v>0.045</v>
      </c>
      <c r="DL646" s="4">
        <v>-41.5</v>
      </c>
      <c r="DO646" s="4">
        <v>3</v>
      </c>
      <c r="EL646" s="4"/>
      <c r="EP646" s="4"/>
      <c r="ES646" s="4"/>
    </row>
    <row r="647" customHeight="1" spans="1:313">
      <c r="A647" s="37">
        <v>22</v>
      </c>
      <c r="B647" s="4" t="s">
        <v>817</v>
      </c>
      <c r="C647" s="5" t="s">
        <v>818</v>
      </c>
      <c r="D647" s="4" t="s">
        <v>819</v>
      </c>
      <c r="E647" s="4" t="s">
        <v>820</v>
      </c>
      <c r="F647" s="4" t="s">
        <v>328</v>
      </c>
      <c r="G647" s="4" t="s">
        <v>821</v>
      </c>
      <c r="R647" s="4" t="s">
        <v>680</v>
      </c>
      <c r="S647" s="4" t="s">
        <v>681</v>
      </c>
      <c r="T647" s="4">
        <v>51.8</v>
      </c>
      <c r="V647" s="4">
        <v>6.94</v>
      </c>
      <c r="AD647" s="4" t="s">
        <v>822</v>
      </c>
      <c r="BI647" s="4" t="s">
        <v>309</v>
      </c>
      <c r="BK647" s="4">
        <v>40</v>
      </c>
      <c r="BN647" s="4">
        <v>0.5</v>
      </c>
      <c r="BU647" s="4">
        <v>180</v>
      </c>
      <c r="BV647" s="4">
        <v>300</v>
      </c>
      <c r="BW647" s="4">
        <v>35</v>
      </c>
      <c r="CB647" s="4" t="s">
        <v>372</v>
      </c>
      <c r="CC647" s="4" t="s">
        <v>826</v>
      </c>
      <c r="DB647" s="4" t="s">
        <v>827</v>
      </c>
      <c r="DC647" s="4" t="s">
        <v>828</v>
      </c>
      <c r="DL647" s="4">
        <v>-42.05</v>
      </c>
      <c r="DO647" s="4">
        <v>3</v>
      </c>
      <c r="EL647" s="4"/>
      <c r="EP647" s="4"/>
      <c r="ES647" s="4"/>
    </row>
    <row r="648" customHeight="1" spans="1:313">
      <c r="A648" s="37">
        <v>22</v>
      </c>
      <c r="B648" s="4" t="s">
        <v>817</v>
      </c>
      <c r="C648" s="5" t="s">
        <v>818</v>
      </c>
      <c r="D648" s="4" t="s">
        <v>819</v>
      </c>
      <c r="E648" s="4" t="s">
        <v>820</v>
      </c>
      <c r="F648" s="4" t="s">
        <v>328</v>
      </c>
      <c r="G648" s="4" t="s">
        <v>821</v>
      </c>
      <c r="R648" s="4" t="s">
        <v>680</v>
      </c>
      <c r="S648" s="4" t="s">
        <v>681</v>
      </c>
      <c r="T648" s="4">
        <v>51.8</v>
      </c>
      <c r="V648" s="4">
        <v>6.94</v>
      </c>
      <c r="AD648" s="4" t="s">
        <v>822</v>
      </c>
      <c r="BI648" s="4" t="s">
        <v>309</v>
      </c>
      <c r="BK648" s="4">
        <v>40</v>
      </c>
      <c r="BN648" s="4">
        <v>0.5</v>
      </c>
      <c r="BU648" s="4">
        <v>180</v>
      </c>
      <c r="BV648" s="4">
        <v>300</v>
      </c>
      <c r="BW648" s="4">
        <v>45</v>
      </c>
      <c r="CB648" s="4" t="s">
        <v>372</v>
      </c>
      <c r="CC648" s="4" t="s">
        <v>826</v>
      </c>
      <c r="DB648" s="4" t="s">
        <v>827</v>
      </c>
      <c r="DC648" s="4" t="s">
        <v>828</v>
      </c>
      <c r="DL648" s="4">
        <v>-42.05</v>
      </c>
      <c r="DO648" s="4">
        <v>3</v>
      </c>
      <c r="EL648" s="4"/>
      <c r="EP648" s="4"/>
      <c r="ES648" s="4"/>
    </row>
    <row r="649" customHeight="1" spans="1:313">
      <c r="A649" s="37">
        <v>22</v>
      </c>
      <c r="B649" s="4" t="s">
        <v>817</v>
      </c>
      <c r="C649" s="5" t="s">
        <v>818</v>
      </c>
      <c r="D649" s="4" t="s">
        <v>819</v>
      </c>
      <c r="E649" s="4" t="s">
        <v>820</v>
      </c>
      <c r="F649" s="4" t="s">
        <v>328</v>
      </c>
      <c r="G649" s="4" t="s">
        <v>821</v>
      </c>
      <c r="R649" s="4" t="s">
        <v>680</v>
      </c>
      <c r="S649" s="4" t="s">
        <v>681</v>
      </c>
      <c r="T649" s="4">
        <v>51.8</v>
      </c>
      <c r="V649" s="4">
        <v>6.94</v>
      </c>
      <c r="AD649" s="4" t="s">
        <v>822</v>
      </c>
      <c r="BI649" s="4" t="s">
        <v>309</v>
      </c>
      <c r="BK649" s="4">
        <v>40</v>
      </c>
      <c r="BN649" s="4">
        <v>0.5</v>
      </c>
      <c r="BU649" s="4">
        <v>180</v>
      </c>
      <c r="BV649" s="4">
        <v>300</v>
      </c>
      <c r="BW649" s="4">
        <v>25</v>
      </c>
      <c r="CB649" s="4" t="s">
        <v>372</v>
      </c>
      <c r="CC649" s="4">
        <v>30</v>
      </c>
      <c r="CR649" s="4" t="s">
        <v>512</v>
      </c>
      <c r="CS649" s="4">
        <v>0</v>
      </c>
      <c r="DO649" s="4">
        <v>3</v>
      </c>
      <c r="EL649" s="27">
        <v>48.35</v>
      </c>
      <c r="EM649" s="36">
        <v>0.92</v>
      </c>
      <c r="ER649" s="1">
        <f>EL649*0.5/30*100</f>
        <v>80.5833333333333</v>
      </c>
      <c r="ES649" s="1">
        <v>80.5833333333333</v>
      </c>
    </row>
    <row r="650" customHeight="1" spans="1:313">
      <c r="A650" s="37">
        <v>22</v>
      </c>
      <c r="B650" s="4" t="s">
        <v>817</v>
      </c>
      <c r="C650" s="5" t="s">
        <v>818</v>
      </c>
      <c r="D650" s="4" t="s">
        <v>819</v>
      </c>
      <c r="E650" s="4" t="s">
        <v>820</v>
      </c>
      <c r="F650" s="4" t="s">
        <v>328</v>
      </c>
      <c r="G650" s="4" t="s">
        <v>821</v>
      </c>
      <c r="R650" s="4" t="s">
        <v>680</v>
      </c>
      <c r="S650" s="4" t="s">
        <v>681</v>
      </c>
      <c r="T650" s="4">
        <v>51.8</v>
      </c>
      <c r="V650" s="4">
        <v>6.94</v>
      </c>
      <c r="AD650" s="4" t="s">
        <v>822</v>
      </c>
      <c r="BI650" s="4" t="s">
        <v>309</v>
      </c>
      <c r="BK650" s="4">
        <v>40</v>
      </c>
      <c r="BN650" s="4">
        <v>0.5</v>
      </c>
      <c r="BU650" s="4">
        <v>180</v>
      </c>
      <c r="BV650" s="4">
        <v>300</v>
      </c>
      <c r="BW650" s="4">
        <v>25</v>
      </c>
      <c r="CB650" s="4" t="s">
        <v>372</v>
      </c>
      <c r="CC650" s="4">
        <v>30</v>
      </c>
      <c r="CR650" s="4" t="s">
        <v>539</v>
      </c>
      <c r="CS650" s="4">
        <v>5</v>
      </c>
      <c r="DO650" s="4">
        <v>3</v>
      </c>
      <c r="EL650" s="27">
        <v>37.91</v>
      </c>
      <c r="EM650" s="36">
        <v>1.25</v>
      </c>
      <c r="ER650" s="1">
        <f t="shared" ref="ER650:ER696" si="21">EL650*0.5/30*100</f>
        <v>63.1833333333333</v>
      </c>
      <c r="ES650" s="1">
        <v>63.1833333333333</v>
      </c>
    </row>
    <row r="651" customHeight="1" spans="1:313">
      <c r="A651" s="37">
        <v>22</v>
      </c>
      <c r="B651" s="4" t="s">
        <v>817</v>
      </c>
      <c r="C651" s="5" t="s">
        <v>818</v>
      </c>
      <c r="D651" s="4" t="s">
        <v>819</v>
      </c>
      <c r="E651" s="4" t="s">
        <v>820</v>
      </c>
      <c r="F651" s="4" t="s">
        <v>328</v>
      </c>
      <c r="G651" s="4" t="s">
        <v>821</v>
      </c>
      <c r="R651" s="4" t="s">
        <v>680</v>
      </c>
      <c r="S651" s="4" t="s">
        <v>681</v>
      </c>
      <c r="T651" s="4">
        <v>51.8</v>
      </c>
      <c r="V651" s="4">
        <v>6.94</v>
      </c>
      <c r="AD651" s="4" t="s">
        <v>822</v>
      </c>
      <c r="BI651" s="4" t="s">
        <v>309</v>
      </c>
      <c r="BK651" s="4">
        <v>40</v>
      </c>
      <c r="BN651" s="4">
        <v>0.5</v>
      </c>
      <c r="BU651" s="4">
        <v>180</v>
      </c>
      <c r="BV651" s="4">
        <v>300</v>
      </c>
      <c r="BW651" s="4">
        <v>25</v>
      </c>
      <c r="CB651" s="4" t="s">
        <v>372</v>
      </c>
      <c r="CC651" s="4">
        <v>30</v>
      </c>
      <c r="CR651" s="4" t="s">
        <v>540</v>
      </c>
      <c r="CS651" s="4">
        <v>5</v>
      </c>
      <c r="DO651" s="4">
        <v>3</v>
      </c>
      <c r="EL651" s="27">
        <v>38.84</v>
      </c>
      <c r="EM651" s="36">
        <v>1.12</v>
      </c>
      <c r="ER651" s="1">
        <f t="shared" si="21"/>
        <v>64.7333333333333</v>
      </c>
      <c r="ES651" s="1">
        <v>64.7333333333333</v>
      </c>
    </row>
    <row r="652" customHeight="1" spans="1:313">
      <c r="A652" s="37">
        <v>22</v>
      </c>
      <c r="B652" s="4" t="s">
        <v>817</v>
      </c>
      <c r="C652" s="5" t="s">
        <v>818</v>
      </c>
      <c r="D652" s="4" t="s">
        <v>819</v>
      </c>
      <c r="E652" s="4" t="s">
        <v>820</v>
      </c>
      <c r="F652" s="4" t="s">
        <v>328</v>
      </c>
      <c r="G652" s="4" t="s">
        <v>821</v>
      </c>
      <c r="R652" s="4" t="s">
        <v>680</v>
      </c>
      <c r="S652" s="4" t="s">
        <v>681</v>
      </c>
      <c r="T652" s="4">
        <v>51.8</v>
      </c>
      <c r="V652" s="4">
        <v>6.94</v>
      </c>
      <c r="AD652" s="4" t="s">
        <v>822</v>
      </c>
      <c r="BI652" s="4" t="s">
        <v>309</v>
      </c>
      <c r="BK652" s="4">
        <v>40</v>
      </c>
      <c r="BN652" s="4">
        <v>0.5</v>
      </c>
      <c r="BU652" s="4">
        <v>180</v>
      </c>
      <c r="BV652" s="4">
        <v>300</v>
      </c>
      <c r="BW652" s="4">
        <v>25</v>
      </c>
      <c r="CB652" s="4" t="s">
        <v>372</v>
      </c>
      <c r="CC652" s="4">
        <v>30</v>
      </c>
      <c r="CR652" s="4" t="s">
        <v>542</v>
      </c>
      <c r="CS652" s="4">
        <v>5</v>
      </c>
      <c r="DO652" s="4">
        <v>3</v>
      </c>
      <c r="EL652" s="27">
        <v>32.56</v>
      </c>
      <c r="EM652" s="36">
        <v>1.19</v>
      </c>
      <c r="ER652" s="1">
        <f t="shared" si="21"/>
        <v>54.2666666666667</v>
      </c>
      <c r="ES652" s="1">
        <v>54.2666666666667</v>
      </c>
    </row>
    <row r="653" customHeight="1" spans="1:313">
      <c r="A653" s="37">
        <v>22</v>
      </c>
      <c r="B653" s="4" t="s">
        <v>817</v>
      </c>
      <c r="C653" s="5" t="s">
        <v>818</v>
      </c>
      <c r="D653" s="4" t="s">
        <v>819</v>
      </c>
      <c r="E653" s="4" t="s">
        <v>820</v>
      </c>
      <c r="F653" s="4" t="s">
        <v>328</v>
      </c>
      <c r="G653" s="4" t="s">
        <v>821</v>
      </c>
      <c r="R653" s="4" t="s">
        <v>680</v>
      </c>
      <c r="S653" s="4" t="s">
        <v>681</v>
      </c>
      <c r="T653" s="4">
        <v>51.8</v>
      </c>
      <c r="V653" s="4">
        <v>6.94</v>
      </c>
      <c r="AD653" s="4" t="s">
        <v>822</v>
      </c>
      <c r="BI653" s="4" t="s">
        <v>309</v>
      </c>
      <c r="BK653" s="4">
        <v>40</v>
      </c>
      <c r="BN653" s="4">
        <v>0.5</v>
      </c>
      <c r="BU653" s="4">
        <v>180</v>
      </c>
      <c r="BV653" s="4">
        <v>300</v>
      </c>
      <c r="BW653" s="4">
        <v>25</v>
      </c>
      <c r="CB653" s="4" t="s">
        <v>372</v>
      </c>
      <c r="CC653" s="4">
        <v>30</v>
      </c>
      <c r="CR653" s="4" t="s">
        <v>541</v>
      </c>
      <c r="CS653" s="4">
        <v>5</v>
      </c>
      <c r="DO653" s="4">
        <v>3</v>
      </c>
      <c r="EL653" s="27">
        <v>33.69</v>
      </c>
      <c r="EM653" s="36">
        <v>0.26</v>
      </c>
      <c r="ER653" s="1">
        <f t="shared" si="21"/>
        <v>56.15</v>
      </c>
      <c r="ES653" s="1">
        <v>56.15</v>
      </c>
    </row>
    <row r="654" customHeight="1" spans="1:313">
      <c r="A654" s="37">
        <v>22</v>
      </c>
      <c r="B654" s="4" t="s">
        <v>817</v>
      </c>
      <c r="C654" s="5" t="s">
        <v>818</v>
      </c>
      <c r="D654" s="4" t="s">
        <v>819</v>
      </c>
      <c r="E654" s="4" t="s">
        <v>820</v>
      </c>
      <c r="F654" s="4" t="s">
        <v>328</v>
      </c>
      <c r="G654" s="4" t="s">
        <v>821</v>
      </c>
      <c r="R654" s="4" t="s">
        <v>680</v>
      </c>
      <c r="S654" s="4" t="s">
        <v>681</v>
      </c>
      <c r="T654" s="4">
        <v>51.8</v>
      </c>
      <c r="V654" s="4">
        <v>6.94</v>
      </c>
      <c r="AD654" s="4" t="s">
        <v>822</v>
      </c>
      <c r="BI654" s="4" t="s">
        <v>309</v>
      </c>
      <c r="BK654" s="4">
        <v>40</v>
      </c>
      <c r="BN654" s="4">
        <v>0.5</v>
      </c>
      <c r="BU654" s="4">
        <v>180</v>
      </c>
      <c r="BV654" s="4">
        <v>300</v>
      </c>
      <c r="BW654" s="4">
        <v>25</v>
      </c>
      <c r="CB654" s="4" t="s">
        <v>372</v>
      </c>
      <c r="CC654" s="4">
        <v>30</v>
      </c>
      <c r="CR654" s="4" t="s">
        <v>829</v>
      </c>
      <c r="CS654" s="4">
        <v>5</v>
      </c>
      <c r="DO654" s="4">
        <v>3</v>
      </c>
      <c r="EL654" s="27">
        <v>32.5</v>
      </c>
      <c r="EM654" s="36">
        <v>0.99</v>
      </c>
      <c r="ER654" s="1">
        <f t="shared" si="21"/>
        <v>54.1666666666667</v>
      </c>
      <c r="ES654" s="1">
        <v>54.1666666666667</v>
      </c>
    </row>
    <row r="655" customHeight="1" spans="1:313">
      <c r="A655" s="37">
        <v>22</v>
      </c>
      <c r="B655" s="4" t="s">
        <v>817</v>
      </c>
      <c r="C655" s="5" t="s">
        <v>818</v>
      </c>
      <c r="D655" s="4" t="s">
        <v>819</v>
      </c>
      <c r="E655" s="4" t="s">
        <v>820</v>
      </c>
      <c r="F655" s="4" t="s">
        <v>328</v>
      </c>
      <c r="G655" s="4" t="s">
        <v>821</v>
      </c>
      <c r="R655" s="4" t="s">
        <v>680</v>
      </c>
      <c r="S655" s="4" t="s">
        <v>681</v>
      </c>
      <c r="T655" s="4">
        <v>51.8</v>
      </c>
      <c r="V655" s="4">
        <v>6.94</v>
      </c>
      <c r="AD655" s="4" t="s">
        <v>822</v>
      </c>
      <c r="BI655" s="4" t="s">
        <v>309</v>
      </c>
      <c r="BK655" s="4">
        <v>40</v>
      </c>
      <c r="BN655" s="4">
        <v>0.5</v>
      </c>
      <c r="BU655" s="4">
        <v>180</v>
      </c>
      <c r="BV655" s="4">
        <v>300</v>
      </c>
      <c r="BW655" s="4">
        <v>25</v>
      </c>
      <c r="CB655" s="4" t="s">
        <v>372</v>
      </c>
      <c r="CC655" s="4">
        <v>30</v>
      </c>
      <c r="CR655" s="4" t="s">
        <v>539</v>
      </c>
      <c r="CS655" s="4">
        <v>10</v>
      </c>
      <c r="DO655" s="4">
        <v>3</v>
      </c>
      <c r="EL655" s="27">
        <v>31.51</v>
      </c>
      <c r="EM655" s="36">
        <v>0.2</v>
      </c>
      <c r="ER655" s="1">
        <f t="shared" si="21"/>
        <v>52.5166666666667</v>
      </c>
      <c r="ES655" s="1">
        <v>52.5166666666667</v>
      </c>
    </row>
    <row r="656" customHeight="1" spans="1:313">
      <c r="A656" s="37">
        <v>22</v>
      </c>
      <c r="B656" s="4" t="s">
        <v>817</v>
      </c>
      <c r="C656" s="5" t="s">
        <v>818</v>
      </c>
      <c r="D656" s="4" t="s">
        <v>819</v>
      </c>
      <c r="E656" s="4" t="s">
        <v>820</v>
      </c>
      <c r="F656" s="4" t="s">
        <v>328</v>
      </c>
      <c r="G656" s="4" t="s">
        <v>821</v>
      </c>
      <c r="R656" s="4" t="s">
        <v>680</v>
      </c>
      <c r="S656" s="4" t="s">
        <v>681</v>
      </c>
      <c r="T656" s="4">
        <v>51.8</v>
      </c>
      <c r="V656" s="4">
        <v>6.94</v>
      </c>
      <c r="AD656" s="4" t="s">
        <v>822</v>
      </c>
      <c r="BI656" s="4" t="s">
        <v>309</v>
      </c>
      <c r="BK656" s="4">
        <v>40</v>
      </c>
      <c r="BN656" s="4">
        <v>0.5</v>
      </c>
      <c r="BU656" s="4">
        <v>180</v>
      </c>
      <c r="BV656" s="4">
        <v>300</v>
      </c>
      <c r="BW656" s="4">
        <v>25</v>
      </c>
      <c r="CB656" s="4" t="s">
        <v>372</v>
      </c>
      <c r="CC656" s="4">
        <v>30</v>
      </c>
      <c r="CR656" s="4" t="s">
        <v>540</v>
      </c>
      <c r="CS656" s="4">
        <v>10</v>
      </c>
      <c r="DO656" s="4">
        <v>3</v>
      </c>
      <c r="EL656" s="27">
        <v>35.47</v>
      </c>
      <c r="EM656" s="36">
        <v>1.06</v>
      </c>
      <c r="ER656" s="1">
        <f t="shared" si="21"/>
        <v>59.1166666666667</v>
      </c>
      <c r="ES656" s="1">
        <v>59.1166666666667</v>
      </c>
    </row>
    <row r="657" customHeight="1" spans="1:149">
      <c r="A657" s="37">
        <v>22</v>
      </c>
      <c r="B657" s="4" t="s">
        <v>817</v>
      </c>
      <c r="C657" s="5" t="s">
        <v>818</v>
      </c>
      <c r="D657" s="4" t="s">
        <v>819</v>
      </c>
      <c r="E657" s="4" t="s">
        <v>820</v>
      </c>
      <c r="F657" s="4" t="s">
        <v>328</v>
      </c>
      <c r="G657" s="4" t="s">
        <v>821</v>
      </c>
      <c r="R657" s="4" t="s">
        <v>680</v>
      </c>
      <c r="S657" s="4" t="s">
        <v>681</v>
      </c>
      <c r="T657" s="4">
        <v>51.8</v>
      </c>
      <c r="V657" s="4">
        <v>6.94</v>
      </c>
      <c r="AD657" s="4" t="s">
        <v>822</v>
      </c>
      <c r="BI657" s="4" t="s">
        <v>309</v>
      </c>
      <c r="BK657" s="4">
        <v>40</v>
      </c>
      <c r="BN657" s="4">
        <v>0.5</v>
      </c>
      <c r="BU657" s="4">
        <v>180</v>
      </c>
      <c r="BV657" s="4">
        <v>300</v>
      </c>
      <c r="BW657" s="4">
        <v>25</v>
      </c>
      <c r="CB657" s="4" t="s">
        <v>372</v>
      </c>
      <c r="CC657" s="4">
        <v>30</v>
      </c>
      <c r="CR657" s="4" t="s">
        <v>542</v>
      </c>
      <c r="CS657" s="4">
        <v>10</v>
      </c>
      <c r="DO657" s="4">
        <v>3</v>
      </c>
      <c r="EL657" s="27">
        <v>30.38</v>
      </c>
      <c r="EM657" s="36">
        <v>0.92</v>
      </c>
      <c r="ER657" s="1">
        <f t="shared" si="21"/>
        <v>50.6333333333333</v>
      </c>
      <c r="ES657" s="1">
        <v>50.6333333333333</v>
      </c>
    </row>
    <row r="658" customHeight="1" spans="1:149">
      <c r="A658" s="37">
        <v>22</v>
      </c>
      <c r="B658" s="4" t="s">
        <v>817</v>
      </c>
      <c r="C658" s="5" t="s">
        <v>818</v>
      </c>
      <c r="D658" s="4" t="s">
        <v>819</v>
      </c>
      <c r="E658" s="4" t="s">
        <v>820</v>
      </c>
      <c r="F658" s="4" t="s">
        <v>328</v>
      </c>
      <c r="G658" s="4" t="s">
        <v>821</v>
      </c>
      <c r="R658" s="4" t="s">
        <v>680</v>
      </c>
      <c r="S658" s="4" t="s">
        <v>681</v>
      </c>
      <c r="T658" s="4">
        <v>51.8</v>
      </c>
      <c r="V658" s="4">
        <v>6.94</v>
      </c>
      <c r="AD658" s="4" t="s">
        <v>822</v>
      </c>
      <c r="BI658" s="4" t="s">
        <v>309</v>
      </c>
      <c r="BK658" s="4">
        <v>40</v>
      </c>
      <c r="BN658" s="4">
        <v>0.5</v>
      </c>
      <c r="BU658" s="4">
        <v>180</v>
      </c>
      <c r="BV658" s="4">
        <v>300</v>
      </c>
      <c r="BW658" s="4">
        <v>25</v>
      </c>
      <c r="CB658" s="4" t="s">
        <v>372</v>
      </c>
      <c r="CC658" s="4">
        <v>30</v>
      </c>
      <c r="CR658" s="4" t="s">
        <v>541</v>
      </c>
      <c r="CS658" s="4">
        <v>10</v>
      </c>
      <c r="DO658" s="4">
        <v>3</v>
      </c>
      <c r="EL658" s="27">
        <v>29.59</v>
      </c>
      <c r="EM658" s="36">
        <v>0</v>
      </c>
      <c r="ER658" s="1">
        <f t="shared" si="21"/>
        <v>49.3166666666667</v>
      </c>
      <c r="ES658" s="1">
        <v>49.3166666666667</v>
      </c>
    </row>
    <row r="659" customHeight="1" spans="1:149">
      <c r="A659" s="37">
        <v>22</v>
      </c>
      <c r="B659" s="4" t="s">
        <v>817</v>
      </c>
      <c r="C659" s="5" t="s">
        <v>818</v>
      </c>
      <c r="D659" s="4" t="s">
        <v>819</v>
      </c>
      <c r="E659" s="4" t="s">
        <v>820</v>
      </c>
      <c r="F659" s="4" t="s">
        <v>328</v>
      </c>
      <c r="G659" s="4" t="s">
        <v>821</v>
      </c>
      <c r="R659" s="4" t="s">
        <v>680</v>
      </c>
      <c r="S659" s="4" t="s">
        <v>681</v>
      </c>
      <c r="T659" s="4">
        <v>51.8</v>
      </c>
      <c r="V659" s="4">
        <v>6.94</v>
      </c>
      <c r="AD659" s="4" t="s">
        <v>822</v>
      </c>
      <c r="BI659" s="4" t="s">
        <v>309</v>
      </c>
      <c r="BK659" s="4">
        <v>40</v>
      </c>
      <c r="BN659" s="4">
        <v>0.5</v>
      </c>
      <c r="BU659" s="4">
        <v>180</v>
      </c>
      <c r="BV659" s="4">
        <v>300</v>
      </c>
      <c r="BW659" s="4">
        <v>25</v>
      </c>
      <c r="CB659" s="4" t="s">
        <v>372</v>
      </c>
      <c r="CC659" s="4">
        <v>30</v>
      </c>
      <c r="CR659" s="4" t="s">
        <v>829</v>
      </c>
      <c r="CS659" s="4">
        <v>10</v>
      </c>
      <c r="DO659" s="4">
        <v>3</v>
      </c>
      <c r="EL659" s="27">
        <v>32.3</v>
      </c>
      <c r="EM659" s="36">
        <v>0.13</v>
      </c>
      <c r="ER659" s="1">
        <f t="shared" si="21"/>
        <v>53.8333333333333</v>
      </c>
      <c r="ES659" s="1">
        <v>53.8333333333333</v>
      </c>
    </row>
    <row r="660" customHeight="1" spans="1:149">
      <c r="A660" s="37">
        <v>22</v>
      </c>
      <c r="B660" s="4" t="s">
        <v>817</v>
      </c>
      <c r="C660" s="5" t="s">
        <v>818</v>
      </c>
      <c r="D660" s="4" t="s">
        <v>819</v>
      </c>
      <c r="E660" s="4" t="s">
        <v>820</v>
      </c>
      <c r="F660" s="4" t="s">
        <v>328</v>
      </c>
      <c r="G660" s="4" t="s">
        <v>821</v>
      </c>
      <c r="R660" s="4" t="s">
        <v>680</v>
      </c>
      <c r="S660" s="4" t="s">
        <v>681</v>
      </c>
      <c r="T660" s="4">
        <v>51.8</v>
      </c>
      <c r="V660" s="4">
        <v>6.94</v>
      </c>
      <c r="AD660" s="4" t="s">
        <v>822</v>
      </c>
      <c r="BI660" s="4" t="s">
        <v>309</v>
      </c>
      <c r="BK660" s="4">
        <v>40</v>
      </c>
      <c r="BN660" s="4">
        <v>0.5</v>
      </c>
      <c r="BU660" s="4">
        <v>180</v>
      </c>
      <c r="BV660" s="4">
        <v>300</v>
      </c>
      <c r="BW660" s="4">
        <v>25</v>
      </c>
      <c r="CB660" s="4" t="s">
        <v>372</v>
      </c>
      <c r="CC660" s="4">
        <v>30</v>
      </c>
      <c r="CR660" s="4" t="s">
        <v>539</v>
      </c>
      <c r="CS660" s="4">
        <v>30</v>
      </c>
      <c r="DO660" s="4">
        <v>3</v>
      </c>
      <c r="EL660" s="27">
        <v>31.11</v>
      </c>
      <c r="EM660" s="36">
        <v>0.2</v>
      </c>
      <c r="ER660" s="1">
        <f t="shared" si="21"/>
        <v>51.85</v>
      </c>
      <c r="ES660" s="1">
        <v>51.85</v>
      </c>
    </row>
    <row r="661" customHeight="1" spans="1:149">
      <c r="A661" s="37">
        <v>22</v>
      </c>
      <c r="B661" s="4" t="s">
        <v>817</v>
      </c>
      <c r="C661" s="5" t="s">
        <v>818</v>
      </c>
      <c r="D661" s="4" t="s">
        <v>819</v>
      </c>
      <c r="E661" s="4" t="s">
        <v>820</v>
      </c>
      <c r="F661" s="4" t="s">
        <v>328</v>
      </c>
      <c r="G661" s="4" t="s">
        <v>821</v>
      </c>
      <c r="R661" s="4" t="s">
        <v>680</v>
      </c>
      <c r="S661" s="4" t="s">
        <v>681</v>
      </c>
      <c r="T661" s="4">
        <v>51.8</v>
      </c>
      <c r="V661" s="4">
        <v>6.94</v>
      </c>
      <c r="AD661" s="4" t="s">
        <v>822</v>
      </c>
      <c r="BI661" s="4" t="s">
        <v>309</v>
      </c>
      <c r="BK661" s="4">
        <v>40</v>
      </c>
      <c r="BN661" s="4">
        <v>0.5</v>
      </c>
      <c r="BU661" s="4">
        <v>180</v>
      </c>
      <c r="BV661" s="4">
        <v>300</v>
      </c>
      <c r="BW661" s="4">
        <v>25</v>
      </c>
      <c r="CB661" s="4" t="s">
        <v>372</v>
      </c>
      <c r="CC661" s="4">
        <v>30</v>
      </c>
      <c r="CR661" s="4" t="s">
        <v>540</v>
      </c>
      <c r="CS661" s="4">
        <v>30</v>
      </c>
      <c r="DO661" s="4">
        <v>3</v>
      </c>
      <c r="EL661" s="27">
        <v>31.18</v>
      </c>
      <c r="EM661" s="36">
        <v>0.99</v>
      </c>
      <c r="ER661" s="1">
        <f t="shared" si="21"/>
        <v>51.9666666666667</v>
      </c>
      <c r="ES661" s="1">
        <v>51.9666666666667</v>
      </c>
    </row>
    <row r="662" customHeight="1" spans="1:149">
      <c r="A662" s="37">
        <v>22</v>
      </c>
      <c r="B662" s="4" t="s">
        <v>817</v>
      </c>
      <c r="C662" s="5" t="s">
        <v>818</v>
      </c>
      <c r="D662" s="4" t="s">
        <v>819</v>
      </c>
      <c r="E662" s="4" t="s">
        <v>820</v>
      </c>
      <c r="F662" s="4" t="s">
        <v>328</v>
      </c>
      <c r="G662" s="4" t="s">
        <v>821</v>
      </c>
      <c r="R662" s="4" t="s">
        <v>680</v>
      </c>
      <c r="S662" s="4" t="s">
        <v>681</v>
      </c>
      <c r="T662" s="4">
        <v>51.8</v>
      </c>
      <c r="V662" s="4">
        <v>6.94</v>
      </c>
      <c r="AD662" s="4" t="s">
        <v>822</v>
      </c>
      <c r="BI662" s="4" t="s">
        <v>309</v>
      </c>
      <c r="BK662" s="4">
        <v>40</v>
      </c>
      <c r="BN662" s="4">
        <v>0.5</v>
      </c>
      <c r="BU662" s="4">
        <v>180</v>
      </c>
      <c r="BV662" s="4">
        <v>300</v>
      </c>
      <c r="BW662" s="4">
        <v>25</v>
      </c>
      <c r="CB662" s="4" t="s">
        <v>372</v>
      </c>
      <c r="CC662" s="4">
        <v>30</v>
      </c>
      <c r="CR662" s="4" t="s">
        <v>542</v>
      </c>
      <c r="CS662" s="4">
        <v>30</v>
      </c>
      <c r="DO662" s="4">
        <v>3</v>
      </c>
      <c r="EL662" s="27">
        <v>29.52</v>
      </c>
      <c r="EM662" s="36">
        <v>0.4</v>
      </c>
      <c r="ER662" s="1">
        <f t="shared" si="21"/>
        <v>49.2</v>
      </c>
      <c r="ES662" s="1">
        <v>49.2</v>
      </c>
    </row>
    <row r="663" customHeight="1" spans="1:149">
      <c r="A663" s="37">
        <v>22</v>
      </c>
      <c r="B663" s="4" t="s">
        <v>817</v>
      </c>
      <c r="C663" s="5" t="s">
        <v>818</v>
      </c>
      <c r="D663" s="4" t="s">
        <v>819</v>
      </c>
      <c r="E663" s="4" t="s">
        <v>820</v>
      </c>
      <c r="F663" s="4" t="s">
        <v>328</v>
      </c>
      <c r="G663" s="4" t="s">
        <v>821</v>
      </c>
      <c r="R663" s="4" t="s">
        <v>680</v>
      </c>
      <c r="S663" s="4" t="s">
        <v>681</v>
      </c>
      <c r="T663" s="4">
        <v>51.8</v>
      </c>
      <c r="V663" s="4">
        <v>6.94</v>
      </c>
      <c r="AD663" s="4" t="s">
        <v>822</v>
      </c>
      <c r="BI663" s="4" t="s">
        <v>309</v>
      </c>
      <c r="BK663" s="4">
        <v>40</v>
      </c>
      <c r="BN663" s="4">
        <v>0.5</v>
      </c>
      <c r="BU663" s="4">
        <v>180</v>
      </c>
      <c r="BV663" s="4">
        <v>300</v>
      </c>
      <c r="BW663" s="4">
        <v>25</v>
      </c>
      <c r="CB663" s="4" t="s">
        <v>372</v>
      </c>
      <c r="CC663" s="4">
        <v>30</v>
      </c>
      <c r="CR663" s="4" t="s">
        <v>541</v>
      </c>
      <c r="CS663" s="4">
        <v>30</v>
      </c>
      <c r="DO663" s="4">
        <v>3</v>
      </c>
      <c r="EL663" s="27">
        <v>28.93</v>
      </c>
      <c r="EM663" s="36">
        <v>0.66</v>
      </c>
      <c r="ER663" s="1">
        <f t="shared" si="21"/>
        <v>48.2166666666667</v>
      </c>
      <c r="ES663" s="1">
        <v>48.2166666666667</v>
      </c>
    </row>
    <row r="664" customHeight="1" spans="1:149">
      <c r="A664" s="37">
        <v>22</v>
      </c>
      <c r="B664" s="4" t="s">
        <v>817</v>
      </c>
      <c r="C664" s="5" t="s">
        <v>818</v>
      </c>
      <c r="D664" s="4" t="s">
        <v>819</v>
      </c>
      <c r="E664" s="4" t="s">
        <v>820</v>
      </c>
      <c r="F664" s="4" t="s">
        <v>328</v>
      </c>
      <c r="G664" s="4" t="s">
        <v>821</v>
      </c>
      <c r="R664" s="4" t="s">
        <v>680</v>
      </c>
      <c r="S664" s="4" t="s">
        <v>681</v>
      </c>
      <c r="T664" s="4">
        <v>51.8</v>
      </c>
      <c r="V664" s="4">
        <v>6.94</v>
      </c>
      <c r="AD664" s="4" t="s">
        <v>822</v>
      </c>
      <c r="BI664" s="4" t="s">
        <v>309</v>
      </c>
      <c r="BK664" s="4">
        <v>40</v>
      </c>
      <c r="BN664" s="4">
        <v>0.5</v>
      </c>
      <c r="BU664" s="4">
        <v>180</v>
      </c>
      <c r="BV664" s="4">
        <v>300</v>
      </c>
      <c r="BW664" s="4">
        <v>25</v>
      </c>
      <c r="CB664" s="4" t="s">
        <v>372</v>
      </c>
      <c r="CC664" s="4">
        <v>30</v>
      </c>
      <c r="CR664" s="4" t="s">
        <v>829</v>
      </c>
      <c r="CS664" s="4">
        <v>30</v>
      </c>
      <c r="DO664" s="4">
        <v>3</v>
      </c>
      <c r="EL664" s="27">
        <v>29.72</v>
      </c>
      <c r="EM664" s="36">
        <v>0</v>
      </c>
      <c r="ER664" s="1">
        <f t="shared" si="21"/>
        <v>49.5333333333333</v>
      </c>
      <c r="ES664" s="1">
        <v>49.5333333333333</v>
      </c>
    </row>
    <row r="665" customHeight="1" spans="1:149">
      <c r="A665" s="37">
        <v>22</v>
      </c>
      <c r="B665" s="4" t="s">
        <v>817</v>
      </c>
      <c r="C665" s="5" t="s">
        <v>818</v>
      </c>
      <c r="D665" s="4" t="s">
        <v>819</v>
      </c>
      <c r="E665" s="4" t="s">
        <v>820</v>
      </c>
      <c r="F665" s="4" t="s">
        <v>328</v>
      </c>
      <c r="G665" s="4" t="s">
        <v>821</v>
      </c>
      <c r="R665" s="4" t="s">
        <v>680</v>
      </c>
      <c r="S665" s="4" t="s">
        <v>681</v>
      </c>
      <c r="T665" s="4">
        <v>51.8</v>
      </c>
      <c r="V665" s="4">
        <v>6.94</v>
      </c>
      <c r="AD665" s="4" t="s">
        <v>822</v>
      </c>
      <c r="BI665" s="4" t="s">
        <v>309</v>
      </c>
      <c r="BK665" s="4">
        <v>40</v>
      </c>
      <c r="BN665" s="4">
        <v>0.5</v>
      </c>
      <c r="BU665" s="4">
        <v>180</v>
      </c>
      <c r="BV665" s="4">
        <v>300</v>
      </c>
      <c r="BW665" s="4">
        <v>25</v>
      </c>
      <c r="CB665" s="4" t="s">
        <v>372</v>
      </c>
      <c r="CC665" s="4">
        <v>30</v>
      </c>
      <c r="CR665" s="4" t="s">
        <v>539</v>
      </c>
      <c r="CS665" s="4">
        <v>50</v>
      </c>
      <c r="DO665" s="4">
        <v>3</v>
      </c>
      <c r="EL665" s="27">
        <v>24.11</v>
      </c>
      <c r="EM665" s="36">
        <v>0.99</v>
      </c>
      <c r="ER665" s="1">
        <f t="shared" si="21"/>
        <v>40.1833333333333</v>
      </c>
      <c r="ES665" s="1">
        <v>40.1833333333333</v>
      </c>
    </row>
    <row r="666" customHeight="1" spans="1:149">
      <c r="A666" s="37">
        <v>22</v>
      </c>
      <c r="B666" s="4" t="s">
        <v>817</v>
      </c>
      <c r="C666" s="5" t="s">
        <v>818</v>
      </c>
      <c r="D666" s="4" t="s">
        <v>819</v>
      </c>
      <c r="E666" s="4" t="s">
        <v>820</v>
      </c>
      <c r="F666" s="4" t="s">
        <v>328</v>
      </c>
      <c r="G666" s="4" t="s">
        <v>821</v>
      </c>
      <c r="R666" s="4" t="s">
        <v>680</v>
      </c>
      <c r="S666" s="4" t="s">
        <v>681</v>
      </c>
      <c r="T666" s="4">
        <v>51.8</v>
      </c>
      <c r="V666" s="4">
        <v>6.94</v>
      </c>
      <c r="AD666" s="4" t="s">
        <v>822</v>
      </c>
      <c r="BI666" s="4" t="s">
        <v>309</v>
      </c>
      <c r="BK666" s="4">
        <v>40</v>
      </c>
      <c r="BN666" s="4">
        <v>0.5</v>
      </c>
      <c r="BU666" s="4">
        <v>180</v>
      </c>
      <c r="BV666" s="4">
        <v>300</v>
      </c>
      <c r="BW666" s="4">
        <v>25</v>
      </c>
      <c r="CB666" s="4" t="s">
        <v>372</v>
      </c>
      <c r="CC666" s="4">
        <v>30</v>
      </c>
      <c r="CR666" s="4" t="s">
        <v>540</v>
      </c>
      <c r="CS666" s="4">
        <v>50</v>
      </c>
      <c r="DO666" s="4">
        <v>3</v>
      </c>
      <c r="EL666" s="27">
        <v>23.05</v>
      </c>
      <c r="EM666" s="36">
        <v>0.46</v>
      </c>
      <c r="ER666" s="1">
        <f t="shared" si="21"/>
        <v>38.4166666666667</v>
      </c>
      <c r="ES666" s="1">
        <v>38.4166666666667</v>
      </c>
    </row>
    <row r="667" customHeight="1" spans="1:149">
      <c r="A667" s="37">
        <v>22</v>
      </c>
      <c r="B667" s="4" t="s">
        <v>817</v>
      </c>
      <c r="C667" s="5" t="s">
        <v>818</v>
      </c>
      <c r="D667" s="4" t="s">
        <v>819</v>
      </c>
      <c r="E667" s="4" t="s">
        <v>820</v>
      </c>
      <c r="F667" s="4" t="s">
        <v>328</v>
      </c>
      <c r="G667" s="4" t="s">
        <v>821</v>
      </c>
      <c r="R667" s="4" t="s">
        <v>680</v>
      </c>
      <c r="S667" s="4" t="s">
        <v>681</v>
      </c>
      <c r="T667" s="4">
        <v>51.8</v>
      </c>
      <c r="V667" s="4">
        <v>6.94</v>
      </c>
      <c r="AD667" s="4" t="s">
        <v>822</v>
      </c>
      <c r="BI667" s="4" t="s">
        <v>309</v>
      </c>
      <c r="BK667" s="4">
        <v>40</v>
      </c>
      <c r="BN667" s="4">
        <v>0.5</v>
      </c>
      <c r="BU667" s="4">
        <v>180</v>
      </c>
      <c r="BV667" s="4">
        <v>300</v>
      </c>
      <c r="BW667" s="4">
        <v>25</v>
      </c>
      <c r="CB667" s="4" t="s">
        <v>372</v>
      </c>
      <c r="CC667" s="4">
        <v>30</v>
      </c>
      <c r="CR667" s="4" t="s">
        <v>542</v>
      </c>
      <c r="CS667" s="4">
        <v>50</v>
      </c>
      <c r="DO667" s="4">
        <v>3</v>
      </c>
      <c r="EL667" s="27">
        <v>27.34</v>
      </c>
      <c r="EM667" s="36">
        <v>1.45</v>
      </c>
      <c r="ER667" s="1">
        <f t="shared" si="21"/>
        <v>45.5666666666667</v>
      </c>
      <c r="ES667" s="1">
        <v>45.5666666666667</v>
      </c>
    </row>
    <row r="668" customHeight="1" spans="1:149">
      <c r="A668" s="37">
        <v>22</v>
      </c>
      <c r="B668" s="4" t="s">
        <v>817</v>
      </c>
      <c r="C668" s="5" t="s">
        <v>818</v>
      </c>
      <c r="D668" s="4" t="s">
        <v>819</v>
      </c>
      <c r="E668" s="4" t="s">
        <v>820</v>
      </c>
      <c r="F668" s="4" t="s">
        <v>328</v>
      </c>
      <c r="G668" s="4" t="s">
        <v>821</v>
      </c>
      <c r="R668" s="4" t="s">
        <v>680</v>
      </c>
      <c r="S668" s="4" t="s">
        <v>681</v>
      </c>
      <c r="T668" s="4">
        <v>51.8</v>
      </c>
      <c r="V668" s="4">
        <v>6.94</v>
      </c>
      <c r="AD668" s="4" t="s">
        <v>822</v>
      </c>
      <c r="BI668" s="4" t="s">
        <v>309</v>
      </c>
      <c r="BK668" s="4">
        <v>40</v>
      </c>
      <c r="BN668" s="4">
        <v>0.5</v>
      </c>
      <c r="BU668" s="4">
        <v>180</v>
      </c>
      <c r="BV668" s="4">
        <v>300</v>
      </c>
      <c r="BW668" s="4">
        <v>25</v>
      </c>
      <c r="CB668" s="4" t="s">
        <v>372</v>
      </c>
      <c r="CC668" s="4">
        <v>30</v>
      </c>
      <c r="CR668" s="4" t="s">
        <v>541</v>
      </c>
      <c r="CS668" s="4">
        <v>50</v>
      </c>
      <c r="DO668" s="4">
        <v>3</v>
      </c>
      <c r="EL668" s="27">
        <v>27.08</v>
      </c>
      <c r="EM668" s="36">
        <v>2.31</v>
      </c>
      <c r="ER668" s="1">
        <f t="shared" si="21"/>
        <v>45.1333333333333</v>
      </c>
      <c r="ES668" s="1">
        <v>45.1333333333333</v>
      </c>
    </row>
    <row r="669" customHeight="1" spans="1:149">
      <c r="A669" s="37">
        <v>22</v>
      </c>
      <c r="B669" s="4" t="s">
        <v>817</v>
      </c>
      <c r="C669" s="5" t="s">
        <v>818</v>
      </c>
      <c r="D669" s="4" t="s">
        <v>819</v>
      </c>
      <c r="E669" s="4" t="s">
        <v>820</v>
      </c>
      <c r="F669" s="4" t="s">
        <v>328</v>
      </c>
      <c r="G669" s="4" t="s">
        <v>821</v>
      </c>
      <c r="R669" s="4" t="s">
        <v>680</v>
      </c>
      <c r="S669" s="4" t="s">
        <v>681</v>
      </c>
      <c r="T669" s="4">
        <v>51.8</v>
      </c>
      <c r="V669" s="4">
        <v>6.94</v>
      </c>
      <c r="AD669" s="4" t="s">
        <v>822</v>
      </c>
      <c r="BI669" s="4" t="s">
        <v>309</v>
      </c>
      <c r="BK669" s="4">
        <v>40</v>
      </c>
      <c r="BN669" s="4">
        <v>0.5</v>
      </c>
      <c r="BU669" s="4">
        <v>180</v>
      </c>
      <c r="BV669" s="4">
        <v>300</v>
      </c>
      <c r="BW669" s="4">
        <v>25</v>
      </c>
      <c r="CB669" s="4" t="s">
        <v>372</v>
      </c>
      <c r="CC669" s="4">
        <v>30</v>
      </c>
      <c r="CR669" s="4" t="s">
        <v>829</v>
      </c>
      <c r="CS669" s="4">
        <v>50</v>
      </c>
      <c r="DO669" s="4">
        <v>3</v>
      </c>
      <c r="EL669" s="27">
        <v>23.18</v>
      </c>
      <c r="EM669" s="36">
        <v>0.99</v>
      </c>
      <c r="ER669" s="1">
        <f t="shared" si="21"/>
        <v>38.6333333333333</v>
      </c>
      <c r="ES669" s="1">
        <v>38.6333333333333</v>
      </c>
    </row>
    <row r="670" customHeight="1" spans="1:149">
      <c r="A670" s="37">
        <v>22</v>
      </c>
      <c r="B670" s="4" t="s">
        <v>817</v>
      </c>
      <c r="C670" s="5" t="s">
        <v>818</v>
      </c>
      <c r="D670" s="4" t="s">
        <v>819</v>
      </c>
      <c r="E670" s="4" t="s">
        <v>820</v>
      </c>
      <c r="F670" s="4" t="s">
        <v>328</v>
      </c>
      <c r="G670" s="4" t="s">
        <v>821</v>
      </c>
      <c r="R670" s="4" t="s">
        <v>680</v>
      </c>
      <c r="S670" s="4" t="s">
        <v>681</v>
      </c>
      <c r="T670" s="4">
        <v>51.8</v>
      </c>
      <c r="V670" s="4">
        <v>6.94</v>
      </c>
      <c r="AD670" s="4" t="s">
        <v>822</v>
      </c>
      <c r="BI670" s="4" t="s">
        <v>309</v>
      </c>
      <c r="BK670" s="4">
        <v>40</v>
      </c>
      <c r="BN670" s="4">
        <v>0.5</v>
      </c>
      <c r="BU670" s="4">
        <v>180</v>
      </c>
      <c r="BV670" s="4">
        <v>300</v>
      </c>
      <c r="BW670" s="4">
        <v>25</v>
      </c>
      <c r="CB670" s="4" t="s">
        <v>372</v>
      </c>
      <c r="CC670" s="4">
        <v>10</v>
      </c>
      <c r="CR670" s="4" t="s">
        <v>512</v>
      </c>
      <c r="CS670" s="4">
        <v>0</v>
      </c>
      <c r="DO670" s="4">
        <v>3</v>
      </c>
      <c r="EL670" s="27">
        <v>19.76</v>
      </c>
      <c r="EM670" s="36">
        <v>0.12</v>
      </c>
      <c r="ER670" s="1">
        <f t="shared" si="21"/>
        <v>32.9333333333333</v>
      </c>
      <c r="ES670" s="1">
        <v>32.9333333333333</v>
      </c>
    </row>
    <row r="671" customHeight="1" spans="1:149">
      <c r="A671" s="37">
        <v>22</v>
      </c>
      <c r="B671" s="4" t="s">
        <v>817</v>
      </c>
      <c r="C671" s="5" t="s">
        <v>818</v>
      </c>
      <c r="D671" s="4" t="s">
        <v>819</v>
      </c>
      <c r="E671" s="4" t="s">
        <v>820</v>
      </c>
      <c r="F671" s="4" t="s">
        <v>328</v>
      </c>
      <c r="G671" s="4" t="s">
        <v>821</v>
      </c>
      <c r="R671" s="4" t="s">
        <v>680</v>
      </c>
      <c r="S671" s="4" t="s">
        <v>681</v>
      </c>
      <c r="T671" s="4">
        <v>51.8</v>
      </c>
      <c r="V671" s="4">
        <v>6.94</v>
      </c>
      <c r="AD671" s="4" t="s">
        <v>822</v>
      </c>
      <c r="BI671" s="4" t="s">
        <v>309</v>
      </c>
      <c r="BK671" s="4">
        <v>40</v>
      </c>
      <c r="BN671" s="4">
        <v>0.5</v>
      </c>
      <c r="BU671" s="4">
        <v>180</v>
      </c>
      <c r="BV671" s="4">
        <v>300</v>
      </c>
      <c r="BW671" s="4">
        <v>25</v>
      </c>
      <c r="CB671" s="4" t="s">
        <v>372</v>
      </c>
      <c r="CC671" s="4">
        <v>10</v>
      </c>
      <c r="CR671" s="4" t="s">
        <v>539</v>
      </c>
      <c r="CS671" s="4">
        <v>5</v>
      </c>
      <c r="DO671" s="4">
        <v>3</v>
      </c>
      <c r="EL671" s="27">
        <v>17.6</v>
      </c>
      <c r="EM671" s="36">
        <v>0.3</v>
      </c>
      <c r="ER671" s="1">
        <f t="shared" si="21"/>
        <v>29.3333333333333</v>
      </c>
      <c r="ES671" s="1">
        <v>29.3333333333333</v>
      </c>
    </row>
    <row r="672" customHeight="1" spans="1:149">
      <c r="A672" s="37">
        <v>22</v>
      </c>
      <c r="B672" s="4" t="s">
        <v>817</v>
      </c>
      <c r="C672" s="5" t="s">
        <v>818</v>
      </c>
      <c r="D672" s="4" t="s">
        <v>819</v>
      </c>
      <c r="E672" s="4" t="s">
        <v>820</v>
      </c>
      <c r="F672" s="4" t="s">
        <v>328</v>
      </c>
      <c r="G672" s="4" t="s">
        <v>821</v>
      </c>
      <c r="R672" s="4" t="s">
        <v>680</v>
      </c>
      <c r="S672" s="4" t="s">
        <v>681</v>
      </c>
      <c r="T672" s="4">
        <v>51.8</v>
      </c>
      <c r="V672" s="4">
        <v>6.94</v>
      </c>
      <c r="AD672" s="4" t="s">
        <v>822</v>
      </c>
      <c r="BI672" s="4" t="s">
        <v>309</v>
      </c>
      <c r="BK672" s="4">
        <v>40</v>
      </c>
      <c r="BN672" s="4">
        <v>0.5</v>
      </c>
      <c r="BU672" s="4">
        <v>180</v>
      </c>
      <c r="BV672" s="4">
        <v>300</v>
      </c>
      <c r="BW672" s="4">
        <v>25</v>
      </c>
      <c r="CB672" s="4" t="s">
        <v>372</v>
      </c>
      <c r="CC672" s="4">
        <v>10</v>
      </c>
      <c r="CR672" s="4" t="s">
        <v>540</v>
      </c>
      <c r="CS672" s="4">
        <v>5</v>
      </c>
      <c r="DO672" s="4">
        <v>3</v>
      </c>
      <c r="EL672" s="27">
        <v>18.3</v>
      </c>
      <c r="EM672" s="36">
        <v>0.06</v>
      </c>
      <c r="ER672" s="1">
        <f t="shared" si="21"/>
        <v>30.5</v>
      </c>
      <c r="ES672" s="1">
        <v>30.5</v>
      </c>
    </row>
    <row r="673" customHeight="1" spans="1:149">
      <c r="A673" s="37">
        <v>22</v>
      </c>
      <c r="B673" s="4" t="s">
        <v>817</v>
      </c>
      <c r="C673" s="5" t="s">
        <v>818</v>
      </c>
      <c r="D673" s="4" t="s">
        <v>819</v>
      </c>
      <c r="E673" s="4" t="s">
        <v>820</v>
      </c>
      <c r="F673" s="4" t="s">
        <v>328</v>
      </c>
      <c r="G673" s="4" t="s">
        <v>821</v>
      </c>
      <c r="R673" s="4" t="s">
        <v>680</v>
      </c>
      <c r="S673" s="4" t="s">
        <v>681</v>
      </c>
      <c r="T673" s="4">
        <v>51.8</v>
      </c>
      <c r="V673" s="4">
        <v>6.94</v>
      </c>
      <c r="AD673" s="4" t="s">
        <v>822</v>
      </c>
      <c r="BI673" s="4" t="s">
        <v>309</v>
      </c>
      <c r="BK673" s="4">
        <v>40</v>
      </c>
      <c r="BN673" s="4">
        <v>0.5</v>
      </c>
      <c r="BU673" s="4">
        <v>180</v>
      </c>
      <c r="BV673" s="4">
        <v>300</v>
      </c>
      <c r="BW673" s="4">
        <v>25</v>
      </c>
      <c r="CB673" s="4" t="s">
        <v>372</v>
      </c>
      <c r="CC673" s="4">
        <v>10</v>
      </c>
      <c r="CR673" s="4" t="s">
        <v>542</v>
      </c>
      <c r="CS673" s="4">
        <v>5</v>
      </c>
      <c r="DO673" s="4">
        <v>3</v>
      </c>
      <c r="EL673" s="27">
        <v>17.78</v>
      </c>
      <c r="EM673" s="36">
        <v>0.15</v>
      </c>
      <c r="ER673" s="1">
        <f t="shared" si="21"/>
        <v>29.6333333333333</v>
      </c>
      <c r="ES673" s="1">
        <v>29.6333333333333</v>
      </c>
    </row>
    <row r="674" customHeight="1" spans="1:149">
      <c r="A674" s="37">
        <v>22</v>
      </c>
      <c r="B674" s="4" t="s">
        <v>817</v>
      </c>
      <c r="C674" s="5" t="s">
        <v>818</v>
      </c>
      <c r="D674" s="4" t="s">
        <v>819</v>
      </c>
      <c r="E674" s="4" t="s">
        <v>820</v>
      </c>
      <c r="F674" s="4" t="s">
        <v>328</v>
      </c>
      <c r="G674" s="4" t="s">
        <v>821</v>
      </c>
      <c r="R674" s="4" t="s">
        <v>680</v>
      </c>
      <c r="S674" s="4" t="s">
        <v>681</v>
      </c>
      <c r="T674" s="4">
        <v>51.8</v>
      </c>
      <c r="V674" s="4">
        <v>6.94</v>
      </c>
      <c r="AD674" s="4" t="s">
        <v>822</v>
      </c>
      <c r="BI674" s="4" t="s">
        <v>309</v>
      </c>
      <c r="BK674" s="4">
        <v>40</v>
      </c>
      <c r="BN674" s="4">
        <v>0.5</v>
      </c>
      <c r="BU674" s="4">
        <v>180</v>
      </c>
      <c r="BV674" s="4">
        <v>300</v>
      </c>
      <c r="BW674" s="4">
        <v>25</v>
      </c>
      <c r="CB674" s="4" t="s">
        <v>372</v>
      </c>
      <c r="CC674" s="4">
        <v>10</v>
      </c>
      <c r="CR674" s="4" t="s">
        <v>541</v>
      </c>
      <c r="CS674" s="4">
        <v>5</v>
      </c>
      <c r="DO674" s="4">
        <v>3</v>
      </c>
      <c r="EL674" s="27">
        <v>17.2</v>
      </c>
      <c r="EM674" s="36">
        <v>0.12</v>
      </c>
      <c r="ER674" s="1">
        <f t="shared" si="21"/>
        <v>28.6666666666667</v>
      </c>
      <c r="ES674" s="1">
        <v>28.6666666666667</v>
      </c>
    </row>
    <row r="675" customHeight="1" spans="1:149">
      <c r="A675" s="37">
        <v>22</v>
      </c>
      <c r="B675" s="4" t="s">
        <v>817</v>
      </c>
      <c r="C675" s="5" t="s">
        <v>818</v>
      </c>
      <c r="D675" s="4" t="s">
        <v>819</v>
      </c>
      <c r="E675" s="4" t="s">
        <v>820</v>
      </c>
      <c r="F675" s="4" t="s">
        <v>328</v>
      </c>
      <c r="G675" s="4" t="s">
        <v>821</v>
      </c>
      <c r="R675" s="4" t="s">
        <v>680</v>
      </c>
      <c r="S675" s="4" t="s">
        <v>681</v>
      </c>
      <c r="T675" s="4">
        <v>51.8</v>
      </c>
      <c r="V675" s="4">
        <v>6.94</v>
      </c>
      <c r="AD675" s="4" t="s">
        <v>822</v>
      </c>
      <c r="BI675" s="4" t="s">
        <v>309</v>
      </c>
      <c r="BK675" s="4">
        <v>40</v>
      </c>
      <c r="BN675" s="4">
        <v>0.5</v>
      </c>
      <c r="BU675" s="4">
        <v>180</v>
      </c>
      <c r="BV675" s="4">
        <v>300</v>
      </c>
      <c r="BW675" s="4">
        <v>25</v>
      </c>
      <c r="CB675" s="4" t="s">
        <v>372</v>
      </c>
      <c r="CC675" s="4">
        <v>10</v>
      </c>
      <c r="CR675" s="4" t="s">
        <v>829</v>
      </c>
      <c r="CS675" s="4">
        <v>5</v>
      </c>
      <c r="DO675" s="4">
        <v>3</v>
      </c>
      <c r="EL675" s="27">
        <v>16.96</v>
      </c>
      <c r="EM675" s="36">
        <v>0.06</v>
      </c>
      <c r="ER675" s="1">
        <f t="shared" si="21"/>
        <v>28.2666666666667</v>
      </c>
      <c r="ES675" s="1">
        <v>28.2666666666667</v>
      </c>
    </row>
    <row r="676" customHeight="1" spans="1:149">
      <c r="A676" s="37">
        <v>22</v>
      </c>
      <c r="B676" s="4" t="s">
        <v>817</v>
      </c>
      <c r="C676" s="5" t="s">
        <v>818</v>
      </c>
      <c r="D676" s="4" t="s">
        <v>819</v>
      </c>
      <c r="E676" s="4" t="s">
        <v>820</v>
      </c>
      <c r="F676" s="4" t="s">
        <v>328</v>
      </c>
      <c r="G676" s="4" t="s">
        <v>821</v>
      </c>
      <c r="R676" s="4" t="s">
        <v>680</v>
      </c>
      <c r="S676" s="4" t="s">
        <v>681</v>
      </c>
      <c r="T676" s="4">
        <v>51.8</v>
      </c>
      <c r="V676" s="4">
        <v>6.94</v>
      </c>
      <c r="AD676" s="4" t="s">
        <v>822</v>
      </c>
      <c r="BI676" s="4" t="s">
        <v>309</v>
      </c>
      <c r="BK676" s="4">
        <v>40</v>
      </c>
      <c r="BN676" s="4">
        <v>0.5</v>
      </c>
      <c r="BU676" s="4">
        <v>180</v>
      </c>
      <c r="BV676" s="4">
        <v>300</v>
      </c>
      <c r="BW676" s="4">
        <v>25</v>
      </c>
      <c r="CB676" s="4" t="s">
        <v>372</v>
      </c>
      <c r="CC676" s="4">
        <v>10</v>
      </c>
      <c r="CR676" s="4" t="s">
        <v>539</v>
      </c>
      <c r="CS676" s="4">
        <v>10</v>
      </c>
      <c r="DO676" s="4">
        <v>3</v>
      </c>
      <c r="EL676" s="27">
        <v>17.39</v>
      </c>
      <c r="EM676" s="36">
        <v>0.15</v>
      </c>
      <c r="ER676" s="1">
        <f t="shared" si="21"/>
        <v>28.9833333333333</v>
      </c>
      <c r="ES676" s="1">
        <v>28.9833333333333</v>
      </c>
    </row>
    <row r="677" customHeight="1" spans="1:149">
      <c r="A677" s="37">
        <v>22</v>
      </c>
      <c r="B677" s="4" t="s">
        <v>817</v>
      </c>
      <c r="C677" s="5" t="s">
        <v>818</v>
      </c>
      <c r="D677" s="4" t="s">
        <v>819</v>
      </c>
      <c r="E677" s="4" t="s">
        <v>820</v>
      </c>
      <c r="F677" s="4" t="s">
        <v>328</v>
      </c>
      <c r="G677" s="4" t="s">
        <v>821</v>
      </c>
      <c r="R677" s="4" t="s">
        <v>680</v>
      </c>
      <c r="S677" s="4" t="s">
        <v>681</v>
      </c>
      <c r="T677" s="4">
        <v>51.8</v>
      </c>
      <c r="V677" s="4">
        <v>6.94</v>
      </c>
      <c r="AD677" s="4" t="s">
        <v>822</v>
      </c>
      <c r="BI677" s="4" t="s">
        <v>309</v>
      </c>
      <c r="BK677" s="4">
        <v>40</v>
      </c>
      <c r="BN677" s="4">
        <v>0.5</v>
      </c>
      <c r="BU677" s="4">
        <v>180</v>
      </c>
      <c r="BV677" s="4">
        <v>300</v>
      </c>
      <c r="BW677" s="4">
        <v>25</v>
      </c>
      <c r="CB677" s="4" t="s">
        <v>372</v>
      </c>
      <c r="CC677" s="4">
        <v>10</v>
      </c>
      <c r="CR677" s="4" t="s">
        <v>540</v>
      </c>
      <c r="CS677" s="4">
        <v>10</v>
      </c>
      <c r="DO677" s="4">
        <v>3</v>
      </c>
      <c r="EL677" s="27">
        <v>18.21</v>
      </c>
      <c r="EM677" s="36">
        <v>0.06</v>
      </c>
      <c r="ER677" s="1">
        <f t="shared" si="21"/>
        <v>30.35</v>
      </c>
      <c r="ES677" s="1">
        <v>30.35</v>
      </c>
    </row>
    <row r="678" customHeight="1" spans="1:149">
      <c r="A678" s="37">
        <v>22</v>
      </c>
      <c r="B678" s="4" t="s">
        <v>817</v>
      </c>
      <c r="C678" s="5" t="s">
        <v>818</v>
      </c>
      <c r="D678" s="4" t="s">
        <v>819</v>
      </c>
      <c r="E678" s="4" t="s">
        <v>820</v>
      </c>
      <c r="F678" s="4" t="s">
        <v>328</v>
      </c>
      <c r="G678" s="4" t="s">
        <v>821</v>
      </c>
      <c r="R678" s="4" t="s">
        <v>680</v>
      </c>
      <c r="S678" s="4" t="s">
        <v>681</v>
      </c>
      <c r="T678" s="4">
        <v>51.8</v>
      </c>
      <c r="V678" s="4">
        <v>6.94</v>
      </c>
      <c r="AD678" s="4" t="s">
        <v>822</v>
      </c>
      <c r="BI678" s="4" t="s">
        <v>309</v>
      </c>
      <c r="BK678" s="4">
        <v>40</v>
      </c>
      <c r="BN678" s="4">
        <v>0.5</v>
      </c>
      <c r="BU678" s="4">
        <v>180</v>
      </c>
      <c r="BV678" s="4">
        <v>300</v>
      </c>
      <c r="BW678" s="4">
        <v>25</v>
      </c>
      <c r="CB678" s="4" t="s">
        <v>372</v>
      </c>
      <c r="CC678" s="4">
        <v>10</v>
      </c>
      <c r="CR678" s="4" t="s">
        <v>542</v>
      </c>
      <c r="CS678" s="4">
        <v>10</v>
      </c>
      <c r="DO678" s="4">
        <v>3</v>
      </c>
      <c r="EL678" s="27">
        <v>17.57</v>
      </c>
      <c r="EM678" s="36">
        <v>0.15</v>
      </c>
      <c r="ER678" s="1">
        <f t="shared" si="21"/>
        <v>29.2833333333333</v>
      </c>
      <c r="ES678" s="1">
        <v>29.2833333333333</v>
      </c>
    </row>
    <row r="679" customHeight="1" spans="1:149">
      <c r="A679" s="37">
        <v>22</v>
      </c>
      <c r="B679" s="4" t="s">
        <v>817</v>
      </c>
      <c r="C679" s="5" t="s">
        <v>818</v>
      </c>
      <c r="D679" s="4" t="s">
        <v>819</v>
      </c>
      <c r="E679" s="4" t="s">
        <v>820</v>
      </c>
      <c r="F679" s="4" t="s">
        <v>328</v>
      </c>
      <c r="G679" s="4" t="s">
        <v>821</v>
      </c>
      <c r="R679" s="4" t="s">
        <v>680</v>
      </c>
      <c r="S679" s="4" t="s">
        <v>681</v>
      </c>
      <c r="T679" s="4">
        <v>51.8</v>
      </c>
      <c r="V679" s="4">
        <v>6.94</v>
      </c>
      <c r="AD679" s="4" t="s">
        <v>822</v>
      </c>
      <c r="BI679" s="4" t="s">
        <v>309</v>
      </c>
      <c r="BK679" s="4">
        <v>40</v>
      </c>
      <c r="BN679" s="4">
        <v>0.5</v>
      </c>
      <c r="BU679" s="4">
        <v>180</v>
      </c>
      <c r="BV679" s="4">
        <v>300</v>
      </c>
      <c r="BW679" s="4">
        <v>25</v>
      </c>
      <c r="CB679" s="4" t="s">
        <v>372</v>
      </c>
      <c r="CC679" s="4">
        <v>10</v>
      </c>
      <c r="CR679" s="4" t="s">
        <v>541</v>
      </c>
      <c r="CS679" s="4">
        <v>10</v>
      </c>
      <c r="DO679" s="4">
        <v>3</v>
      </c>
      <c r="EL679" s="27">
        <v>16.93</v>
      </c>
      <c r="EM679" s="36">
        <v>0.18</v>
      </c>
      <c r="ER679" s="1">
        <f t="shared" si="21"/>
        <v>28.2166666666667</v>
      </c>
      <c r="ES679" s="1">
        <v>28.2166666666667</v>
      </c>
    </row>
    <row r="680" customHeight="1" spans="1:149">
      <c r="A680" s="37">
        <v>22</v>
      </c>
      <c r="B680" s="4" t="s">
        <v>817</v>
      </c>
      <c r="C680" s="5" t="s">
        <v>818</v>
      </c>
      <c r="D680" s="4" t="s">
        <v>819</v>
      </c>
      <c r="E680" s="4" t="s">
        <v>820</v>
      </c>
      <c r="F680" s="4" t="s">
        <v>328</v>
      </c>
      <c r="G680" s="4" t="s">
        <v>821</v>
      </c>
      <c r="R680" s="4" t="s">
        <v>680</v>
      </c>
      <c r="S680" s="4" t="s">
        <v>681</v>
      </c>
      <c r="T680" s="4">
        <v>51.8</v>
      </c>
      <c r="V680" s="4">
        <v>6.94</v>
      </c>
      <c r="AD680" s="4" t="s">
        <v>822</v>
      </c>
      <c r="BI680" s="4" t="s">
        <v>309</v>
      </c>
      <c r="BK680" s="4">
        <v>40</v>
      </c>
      <c r="BN680" s="4">
        <v>0.5</v>
      </c>
      <c r="BU680" s="4">
        <v>180</v>
      </c>
      <c r="BV680" s="4">
        <v>300</v>
      </c>
      <c r="BW680" s="4">
        <v>25</v>
      </c>
      <c r="CB680" s="4" t="s">
        <v>372</v>
      </c>
      <c r="CC680" s="4">
        <v>10</v>
      </c>
      <c r="CR680" s="4" t="s">
        <v>829</v>
      </c>
      <c r="CS680" s="4">
        <v>10</v>
      </c>
      <c r="DO680" s="4">
        <v>3</v>
      </c>
      <c r="EL680" s="27">
        <v>16.66</v>
      </c>
      <c r="EM680" s="36">
        <v>0.27</v>
      </c>
      <c r="ER680" s="1">
        <f t="shared" si="21"/>
        <v>27.7666666666667</v>
      </c>
      <c r="ES680" s="1">
        <v>27.7666666666667</v>
      </c>
    </row>
    <row r="681" customHeight="1" spans="1:149">
      <c r="A681" s="37">
        <v>22</v>
      </c>
      <c r="B681" s="4" t="s">
        <v>817</v>
      </c>
      <c r="C681" s="5" t="s">
        <v>818</v>
      </c>
      <c r="D681" s="4" t="s">
        <v>819</v>
      </c>
      <c r="E681" s="4" t="s">
        <v>820</v>
      </c>
      <c r="F681" s="4" t="s">
        <v>328</v>
      </c>
      <c r="G681" s="4" t="s">
        <v>821</v>
      </c>
      <c r="R681" s="4" t="s">
        <v>680</v>
      </c>
      <c r="S681" s="4" t="s">
        <v>681</v>
      </c>
      <c r="T681" s="4">
        <v>51.8</v>
      </c>
      <c r="V681" s="4">
        <v>6.94</v>
      </c>
      <c r="AD681" s="4" t="s">
        <v>822</v>
      </c>
      <c r="BI681" s="4" t="s">
        <v>309</v>
      </c>
      <c r="BK681" s="4">
        <v>40</v>
      </c>
      <c r="BN681" s="4">
        <v>0.5</v>
      </c>
      <c r="BU681" s="4">
        <v>180</v>
      </c>
      <c r="BV681" s="4">
        <v>300</v>
      </c>
      <c r="BW681" s="4">
        <v>25</v>
      </c>
      <c r="CB681" s="4" t="s">
        <v>372</v>
      </c>
      <c r="CC681" s="4">
        <v>10</v>
      </c>
      <c r="CR681" s="4" t="s">
        <v>539</v>
      </c>
      <c r="CS681" s="4">
        <v>30</v>
      </c>
      <c r="DO681" s="4">
        <v>3</v>
      </c>
      <c r="EL681" s="27">
        <v>16.93</v>
      </c>
      <c r="EM681" s="36">
        <v>0.12</v>
      </c>
      <c r="ER681" s="1">
        <f t="shared" si="21"/>
        <v>28.2166666666667</v>
      </c>
      <c r="ES681" s="1">
        <v>28.2166666666667</v>
      </c>
    </row>
    <row r="682" customHeight="1" spans="1:149">
      <c r="A682" s="37">
        <v>22</v>
      </c>
      <c r="B682" s="4" t="s">
        <v>817</v>
      </c>
      <c r="C682" s="5" t="s">
        <v>818</v>
      </c>
      <c r="D682" s="4" t="s">
        <v>819</v>
      </c>
      <c r="E682" s="4" t="s">
        <v>820</v>
      </c>
      <c r="F682" s="4" t="s">
        <v>328</v>
      </c>
      <c r="G682" s="4" t="s">
        <v>821</v>
      </c>
      <c r="R682" s="4" t="s">
        <v>680</v>
      </c>
      <c r="S682" s="4" t="s">
        <v>681</v>
      </c>
      <c r="T682" s="4">
        <v>51.8</v>
      </c>
      <c r="V682" s="4">
        <v>6.94</v>
      </c>
      <c r="AD682" s="4" t="s">
        <v>822</v>
      </c>
      <c r="BI682" s="4" t="s">
        <v>309</v>
      </c>
      <c r="BK682" s="4">
        <v>40</v>
      </c>
      <c r="BN682" s="4">
        <v>0.5</v>
      </c>
      <c r="BU682" s="4">
        <v>180</v>
      </c>
      <c r="BV682" s="4">
        <v>300</v>
      </c>
      <c r="BW682" s="4">
        <v>25</v>
      </c>
      <c r="CB682" s="4" t="s">
        <v>372</v>
      </c>
      <c r="CC682" s="4">
        <v>10</v>
      </c>
      <c r="CR682" s="4" t="s">
        <v>540</v>
      </c>
      <c r="CS682" s="4">
        <v>30</v>
      </c>
      <c r="DO682" s="4">
        <v>3</v>
      </c>
      <c r="EL682" s="27">
        <v>17.33</v>
      </c>
      <c r="EM682" s="36">
        <v>0.21</v>
      </c>
      <c r="ER682" s="1">
        <f t="shared" si="21"/>
        <v>28.8833333333333</v>
      </c>
      <c r="ES682" s="1">
        <v>28.8833333333333</v>
      </c>
    </row>
    <row r="683" customHeight="1" spans="1:149">
      <c r="A683" s="37">
        <v>22</v>
      </c>
      <c r="B683" s="4" t="s">
        <v>817</v>
      </c>
      <c r="C683" s="5" t="s">
        <v>818</v>
      </c>
      <c r="D683" s="4" t="s">
        <v>819</v>
      </c>
      <c r="E683" s="4" t="s">
        <v>820</v>
      </c>
      <c r="F683" s="4" t="s">
        <v>328</v>
      </c>
      <c r="G683" s="4" t="s">
        <v>821</v>
      </c>
      <c r="R683" s="4" t="s">
        <v>680</v>
      </c>
      <c r="S683" s="4" t="s">
        <v>681</v>
      </c>
      <c r="T683" s="4">
        <v>51.8</v>
      </c>
      <c r="V683" s="4">
        <v>6.94</v>
      </c>
      <c r="AD683" s="4" t="s">
        <v>822</v>
      </c>
      <c r="BI683" s="4" t="s">
        <v>309</v>
      </c>
      <c r="BK683" s="4">
        <v>40</v>
      </c>
      <c r="BN683" s="4">
        <v>0.5</v>
      </c>
      <c r="BU683" s="4">
        <v>180</v>
      </c>
      <c r="BV683" s="4">
        <v>300</v>
      </c>
      <c r="BW683" s="4">
        <v>25</v>
      </c>
      <c r="CB683" s="4" t="s">
        <v>372</v>
      </c>
      <c r="CC683" s="4">
        <v>10</v>
      </c>
      <c r="CR683" s="4" t="s">
        <v>542</v>
      </c>
      <c r="CS683" s="4">
        <v>30</v>
      </c>
      <c r="DO683" s="4">
        <v>3</v>
      </c>
      <c r="EL683" s="27">
        <v>16.53</v>
      </c>
      <c r="EM683" s="36">
        <v>0.3</v>
      </c>
      <c r="ER683" s="1">
        <f t="shared" si="21"/>
        <v>27.55</v>
      </c>
      <c r="ES683" s="1">
        <v>27.55</v>
      </c>
    </row>
    <row r="684" customHeight="1" spans="1:149">
      <c r="A684" s="37">
        <v>22</v>
      </c>
      <c r="B684" s="4" t="s">
        <v>817</v>
      </c>
      <c r="C684" s="5" t="s">
        <v>818</v>
      </c>
      <c r="D684" s="4" t="s">
        <v>819</v>
      </c>
      <c r="E684" s="4" t="s">
        <v>820</v>
      </c>
      <c r="F684" s="4" t="s">
        <v>328</v>
      </c>
      <c r="G684" s="4" t="s">
        <v>821</v>
      </c>
      <c r="R684" s="4" t="s">
        <v>680</v>
      </c>
      <c r="S684" s="4" t="s">
        <v>681</v>
      </c>
      <c r="T684" s="4">
        <v>51.8</v>
      </c>
      <c r="V684" s="4">
        <v>6.94</v>
      </c>
      <c r="AD684" s="4" t="s">
        <v>822</v>
      </c>
      <c r="BI684" s="4" t="s">
        <v>309</v>
      </c>
      <c r="BK684" s="4">
        <v>40</v>
      </c>
      <c r="BN684" s="4">
        <v>0.5</v>
      </c>
      <c r="BU684" s="4">
        <v>180</v>
      </c>
      <c r="BV684" s="4">
        <v>300</v>
      </c>
      <c r="BW684" s="4">
        <v>25</v>
      </c>
      <c r="CB684" s="4" t="s">
        <v>372</v>
      </c>
      <c r="CC684" s="4">
        <v>10</v>
      </c>
      <c r="CR684" s="4" t="s">
        <v>541</v>
      </c>
      <c r="CS684" s="4">
        <v>30</v>
      </c>
      <c r="DO684" s="4">
        <v>3</v>
      </c>
      <c r="EL684" s="27">
        <v>16.84</v>
      </c>
      <c r="EM684" s="36">
        <v>0.21</v>
      </c>
      <c r="ER684" s="1">
        <f t="shared" si="21"/>
        <v>28.0666666666667</v>
      </c>
      <c r="ES684" s="1">
        <v>28.0666666666667</v>
      </c>
    </row>
    <row r="685" customHeight="1" spans="1:149">
      <c r="A685" s="37">
        <v>22</v>
      </c>
      <c r="B685" s="4" t="s">
        <v>817</v>
      </c>
      <c r="C685" s="5" t="s">
        <v>818</v>
      </c>
      <c r="D685" s="4" t="s">
        <v>819</v>
      </c>
      <c r="E685" s="4" t="s">
        <v>820</v>
      </c>
      <c r="F685" s="4" t="s">
        <v>328</v>
      </c>
      <c r="G685" s="4" t="s">
        <v>821</v>
      </c>
      <c r="R685" s="4" t="s">
        <v>680</v>
      </c>
      <c r="S685" s="4" t="s">
        <v>681</v>
      </c>
      <c r="T685" s="4">
        <v>51.8</v>
      </c>
      <c r="V685" s="4">
        <v>6.94</v>
      </c>
      <c r="AD685" s="4" t="s">
        <v>822</v>
      </c>
      <c r="BI685" s="4" t="s">
        <v>309</v>
      </c>
      <c r="BK685" s="4">
        <v>40</v>
      </c>
      <c r="BN685" s="4">
        <v>0.5</v>
      </c>
      <c r="BU685" s="4">
        <v>180</v>
      </c>
      <c r="BV685" s="4">
        <v>300</v>
      </c>
      <c r="BW685" s="4">
        <v>25</v>
      </c>
      <c r="CB685" s="4" t="s">
        <v>372</v>
      </c>
      <c r="CC685" s="4">
        <v>10</v>
      </c>
      <c r="CR685" s="4" t="s">
        <v>829</v>
      </c>
      <c r="CS685" s="4">
        <v>30</v>
      </c>
      <c r="DO685" s="4">
        <v>3</v>
      </c>
      <c r="EL685" s="27">
        <v>15.9</v>
      </c>
      <c r="EM685" s="36">
        <v>0.55</v>
      </c>
      <c r="ER685" s="1">
        <f t="shared" si="21"/>
        <v>26.5</v>
      </c>
      <c r="ES685" s="1">
        <v>26.5</v>
      </c>
    </row>
    <row r="686" customHeight="1" spans="1:149">
      <c r="A686" s="37">
        <v>22</v>
      </c>
      <c r="B686" s="4" t="s">
        <v>817</v>
      </c>
      <c r="C686" s="5" t="s">
        <v>818</v>
      </c>
      <c r="D686" s="4" t="s">
        <v>819</v>
      </c>
      <c r="E686" s="4" t="s">
        <v>820</v>
      </c>
      <c r="F686" s="4" t="s">
        <v>328</v>
      </c>
      <c r="G686" s="4" t="s">
        <v>821</v>
      </c>
      <c r="R686" s="4" t="s">
        <v>680</v>
      </c>
      <c r="S686" s="4" t="s">
        <v>681</v>
      </c>
      <c r="T686" s="4">
        <v>51.8</v>
      </c>
      <c r="V686" s="4">
        <v>6.94</v>
      </c>
      <c r="AD686" s="4" t="s">
        <v>822</v>
      </c>
      <c r="BI686" s="4" t="s">
        <v>309</v>
      </c>
      <c r="BK686" s="4">
        <v>40</v>
      </c>
      <c r="BN686" s="4">
        <v>0.5</v>
      </c>
      <c r="BS686" s="4">
        <v>2</v>
      </c>
      <c r="BU686" s="4">
        <v>180</v>
      </c>
      <c r="BV686" s="4">
        <v>300</v>
      </c>
      <c r="BW686" s="4">
        <v>25</v>
      </c>
      <c r="CB686" s="4" t="s">
        <v>372</v>
      </c>
      <c r="DO686" s="4">
        <v>3</v>
      </c>
      <c r="EL686" s="36">
        <v>26.23</v>
      </c>
      <c r="EM686" s="36">
        <v>2.46</v>
      </c>
      <c r="ER686" s="1">
        <f t="shared" si="21"/>
        <v>43.7166666666667</v>
      </c>
      <c r="ES686" s="1">
        <v>43.7166666666667</v>
      </c>
    </row>
    <row r="687" customHeight="1" spans="1:149">
      <c r="A687" s="37">
        <v>22</v>
      </c>
      <c r="B687" s="4" t="s">
        <v>817</v>
      </c>
      <c r="C687" s="5" t="s">
        <v>818</v>
      </c>
      <c r="D687" s="4" t="s">
        <v>819</v>
      </c>
      <c r="E687" s="4" t="s">
        <v>820</v>
      </c>
      <c r="F687" s="4" t="s">
        <v>328</v>
      </c>
      <c r="G687" s="4" t="s">
        <v>821</v>
      </c>
      <c r="R687" s="4" t="s">
        <v>680</v>
      </c>
      <c r="S687" s="4" t="s">
        <v>681</v>
      </c>
      <c r="T687" s="4">
        <v>51.8</v>
      </c>
      <c r="V687" s="4">
        <v>6.94</v>
      </c>
      <c r="AD687" s="4" t="s">
        <v>822</v>
      </c>
      <c r="BI687" s="4" t="s">
        <v>309</v>
      </c>
      <c r="BK687" s="4">
        <v>40</v>
      </c>
      <c r="BN687" s="4">
        <v>0.5</v>
      </c>
      <c r="BS687" s="4">
        <v>3</v>
      </c>
      <c r="BU687" s="4">
        <v>180</v>
      </c>
      <c r="BV687" s="4">
        <v>300</v>
      </c>
      <c r="BW687" s="4">
        <v>25</v>
      </c>
      <c r="CB687" s="4" t="s">
        <v>372</v>
      </c>
      <c r="DO687" s="4">
        <v>3</v>
      </c>
      <c r="EL687" s="36">
        <v>43.95</v>
      </c>
      <c r="EM687" s="36">
        <v>1.7</v>
      </c>
      <c r="ER687" s="1">
        <f t="shared" si="21"/>
        <v>73.25</v>
      </c>
      <c r="ES687" s="1">
        <v>73.25</v>
      </c>
    </row>
    <row r="688" customHeight="1" spans="1:149">
      <c r="A688" s="37">
        <v>22</v>
      </c>
      <c r="B688" s="4" t="s">
        <v>817</v>
      </c>
      <c r="C688" s="5" t="s">
        <v>818</v>
      </c>
      <c r="D688" s="4" t="s">
        <v>819</v>
      </c>
      <c r="E688" s="4" t="s">
        <v>820</v>
      </c>
      <c r="F688" s="4" t="s">
        <v>328</v>
      </c>
      <c r="G688" s="4" t="s">
        <v>821</v>
      </c>
      <c r="R688" s="4" t="s">
        <v>680</v>
      </c>
      <c r="S688" s="4" t="s">
        <v>681</v>
      </c>
      <c r="T688" s="4">
        <v>51.8</v>
      </c>
      <c r="V688" s="4">
        <v>6.94</v>
      </c>
      <c r="AD688" s="4" t="s">
        <v>822</v>
      </c>
      <c r="BI688" s="4" t="s">
        <v>309</v>
      </c>
      <c r="BK688" s="4">
        <v>40</v>
      </c>
      <c r="BN688" s="4">
        <v>0.5</v>
      </c>
      <c r="BS688" s="4">
        <v>4</v>
      </c>
      <c r="BU688" s="4">
        <v>180</v>
      </c>
      <c r="BV688" s="4">
        <v>300</v>
      </c>
      <c r="BW688" s="4">
        <v>25</v>
      </c>
      <c r="CB688" s="4" t="s">
        <v>372</v>
      </c>
      <c r="DO688" s="4">
        <v>3</v>
      </c>
      <c r="EL688" s="36">
        <v>50.13</v>
      </c>
      <c r="EM688" s="36">
        <v>1.01</v>
      </c>
      <c r="ER688" s="1">
        <f t="shared" si="21"/>
        <v>83.55</v>
      </c>
      <c r="ES688" s="1">
        <v>83.55</v>
      </c>
    </row>
    <row r="689" customHeight="1" spans="1:149">
      <c r="A689" s="37">
        <v>22</v>
      </c>
      <c r="B689" s="4" t="s">
        <v>817</v>
      </c>
      <c r="C689" s="5" t="s">
        <v>818</v>
      </c>
      <c r="D689" s="4" t="s">
        <v>819</v>
      </c>
      <c r="E689" s="4" t="s">
        <v>820</v>
      </c>
      <c r="F689" s="4" t="s">
        <v>328</v>
      </c>
      <c r="G689" s="4" t="s">
        <v>821</v>
      </c>
      <c r="R689" s="4" t="s">
        <v>680</v>
      </c>
      <c r="S689" s="4" t="s">
        <v>681</v>
      </c>
      <c r="T689" s="4">
        <v>51.8</v>
      </c>
      <c r="V689" s="4">
        <v>6.94</v>
      </c>
      <c r="AD689" s="4" t="s">
        <v>822</v>
      </c>
      <c r="BI689" s="4" t="s">
        <v>309</v>
      </c>
      <c r="BK689" s="4">
        <v>40</v>
      </c>
      <c r="BN689" s="4">
        <v>0.5</v>
      </c>
      <c r="BS689" s="4">
        <v>5</v>
      </c>
      <c r="BU689" s="4">
        <v>180</v>
      </c>
      <c r="BV689" s="4">
        <v>300</v>
      </c>
      <c r="BW689" s="4">
        <v>25</v>
      </c>
      <c r="CB689" s="4" t="s">
        <v>372</v>
      </c>
      <c r="DO689" s="4">
        <v>3</v>
      </c>
      <c r="EL689" s="36">
        <v>47.35</v>
      </c>
      <c r="EM689" s="36">
        <v>1.01</v>
      </c>
      <c r="ER689" s="1">
        <f t="shared" si="21"/>
        <v>78.9166666666667</v>
      </c>
      <c r="ES689" s="1">
        <v>78.9166666666667</v>
      </c>
    </row>
    <row r="690" customHeight="1" spans="1:149">
      <c r="A690" s="37">
        <v>22</v>
      </c>
      <c r="B690" s="4" t="s">
        <v>817</v>
      </c>
      <c r="C690" s="5" t="s">
        <v>818</v>
      </c>
      <c r="D690" s="4" t="s">
        <v>819</v>
      </c>
      <c r="E690" s="4" t="s">
        <v>820</v>
      </c>
      <c r="F690" s="4" t="s">
        <v>328</v>
      </c>
      <c r="G690" s="4" t="s">
        <v>821</v>
      </c>
      <c r="R690" s="4" t="s">
        <v>680</v>
      </c>
      <c r="S690" s="4" t="s">
        <v>681</v>
      </c>
      <c r="T690" s="4">
        <v>51.8</v>
      </c>
      <c r="V690" s="4">
        <v>6.94</v>
      </c>
      <c r="AD690" s="4" t="s">
        <v>822</v>
      </c>
      <c r="BI690" s="4" t="s">
        <v>309</v>
      </c>
      <c r="BK690" s="4">
        <v>40</v>
      </c>
      <c r="BN690" s="4">
        <v>0.5</v>
      </c>
      <c r="BS690" s="4">
        <v>6</v>
      </c>
      <c r="BU690" s="4">
        <v>180</v>
      </c>
      <c r="BV690" s="4">
        <v>300</v>
      </c>
      <c r="BW690" s="4">
        <v>25</v>
      </c>
      <c r="CB690" s="4" t="s">
        <v>372</v>
      </c>
      <c r="DO690" s="4">
        <v>3</v>
      </c>
      <c r="EL690" s="36">
        <v>48.05</v>
      </c>
      <c r="EM690" s="36">
        <v>0.76</v>
      </c>
      <c r="ER690" s="1">
        <f t="shared" si="21"/>
        <v>80.0833333333333</v>
      </c>
      <c r="ES690" s="1">
        <v>80.0833333333333</v>
      </c>
    </row>
    <row r="691" customHeight="1" spans="1:149">
      <c r="A691" s="37">
        <v>22</v>
      </c>
      <c r="B691" s="4" t="s">
        <v>817</v>
      </c>
      <c r="C691" s="5" t="s">
        <v>818</v>
      </c>
      <c r="D691" s="4" t="s">
        <v>819</v>
      </c>
      <c r="E691" s="4" t="s">
        <v>820</v>
      </c>
      <c r="F691" s="4" t="s">
        <v>328</v>
      </c>
      <c r="G691" s="4" t="s">
        <v>821</v>
      </c>
      <c r="R691" s="4" t="s">
        <v>680</v>
      </c>
      <c r="S691" s="4" t="s">
        <v>681</v>
      </c>
      <c r="T691" s="4">
        <v>51.8</v>
      </c>
      <c r="V691" s="4">
        <v>6.94</v>
      </c>
      <c r="AD691" s="4" t="s">
        <v>822</v>
      </c>
      <c r="BI691" s="4" t="s">
        <v>309</v>
      </c>
      <c r="BK691" s="4">
        <v>40</v>
      </c>
      <c r="BN691" s="4">
        <v>0.5</v>
      </c>
      <c r="BS691" s="4">
        <v>7</v>
      </c>
      <c r="BU691" s="4">
        <v>180</v>
      </c>
      <c r="BV691" s="4">
        <v>300</v>
      </c>
      <c r="BW691" s="4">
        <v>25</v>
      </c>
      <c r="CB691" s="4" t="s">
        <v>372</v>
      </c>
      <c r="DO691" s="4">
        <v>3</v>
      </c>
      <c r="EL691" s="36">
        <v>47.92</v>
      </c>
      <c r="EM691" s="36">
        <v>1.64</v>
      </c>
      <c r="ER691" s="1">
        <f t="shared" si="21"/>
        <v>79.8666666666667</v>
      </c>
      <c r="ES691" s="1">
        <v>79.8666666666667</v>
      </c>
    </row>
    <row r="692" customHeight="1" spans="1:149">
      <c r="A692" s="37">
        <v>22</v>
      </c>
      <c r="B692" s="4" t="s">
        <v>817</v>
      </c>
      <c r="C692" s="5" t="s">
        <v>818</v>
      </c>
      <c r="D692" s="4" t="s">
        <v>819</v>
      </c>
      <c r="E692" s="4" t="s">
        <v>820</v>
      </c>
      <c r="F692" s="4" t="s">
        <v>328</v>
      </c>
      <c r="G692" s="4" t="s">
        <v>821</v>
      </c>
      <c r="R692" s="4" t="s">
        <v>680</v>
      </c>
      <c r="S692" s="4" t="s">
        <v>681</v>
      </c>
      <c r="T692" s="4">
        <v>51.8</v>
      </c>
      <c r="V692" s="4">
        <v>6.94</v>
      </c>
      <c r="AD692" s="4" t="s">
        <v>822</v>
      </c>
      <c r="BI692" s="4" t="s">
        <v>309</v>
      </c>
      <c r="BK692" s="4">
        <v>40</v>
      </c>
      <c r="BN692" s="4">
        <v>0.5</v>
      </c>
      <c r="BS692" s="4">
        <v>8</v>
      </c>
      <c r="BU692" s="4">
        <v>180</v>
      </c>
      <c r="BV692" s="4">
        <v>300</v>
      </c>
      <c r="BW692" s="4">
        <v>25</v>
      </c>
      <c r="CB692" s="4" t="s">
        <v>372</v>
      </c>
      <c r="DO692" s="4">
        <v>3</v>
      </c>
      <c r="EL692" s="36">
        <v>49.37</v>
      </c>
      <c r="EM692" s="36">
        <v>0.06</v>
      </c>
      <c r="ER692" s="1">
        <f t="shared" si="21"/>
        <v>82.2833333333333</v>
      </c>
      <c r="ES692" s="1">
        <v>82.2833333333333</v>
      </c>
    </row>
    <row r="693" customHeight="1" spans="1:149">
      <c r="A693" s="37">
        <v>22</v>
      </c>
      <c r="B693" s="4" t="s">
        <v>817</v>
      </c>
      <c r="C693" s="5" t="s">
        <v>818</v>
      </c>
      <c r="D693" s="4" t="s">
        <v>819</v>
      </c>
      <c r="E693" s="4" t="s">
        <v>820</v>
      </c>
      <c r="F693" s="4" t="s">
        <v>328</v>
      </c>
      <c r="G693" s="4" t="s">
        <v>821</v>
      </c>
      <c r="R693" s="4" t="s">
        <v>680</v>
      </c>
      <c r="S693" s="4" t="s">
        <v>681</v>
      </c>
      <c r="T693" s="4">
        <v>51.8</v>
      </c>
      <c r="V693" s="4">
        <v>6.94</v>
      </c>
      <c r="AD693" s="4" t="s">
        <v>822</v>
      </c>
      <c r="BI693" s="4" t="s">
        <v>309</v>
      </c>
      <c r="BK693" s="4">
        <v>40</v>
      </c>
      <c r="BN693" s="4">
        <v>0.5</v>
      </c>
      <c r="BS693" s="4">
        <v>9</v>
      </c>
      <c r="BU693" s="4">
        <v>180</v>
      </c>
      <c r="BV693" s="4">
        <v>300</v>
      </c>
      <c r="BW693" s="4">
        <v>25</v>
      </c>
      <c r="CB693" s="4" t="s">
        <v>372</v>
      </c>
      <c r="DO693" s="4">
        <v>3</v>
      </c>
      <c r="EL693" s="36">
        <v>47.23</v>
      </c>
      <c r="EM693" s="36">
        <v>1.26</v>
      </c>
      <c r="ER693" s="1">
        <f t="shared" si="21"/>
        <v>78.7166666666667</v>
      </c>
      <c r="ES693" s="1">
        <v>78.7166666666667</v>
      </c>
    </row>
    <row r="694" customHeight="1" spans="1:149">
      <c r="A694" s="37">
        <v>22</v>
      </c>
      <c r="B694" s="4" t="s">
        <v>817</v>
      </c>
      <c r="C694" s="5" t="s">
        <v>818</v>
      </c>
      <c r="D694" s="4" t="s">
        <v>819</v>
      </c>
      <c r="E694" s="4" t="s">
        <v>820</v>
      </c>
      <c r="F694" s="4" t="s">
        <v>328</v>
      </c>
      <c r="G694" s="4" t="s">
        <v>821</v>
      </c>
      <c r="R694" s="4" t="s">
        <v>680</v>
      </c>
      <c r="S694" s="4" t="s">
        <v>681</v>
      </c>
      <c r="T694" s="4">
        <v>51.8</v>
      </c>
      <c r="V694" s="4">
        <v>6.94</v>
      </c>
      <c r="AD694" s="4" t="s">
        <v>822</v>
      </c>
      <c r="BI694" s="4" t="s">
        <v>309</v>
      </c>
      <c r="BK694" s="4">
        <v>40</v>
      </c>
      <c r="BN694" s="4">
        <v>0.5</v>
      </c>
      <c r="BS694" s="4">
        <v>10</v>
      </c>
      <c r="BU694" s="4">
        <v>180</v>
      </c>
      <c r="BV694" s="4">
        <v>300</v>
      </c>
      <c r="BW694" s="4">
        <v>25</v>
      </c>
      <c r="CB694" s="4" t="s">
        <v>372</v>
      </c>
      <c r="DO694" s="4">
        <v>3</v>
      </c>
      <c r="EL694" s="36">
        <v>46.34</v>
      </c>
      <c r="EM694" s="36">
        <v>0.13</v>
      </c>
      <c r="ER694" s="1">
        <f t="shared" si="21"/>
        <v>77.2333333333333</v>
      </c>
      <c r="ES694" s="1">
        <v>77.2333333333333</v>
      </c>
    </row>
    <row r="695" customHeight="1" spans="1:149">
      <c r="A695" s="37">
        <v>22</v>
      </c>
      <c r="B695" s="4" t="s">
        <v>817</v>
      </c>
      <c r="C695" s="5" t="s">
        <v>818</v>
      </c>
      <c r="D695" s="4" t="s">
        <v>819</v>
      </c>
      <c r="E695" s="4" t="s">
        <v>820</v>
      </c>
      <c r="F695" s="4" t="s">
        <v>328</v>
      </c>
      <c r="G695" s="4" t="s">
        <v>821</v>
      </c>
      <c r="R695" s="4" t="s">
        <v>680</v>
      </c>
      <c r="S695" s="4" t="s">
        <v>681</v>
      </c>
      <c r="T695" s="4">
        <v>51.8</v>
      </c>
      <c r="V695" s="4">
        <v>6.94</v>
      </c>
      <c r="AD695" s="4" t="s">
        <v>822</v>
      </c>
      <c r="BI695" s="4" t="s">
        <v>309</v>
      </c>
      <c r="BK695" s="4">
        <v>40</v>
      </c>
      <c r="BN695" s="4">
        <v>0.5</v>
      </c>
      <c r="BS695" s="4">
        <v>11</v>
      </c>
      <c r="BU695" s="4">
        <v>180</v>
      </c>
      <c r="BV695" s="4">
        <v>300</v>
      </c>
      <c r="BW695" s="4">
        <v>25</v>
      </c>
      <c r="CB695" s="4" t="s">
        <v>372</v>
      </c>
      <c r="DO695" s="4">
        <v>3</v>
      </c>
      <c r="EL695" s="36">
        <v>44.58</v>
      </c>
      <c r="EM695" s="36">
        <v>0.38</v>
      </c>
      <c r="ER695" s="1">
        <f t="shared" si="21"/>
        <v>74.3</v>
      </c>
      <c r="ES695" s="1">
        <v>74.3</v>
      </c>
    </row>
    <row r="696" customHeight="1" spans="1:149">
      <c r="A696" s="37">
        <v>22</v>
      </c>
      <c r="B696" s="4" t="s">
        <v>817</v>
      </c>
      <c r="C696" s="5" t="s">
        <v>818</v>
      </c>
      <c r="D696" s="4" t="s">
        <v>819</v>
      </c>
      <c r="E696" s="4" t="s">
        <v>820</v>
      </c>
      <c r="F696" s="4" t="s">
        <v>328</v>
      </c>
      <c r="G696" s="4" t="s">
        <v>821</v>
      </c>
      <c r="R696" s="4" t="s">
        <v>680</v>
      </c>
      <c r="S696" s="4" t="s">
        <v>681</v>
      </c>
      <c r="T696" s="4">
        <v>51.8</v>
      </c>
      <c r="V696" s="4">
        <v>6.94</v>
      </c>
      <c r="AD696" s="4" t="s">
        <v>822</v>
      </c>
      <c r="BI696" s="4" t="s">
        <v>309</v>
      </c>
      <c r="BK696" s="4">
        <v>40</v>
      </c>
      <c r="BN696" s="4">
        <v>0.5</v>
      </c>
      <c r="BS696" s="4">
        <v>12</v>
      </c>
      <c r="BU696" s="4">
        <v>180</v>
      </c>
      <c r="BV696" s="4">
        <v>300</v>
      </c>
      <c r="BW696" s="4">
        <v>25</v>
      </c>
      <c r="CB696" s="4" t="s">
        <v>372</v>
      </c>
      <c r="DO696" s="4">
        <v>3</v>
      </c>
      <c r="EL696" s="36">
        <v>28.37</v>
      </c>
      <c r="EM696" s="36">
        <v>1.32</v>
      </c>
      <c r="ER696" s="1">
        <f t="shared" si="21"/>
        <v>47.2833333333333</v>
      </c>
      <c r="ES696" s="1">
        <v>47.2833333333333</v>
      </c>
    </row>
    <row r="697" customHeight="1" spans="1:149">
      <c r="A697" s="37">
        <v>22</v>
      </c>
      <c r="B697" s="4" t="s">
        <v>817</v>
      </c>
      <c r="C697" s="5" t="s">
        <v>818</v>
      </c>
      <c r="D697" s="4" t="s">
        <v>819</v>
      </c>
      <c r="E697" s="4" t="s">
        <v>820</v>
      </c>
      <c r="F697" s="4" t="s">
        <v>328</v>
      </c>
      <c r="G697" s="4" t="s">
        <v>821</v>
      </c>
      <c r="R697" s="4" t="s">
        <v>680</v>
      </c>
      <c r="S697" s="4" t="s">
        <v>681</v>
      </c>
      <c r="T697" s="4">
        <v>51.8</v>
      </c>
      <c r="V697" s="4">
        <v>6.94</v>
      </c>
      <c r="AD697" s="4" t="s">
        <v>822</v>
      </c>
      <c r="AH697" s="4" t="s">
        <v>596</v>
      </c>
      <c r="AI697" s="4" t="s">
        <v>830</v>
      </c>
      <c r="AL697" s="4" t="s">
        <v>486</v>
      </c>
      <c r="AM697" s="4">
        <v>6.58</v>
      </c>
      <c r="AN697" s="4">
        <v>24.51</v>
      </c>
      <c r="AO697" s="4">
        <v>14.4</v>
      </c>
      <c r="BD697" s="4" t="s">
        <v>831</v>
      </c>
      <c r="BI697" s="4" t="s">
        <v>321</v>
      </c>
      <c r="BL697" s="4">
        <v>100</v>
      </c>
      <c r="BM697" s="4">
        <v>0</v>
      </c>
      <c r="BP697" s="4">
        <v>0</v>
      </c>
      <c r="BV697" s="4" t="s">
        <v>832</v>
      </c>
      <c r="BX697" s="4" t="s">
        <v>833</v>
      </c>
      <c r="CB697" s="4" t="s">
        <v>372</v>
      </c>
      <c r="CC697" s="4">
        <v>134.26</v>
      </c>
      <c r="CX697" s="4" t="s">
        <v>834</v>
      </c>
      <c r="DO697" s="4">
        <v>3</v>
      </c>
      <c r="EF697" s="1">
        <v>37.27</v>
      </c>
      <c r="EH697" s="1">
        <v>37.27</v>
      </c>
      <c r="EI697" s="36">
        <v>0</v>
      </c>
      <c r="ER697" s="1">
        <f t="shared" ref="ER697:ER700" si="22">(CC697-EH697)/CC697*100</f>
        <v>72.2404290183226</v>
      </c>
      <c r="ES697" s="1">
        <v>72.2404290183226</v>
      </c>
    </row>
    <row r="698" customHeight="1" spans="1:149">
      <c r="A698" s="37">
        <v>22</v>
      </c>
      <c r="B698" s="4" t="s">
        <v>817</v>
      </c>
      <c r="C698" s="5" t="s">
        <v>818</v>
      </c>
      <c r="D698" s="4" t="s">
        <v>819</v>
      </c>
      <c r="E698" s="4" t="s">
        <v>820</v>
      </c>
      <c r="F698" s="4" t="s">
        <v>328</v>
      </c>
      <c r="G698" s="4" t="s">
        <v>821</v>
      </c>
      <c r="R698" s="4" t="s">
        <v>680</v>
      </c>
      <c r="S698" s="4" t="s">
        <v>681</v>
      </c>
      <c r="T698" s="4">
        <v>51.8</v>
      </c>
      <c r="V698" s="4">
        <v>6.94</v>
      </c>
      <c r="AD698" s="4" t="s">
        <v>822</v>
      </c>
      <c r="AH698" s="4" t="s">
        <v>596</v>
      </c>
      <c r="AI698" s="4" t="s">
        <v>830</v>
      </c>
      <c r="AL698" s="4" t="s">
        <v>486</v>
      </c>
      <c r="AM698" s="4">
        <v>6.58</v>
      </c>
      <c r="AN698" s="4">
        <v>24.51</v>
      </c>
      <c r="AO698" s="4">
        <v>14.4</v>
      </c>
      <c r="BD698" s="4" t="s">
        <v>831</v>
      </c>
      <c r="BI698" s="4" t="s">
        <v>321</v>
      </c>
      <c r="BL698" s="4">
        <v>100</v>
      </c>
      <c r="BM698" s="4">
        <v>0.1</v>
      </c>
      <c r="BP698" s="4">
        <v>0.1</v>
      </c>
      <c r="BV698" s="4" t="s">
        <v>832</v>
      </c>
      <c r="BX698" s="4" t="s">
        <v>833</v>
      </c>
      <c r="CB698" s="4" t="s">
        <v>372</v>
      </c>
      <c r="CC698" s="4">
        <v>134.26</v>
      </c>
      <c r="DO698" s="4">
        <v>3</v>
      </c>
      <c r="EF698" s="1">
        <v>37.27</v>
      </c>
      <c r="EH698" s="1">
        <v>3.13</v>
      </c>
      <c r="EI698" s="36">
        <v>0</v>
      </c>
      <c r="ER698" s="1">
        <f t="shared" si="22"/>
        <v>97.6687025175034</v>
      </c>
      <c r="ES698" s="1">
        <v>97.6687025175034</v>
      </c>
    </row>
    <row r="699" customHeight="1" spans="1:149">
      <c r="A699" s="37">
        <v>22</v>
      </c>
      <c r="B699" s="4" t="s">
        <v>817</v>
      </c>
      <c r="C699" s="5" t="s">
        <v>818</v>
      </c>
      <c r="D699" s="4" t="s">
        <v>819</v>
      </c>
      <c r="E699" s="4" t="s">
        <v>820</v>
      </c>
      <c r="F699" s="4" t="s">
        <v>328</v>
      </c>
      <c r="G699" s="4" t="s">
        <v>821</v>
      </c>
      <c r="R699" s="4" t="s">
        <v>680</v>
      </c>
      <c r="S699" s="4" t="s">
        <v>681</v>
      </c>
      <c r="T699" s="4">
        <v>51.8</v>
      </c>
      <c r="V699" s="4">
        <v>6.94</v>
      </c>
      <c r="AD699" s="4" t="s">
        <v>822</v>
      </c>
      <c r="AH699" s="4" t="s">
        <v>596</v>
      </c>
      <c r="AI699" s="4" t="s">
        <v>830</v>
      </c>
      <c r="AL699" s="4" t="s">
        <v>486</v>
      </c>
      <c r="AM699" s="4">
        <v>6.58</v>
      </c>
      <c r="AN699" s="4">
        <v>24.51</v>
      </c>
      <c r="AO699" s="4">
        <v>14.4</v>
      </c>
      <c r="BD699" s="4" t="s">
        <v>831</v>
      </c>
      <c r="BI699" s="4" t="s">
        <v>321</v>
      </c>
      <c r="BL699" s="4">
        <v>100</v>
      </c>
      <c r="BM699" s="4">
        <v>0.25</v>
      </c>
      <c r="BP699" s="4">
        <v>0.25</v>
      </c>
      <c r="BV699" s="4" t="s">
        <v>832</v>
      </c>
      <c r="BX699" s="4" t="s">
        <v>833</v>
      </c>
      <c r="CB699" s="4" t="s">
        <v>372</v>
      </c>
      <c r="CC699" s="4">
        <v>134.26</v>
      </c>
      <c r="DO699" s="4">
        <v>3</v>
      </c>
      <c r="EF699" s="1">
        <v>37.27</v>
      </c>
      <c r="EH699" s="1">
        <v>2.96</v>
      </c>
      <c r="EI699" s="36">
        <v>0.87</v>
      </c>
      <c r="ER699" s="1">
        <f t="shared" si="22"/>
        <v>97.7953225085655</v>
      </c>
      <c r="ES699" s="1">
        <v>97.7953225085655</v>
      </c>
    </row>
    <row r="700" customHeight="1" spans="1:149">
      <c r="A700" s="37">
        <v>22</v>
      </c>
      <c r="B700" s="4" t="s">
        <v>817</v>
      </c>
      <c r="C700" s="5" t="s">
        <v>818</v>
      </c>
      <c r="D700" s="4" t="s">
        <v>819</v>
      </c>
      <c r="E700" s="4" t="s">
        <v>820</v>
      </c>
      <c r="F700" s="4" t="s">
        <v>328</v>
      </c>
      <c r="G700" s="4" t="s">
        <v>821</v>
      </c>
      <c r="R700" s="4" t="s">
        <v>680</v>
      </c>
      <c r="S700" s="4" t="s">
        <v>681</v>
      </c>
      <c r="T700" s="4">
        <v>51.8</v>
      </c>
      <c r="V700" s="4">
        <v>6.94</v>
      </c>
      <c r="AD700" s="4" t="s">
        <v>822</v>
      </c>
      <c r="AH700" s="4" t="s">
        <v>596</v>
      </c>
      <c r="AI700" s="4" t="s">
        <v>830</v>
      </c>
      <c r="AL700" s="4" t="s">
        <v>486</v>
      </c>
      <c r="AM700" s="4">
        <v>6.58</v>
      </c>
      <c r="AN700" s="4">
        <v>24.51</v>
      </c>
      <c r="AO700" s="4">
        <v>14.4</v>
      </c>
      <c r="BD700" s="4" t="s">
        <v>831</v>
      </c>
      <c r="BI700" s="4" t="s">
        <v>321</v>
      </c>
      <c r="BL700" s="4">
        <v>100</v>
      </c>
      <c r="BM700" s="4">
        <v>0.5</v>
      </c>
      <c r="BP700" s="4">
        <v>0.5</v>
      </c>
      <c r="BV700" s="4" t="s">
        <v>832</v>
      </c>
      <c r="BX700" s="4" t="s">
        <v>833</v>
      </c>
      <c r="CB700" s="4" t="s">
        <v>372</v>
      </c>
      <c r="CC700" s="4">
        <v>134.26</v>
      </c>
      <c r="DO700" s="4">
        <v>3</v>
      </c>
      <c r="EF700" s="1">
        <v>37.27</v>
      </c>
      <c r="EH700" s="1">
        <v>1.92</v>
      </c>
      <c r="EI700" s="36">
        <v>0.52</v>
      </c>
      <c r="ER700" s="1">
        <f t="shared" si="22"/>
        <v>98.5699389244749</v>
      </c>
      <c r="ES700" s="1">
        <v>98.5699389244749</v>
      </c>
    </row>
    <row r="701" customHeight="1" spans="1:149">
      <c r="A701" s="37">
        <v>22</v>
      </c>
      <c r="B701" s="4" t="s">
        <v>817</v>
      </c>
      <c r="C701" s="5" t="s">
        <v>818</v>
      </c>
      <c r="D701" s="4" t="s">
        <v>819</v>
      </c>
      <c r="E701" s="4" t="s">
        <v>820</v>
      </c>
      <c r="F701" s="4" t="s">
        <v>328</v>
      </c>
      <c r="G701" s="4" t="s">
        <v>821</v>
      </c>
      <c r="R701" s="4" t="s">
        <v>680</v>
      </c>
      <c r="S701" s="4" t="s">
        <v>681</v>
      </c>
      <c r="T701" s="4">
        <v>51.8</v>
      </c>
      <c r="V701" s="4">
        <v>6.94</v>
      </c>
      <c r="AD701" s="4" t="s">
        <v>822</v>
      </c>
      <c r="AH701" s="4" t="s">
        <v>596</v>
      </c>
      <c r="AI701" s="4" t="s">
        <v>830</v>
      </c>
      <c r="AL701" s="4" t="s">
        <v>486</v>
      </c>
      <c r="AM701" s="4">
        <v>6.58</v>
      </c>
      <c r="AN701" s="4">
        <v>24.51</v>
      </c>
      <c r="AO701" s="4">
        <v>14.4</v>
      </c>
      <c r="BD701" s="4" t="s">
        <v>831</v>
      </c>
      <c r="DO701" s="4">
        <v>3</v>
      </c>
    </row>
    <row r="702" customHeight="1" spans="1:149">
      <c r="A702" s="37">
        <v>22</v>
      </c>
      <c r="B702" s="4" t="s">
        <v>817</v>
      </c>
      <c r="C702" s="5" t="s">
        <v>818</v>
      </c>
      <c r="D702" s="4" t="s">
        <v>819</v>
      </c>
      <c r="E702" s="4" t="s">
        <v>820</v>
      </c>
      <c r="F702" s="4" t="s">
        <v>328</v>
      </c>
      <c r="G702" s="4" t="s">
        <v>821</v>
      </c>
      <c r="R702" s="4" t="s">
        <v>680</v>
      </c>
      <c r="S702" s="4" t="s">
        <v>681</v>
      </c>
      <c r="T702" s="4">
        <v>51.8</v>
      </c>
      <c r="V702" s="4">
        <v>6.94</v>
      </c>
      <c r="AD702" s="4" t="s">
        <v>822</v>
      </c>
      <c r="AH702" s="4" t="s">
        <v>596</v>
      </c>
      <c r="AI702" s="4" t="s">
        <v>830</v>
      </c>
      <c r="AL702" s="4" t="s">
        <v>486</v>
      </c>
      <c r="AM702" s="4">
        <v>6.58</v>
      </c>
      <c r="AN702" s="4">
        <v>24.51</v>
      </c>
      <c r="AO702" s="4">
        <v>14.4</v>
      </c>
      <c r="BD702" s="4" t="s">
        <v>831</v>
      </c>
      <c r="DO702" s="4">
        <v>3</v>
      </c>
    </row>
    <row r="703" customHeight="1" spans="1:149">
      <c r="A703" s="37">
        <v>22</v>
      </c>
      <c r="B703" s="4" t="s">
        <v>817</v>
      </c>
      <c r="C703" s="5" t="s">
        <v>818</v>
      </c>
      <c r="D703" s="4" t="s">
        <v>819</v>
      </c>
      <c r="E703" s="4" t="s">
        <v>820</v>
      </c>
      <c r="F703" s="4" t="s">
        <v>328</v>
      </c>
      <c r="G703" s="4" t="s">
        <v>821</v>
      </c>
      <c r="R703" s="4" t="s">
        <v>680</v>
      </c>
      <c r="S703" s="4" t="s">
        <v>681</v>
      </c>
      <c r="T703" s="4">
        <v>51.8</v>
      </c>
      <c r="V703" s="4">
        <v>6.94</v>
      </c>
      <c r="AD703" s="4" t="s">
        <v>822</v>
      </c>
      <c r="AH703" s="4" t="s">
        <v>596</v>
      </c>
      <c r="AI703" s="4" t="s">
        <v>830</v>
      </c>
      <c r="AL703" s="4" t="s">
        <v>486</v>
      </c>
      <c r="AM703" s="4">
        <v>6.58</v>
      </c>
      <c r="AN703" s="4">
        <v>24.51</v>
      </c>
      <c r="AO703" s="4">
        <v>14.4</v>
      </c>
      <c r="BD703" s="4" t="s">
        <v>831</v>
      </c>
      <c r="DO703" s="4">
        <v>3</v>
      </c>
    </row>
    <row r="704" customHeight="1" spans="1:149">
      <c r="A704" s="37">
        <v>22</v>
      </c>
      <c r="B704" s="4" t="s">
        <v>817</v>
      </c>
      <c r="C704" s="5" t="s">
        <v>818</v>
      </c>
      <c r="D704" s="4" t="s">
        <v>819</v>
      </c>
      <c r="E704" s="4" t="s">
        <v>820</v>
      </c>
      <c r="F704" s="4" t="s">
        <v>328</v>
      </c>
      <c r="G704" s="4" t="s">
        <v>821</v>
      </c>
      <c r="R704" s="4" t="s">
        <v>680</v>
      </c>
      <c r="S704" s="4" t="s">
        <v>681</v>
      </c>
      <c r="T704" s="4">
        <v>51.8</v>
      </c>
      <c r="V704" s="4">
        <v>6.94</v>
      </c>
      <c r="AD704" s="4" t="s">
        <v>822</v>
      </c>
      <c r="AH704" s="4" t="s">
        <v>596</v>
      </c>
      <c r="AI704" s="4" t="s">
        <v>830</v>
      </c>
      <c r="AL704" s="4" t="s">
        <v>486</v>
      </c>
      <c r="AM704" s="4">
        <v>6.58</v>
      </c>
      <c r="AN704" s="4">
        <v>24.51</v>
      </c>
      <c r="AO704" s="4">
        <v>14.4</v>
      </c>
      <c r="BD704" s="4" t="s">
        <v>831</v>
      </c>
      <c r="DO704" s="4">
        <v>3</v>
      </c>
    </row>
    <row r="705" customHeight="1" spans="1:313">
      <c r="A705" s="3">
        <v>23</v>
      </c>
      <c r="B705" s="4" t="s">
        <v>835</v>
      </c>
      <c r="C705" s="5" t="s">
        <v>836</v>
      </c>
      <c r="D705" s="4" t="s">
        <v>300</v>
      </c>
      <c r="E705" s="4" t="s">
        <v>837</v>
      </c>
      <c r="I705" s="4" t="s">
        <v>512</v>
      </c>
      <c r="J705" s="4">
        <v>0</v>
      </c>
      <c r="N705" s="4" t="s">
        <v>567</v>
      </c>
      <c r="O705" s="4" t="s">
        <v>502</v>
      </c>
      <c r="P705" s="4">
        <v>4</v>
      </c>
      <c r="T705" s="4">
        <v>40.1</v>
      </c>
      <c r="X705" s="4">
        <v>0.7741</v>
      </c>
      <c r="AA705" s="4" t="s">
        <v>838</v>
      </c>
      <c r="AE705" s="4" t="s">
        <v>839</v>
      </c>
      <c r="AF705" s="4" t="s">
        <v>840</v>
      </c>
      <c r="AG705" s="4" t="s">
        <v>841</v>
      </c>
      <c r="AH705" s="4" t="s">
        <v>842</v>
      </c>
      <c r="AL705" s="4" t="s">
        <v>843</v>
      </c>
      <c r="AM705" s="4">
        <v>5.6</v>
      </c>
      <c r="AQ705" s="4" t="s">
        <v>844</v>
      </c>
      <c r="AR705" s="4">
        <v>4000</v>
      </c>
      <c r="BD705" s="4" t="s">
        <v>845</v>
      </c>
      <c r="BI705" s="4" t="s">
        <v>320</v>
      </c>
      <c r="BN705" s="4">
        <v>1</v>
      </c>
      <c r="BS705" s="4">
        <v>5.5</v>
      </c>
      <c r="BT705" s="4" t="s">
        <v>512</v>
      </c>
      <c r="BU705" s="4">
        <v>550</v>
      </c>
      <c r="CB705" s="4" t="s">
        <v>463</v>
      </c>
      <c r="CC705" s="4">
        <v>6.538</v>
      </c>
      <c r="CV705" s="4">
        <v>10</v>
      </c>
      <c r="CW705" s="4">
        <v>9.4</v>
      </c>
      <c r="CX705" s="4" t="s">
        <v>846</v>
      </c>
      <c r="DO705" s="4">
        <v>3</v>
      </c>
      <c r="KZ705" s="1" t="s">
        <v>14</v>
      </c>
      <c r="LA705" s="1" t="s">
        <v>847</v>
      </c>
    </row>
    <row r="706" customHeight="1" spans="1:313">
      <c r="A706" s="3">
        <v>23</v>
      </c>
      <c r="B706" s="4" t="s">
        <v>835</v>
      </c>
      <c r="C706" s="5" t="s">
        <v>836</v>
      </c>
      <c r="D706" s="4" t="s">
        <v>300</v>
      </c>
      <c r="E706" s="4" t="s">
        <v>837</v>
      </c>
      <c r="I706" s="4" t="s">
        <v>512</v>
      </c>
      <c r="J706" s="4">
        <v>0</v>
      </c>
      <c r="N706" s="4" t="s">
        <v>567</v>
      </c>
      <c r="O706" s="4" t="s">
        <v>502</v>
      </c>
      <c r="P706" s="4">
        <v>4</v>
      </c>
      <c r="T706" s="4">
        <v>40.1</v>
      </c>
      <c r="X706" s="4">
        <v>0.7741</v>
      </c>
      <c r="AA706" s="4" t="s">
        <v>838</v>
      </c>
      <c r="AE706" s="4" t="s">
        <v>839</v>
      </c>
      <c r="AF706" s="4" t="s">
        <v>840</v>
      </c>
      <c r="AG706" s="4" t="s">
        <v>841</v>
      </c>
      <c r="AH706" s="4" t="s">
        <v>848</v>
      </c>
      <c r="AL706" s="4" t="s">
        <v>849</v>
      </c>
      <c r="AM706" s="4">
        <v>6.1</v>
      </c>
      <c r="AQ706" s="4" t="s">
        <v>519</v>
      </c>
      <c r="AR706" s="4">
        <v>16000</v>
      </c>
      <c r="BD706" s="4" t="s">
        <v>845</v>
      </c>
      <c r="BI706" s="4" t="s">
        <v>320</v>
      </c>
      <c r="BN706" s="4">
        <v>1</v>
      </c>
      <c r="BS706" s="4">
        <v>6.7</v>
      </c>
      <c r="BT706" s="4" t="s">
        <v>512</v>
      </c>
      <c r="BU706" s="4">
        <v>550</v>
      </c>
      <c r="CB706" s="4" t="s">
        <v>496</v>
      </c>
      <c r="CC706" s="4">
        <v>7.49216</v>
      </c>
      <c r="CV706" s="4">
        <v>120</v>
      </c>
      <c r="CW706" s="4">
        <v>9.5</v>
      </c>
      <c r="CX706" s="4" t="s">
        <v>314</v>
      </c>
      <c r="DO706" s="4">
        <v>3</v>
      </c>
      <c r="KZ706" s="1" t="s">
        <v>424</v>
      </c>
      <c r="LA706" s="1" t="s">
        <v>847</v>
      </c>
    </row>
    <row r="707" customHeight="1" spans="1:313">
      <c r="A707" s="3">
        <v>23</v>
      </c>
      <c r="B707" s="4" t="s">
        <v>835</v>
      </c>
      <c r="C707" s="5" t="s">
        <v>836</v>
      </c>
      <c r="D707" s="4" t="s">
        <v>300</v>
      </c>
      <c r="E707" s="4" t="s">
        <v>837</v>
      </c>
      <c r="I707" s="4" t="s">
        <v>512</v>
      </c>
      <c r="J707" s="4">
        <v>0</v>
      </c>
      <c r="N707" s="4" t="s">
        <v>567</v>
      </c>
      <c r="O707" s="4" t="s">
        <v>502</v>
      </c>
      <c r="P707" s="4">
        <v>4</v>
      </c>
      <c r="T707" s="4">
        <v>40.1</v>
      </c>
      <c r="X707" s="4">
        <v>0.7741</v>
      </c>
      <c r="AA707" s="4" t="s">
        <v>838</v>
      </c>
      <c r="AE707" s="4" t="s">
        <v>839</v>
      </c>
      <c r="AF707" s="4" t="s">
        <v>840</v>
      </c>
      <c r="AG707" s="4" t="s">
        <v>841</v>
      </c>
      <c r="AH707" s="4" t="s">
        <v>842</v>
      </c>
      <c r="AL707" s="4" t="s">
        <v>843</v>
      </c>
      <c r="AM707" s="4">
        <v>5.6</v>
      </c>
      <c r="AQ707" s="4" t="s">
        <v>844</v>
      </c>
      <c r="AR707" s="4">
        <v>4000</v>
      </c>
      <c r="BD707" s="4" t="s">
        <v>845</v>
      </c>
      <c r="BI707" s="4" t="s">
        <v>320</v>
      </c>
      <c r="BN707" s="4">
        <v>1</v>
      </c>
      <c r="BS707" s="4">
        <v>5.5</v>
      </c>
      <c r="BT707" s="4">
        <v>5.5</v>
      </c>
      <c r="BU707" s="4">
        <v>550</v>
      </c>
      <c r="CB707" s="4" t="s">
        <v>463</v>
      </c>
      <c r="CC707" s="4">
        <v>6.538</v>
      </c>
      <c r="CV707" s="4">
        <v>10</v>
      </c>
      <c r="CX707" s="4" t="s">
        <v>846</v>
      </c>
      <c r="DO707" s="4">
        <v>3</v>
      </c>
    </row>
    <row r="708" customHeight="1" spans="1:313">
      <c r="A708" s="3">
        <v>23</v>
      </c>
      <c r="B708" s="4" t="s">
        <v>835</v>
      </c>
      <c r="C708" s="5" t="s">
        <v>836</v>
      </c>
      <c r="D708" s="4" t="s">
        <v>300</v>
      </c>
      <c r="E708" s="4" t="s">
        <v>837</v>
      </c>
      <c r="I708" s="4" t="s">
        <v>512</v>
      </c>
      <c r="J708" s="4">
        <v>0</v>
      </c>
      <c r="N708" s="4" t="s">
        <v>567</v>
      </c>
      <c r="O708" s="4" t="s">
        <v>502</v>
      </c>
      <c r="P708" s="4">
        <v>4</v>
      </c>
      <c r="T708" s="4">
        <v>40.1</v>
      </c>
      <c r="X708" s="4">
        <v>0.7741</v>
      </c>
      <c r="AA708" s="4" t="s">
        <v>838</v>
      </c>
      <c r="AE708" s="4" t="s">
        <v>839</v>
      </c>
      <c r="AF708" s="4" t="s">
        <v>840</v>
      </c>
      <c r="AG708" s="4" t="s">
        <v>841</v>
      </c>
      <c r="AH708" s="4" t="s">
        <v>848</v>
      </c>
      <c r="AL708" s="4" t="s">
        <v>849</v>
      </c>
      <c r="AM708" s="4">
        <v>6.1</v>
      </c>
      <c r="AQ708" s="4" t="s">
        <v>519</v>
      </c>
      <c r="AR708" s="4">
        <v>16000</v>
      </c>
      <c r="BD708" s="4" t="s">
        <v>845</v>
      </c>
      <c r="BI708" s="4" t="s">
        <v>320</v>
      </c>
      <c r="BN708" s="4">
        <v>1</v>
      </c>
      <c r="BS708" s="4">
        <v>5.5</v>
      </c>
      <c r="BT708" s="4">
        <v>5.5</v>
      </c>
      <c r="BU708" s="4">
        <v>550</v>
      </c>
      <c r="CB708" s="4" t="s">
        <v>496</v>
      </c>
      <c r="CC708" s="4">
        <v>7.49216</v>
      </c>
      <c r="CV708" s="4">
        <v>120</v>
      </c>
      <c r="CX708" s="4" t="s">
        <v>314</v>
      </c>
      <c r="DO708" s="4">
        <v>3</v>
      </c>
    </row>
    <row r="709" customHeight="1" spans="1:313">
      <c r="A709" s="3">
        <v>23</v>
      </c>
      <c r="B709" s="4" t="s">
        <v>835</v>
      </c>
      <c r="C709" s="5" t="s">
        <v>836</v>
      </c>
      <c r="D709" s="4" t="s">
        <v>300</v>
      </c>
      <c r="E709" s="4" t="s">
        <v>837</v>
      </c>
      <c r="I709" s="4" t="s">
        <v>512</v>
      </c>
      <c r="J709" s="4">
        <v>0</v>
      </c>
      <c r="N709" s="4" t="s">
        <v>567</v>
      </c>
      <c r="O709" s="4" t="s">
        <v>502</v>
      </c>
      <c r="P709" s="4">
        <v>4</v>
      </c>
      <c r="T709" s="4">
        <v>40.1</v>
      </c>
      <c r="X709" s="4">
        <v>0.7741</v>
      </c>
      <c r="AA709" s="4" t="s">
        <v>838</v>
      </c>
      <c r="AE709" s="4" t="s">
        <v>839</v>
      </c>
      <c r="AF709" s="4" t="s">
        <v>840</v>
      </c>
      <c r="AG709" s="4" t="s">
        <v>841</v>
      </c>
      <c r="AH709" s="4" t="s">
        <v>842</v>
      </c>
      <c r="AL709" s="4" t="s">
        <v>843</v>
      </c>
      <c r="AM709" s="4">
        <v>5.6</v>
      </c>
      <c r="AQ709" s="4" t="s">
        <v>844</v>
      </c>
      <c r="AR709" s="4">
        <v>4000</v>
      </c>
      <c r="BD709" s="4" t="s">
        <v>845</v>
      </c>
      <c r="BI709" s="4" t="s">
        <v>320</v>
      </c>
      <c r="BN709" s="4">
        <v>1</v>
      </c>
      <c r="BS709" s="4">
        <v>5.5</v>
      </c>
      <c r="BT709" s="4">
        <v>5.5</v>
      </c>
      <c r="BU709" s="4">
        <v>250</v>
      </c>
      <c r="BV709" s="4">
        <v>120</v>
      </c>
      <c r="CB709" s="4" t="s">
        <v>463</v>
      </c>
      <c r="CC709" s="4" t="s">
        <v>850</v>
      </c>
      <c r="DB709" s="4" t="s">
        <v>430</v>
      </c>
      <c r="DD709" s="4">
        <v>52.45</v>
      </c>
      <c r="DE709" s="4">
        <v>54.2</v>
      </c>
      <c r="DO709" s="4">
        <v>3</v>
      </c>
      <c r="HX709" s="29">
        <v>52.45</v>
      </c>
      <c r="HY709" s="1">
        <v>0</v>
      </c>
    </row>
    <row r="710" customHeight="1" spans="1:313">
      <c r="A710" s="3">
        <v>23</v>
      </c>
      <c r="B710" s="4" t="s">
        <v>835</v>
      </c>
      <c r="C710" s="5" t="s">
        <v>836</v>
      </c>
      <c r="D710" s="4" t="s">
        <v>300</v>
      </c>
      <c r="E710" s="4" t="s">
        <v>837</v>
      </c>
      <c r="I710" s="4" t="s">
        <v>512</v>
      </c>
      <c r="J710" s="4">
        <v>0</v>
      </c>
      <c r="N710" s="4" t="s">
        <v>567</v>
      </c>
      <c r="O710" s="4" t="s">
        <v>502</v>
      </c>
      <c r="P710" s="4">
        <v>4</v>
      </c>
      <c r="T710" s="4">
        <v>40.1</v>
      </c>
      <c r="X710" s="4">
        <v>0.7741</v>
      </c>
      <c r="AA710" s="4" t="s">
        <v>838</v>
      </c>
      <c r="AE710" s="4" t="s">
        <v>839</v>
      </c>
      <c r="AF710" s="4" t="s">
        <v>840</v>
      </c>
      <c r="AG710" s="4" t="s">
        <v>841</v>
      </c>
      <c r="AH710" s="4" t="s">
        <v>848</v>
      </c>
      <c r="AL710" s="4" t="s">
        <v>849</v>
      </c>
      <c r="AM710" s="4">
        <v>6.1</v>
      </c>
      <c r="AQ710" s="4" t="s">
        <v>519</v>
      </c>
      <c r="AR710" s="4">
        <v>16000</v>
      </c>
      <c r="BD710" s="4" t="s">
        <v>845</v>
      </c>
      <c r="BI710" s="4" t="s">
        <v>320</v>
      </c>
      <c r="BN710" s="4">
        <v>1</v>
      </c>
      <c r="BS710" s="4">
        <v>5.5</v>
      </c>
      <c r="BT710" s="4">
        <v>5.5</v>
      </c>
      <c r="BU710" s="4">
        <v>250</v>
      </c>
      <c r="BV710" s="4">
        <v>120</v>
      </c>
      <c r="CB710" s="4" t="s">
        <v>496</v>
      </c>
      <c r="CC710" s="4" t="s">
        <v>851</v>
      </c>
      <c r="DB710" s="4" t="s">
        <v>430</v>
      </c>
      <c r="DD710" s="4">
        <v>131.77</v>
      </c>
      <c r="DE710" s="4">
        <v>128</v>
      </c>
      <c r="DO710" s="4">
        <v>3</v>
      </c>
      <c r="FP710" s="1">
        <v>131.77</v>
      </c>
      <c r="FQ710" s="1">
        <v>0</v>
      </c>
    </row>
    <row r="711" customHeight="1" spans="1:313">
      <c r="A711" s="3">
        <v>23</v>
      </c>
      <c r="B711" s="4" t="s">
        <v>835</v>
      </c>
      <c r="C711" s="5" t="s">
        <v>852</v>
      </c>
      <c r="D711" s="4" t="s">
        <v>300</v>
      </c>
      <c r="E711" s="4" t="s">
        <v>837</v>
      </c>
      <c r="G711" s="4" t="s">
        <v>853</v>
      </c>
      <c r="J711" s="4">
        <v>60</v>
      </c>
      <c r="N711" s="4" t="s">
        <v>567</v>
      </c>
      <c r="O711" s="4" t="s">
        <v>502</v>
      </c>
      <c r="P711" s="4">
        <v>4</v>
      </c>
      <c r="T711" s="4">
        <v>194</v>
      </c>
      <c r="X711" s="4">
        <v>0.7804</v>
      </c>
      <c r="AA711" s="4" t="s">
        <v>854</v>
      </c>
      <c r="AE711" s="4" t="s">
        <v>855</v>
      </c>
      <c r="AF711" s="4" t="s">
        <v>840</v>
      </c>
      <c r="AG711" s="4" t="s">
        <v>841</v>
      </c>
      <c r="AH711" s="4" t="s">
        <v>842</v>
      </c>
      <c r="AL711" s="4" t="s">
        <v>843</v>
      </c>
      <c r="AM711" s="4">
        <v>5.6</v>
      </c>
      <c r="AQ711" s="4" t="s">
        <v>844</v>
      </c>
      <c r="AR711" s="4">
        <v>4000</v>
      </c>
      <c r="BD711" s="4" t="s">
        <v>845</v>
      </c>
      <c r="BI711" s="4" t="s">
        <v>320</v>
      </c>
      <c r="BN711" s="4">
        <v>1</v>
      </c>
      <c r="BS711" s="4">
        <v>5.5</v>
      </c>
      <c r="BT711" s="4" t="s">
        <v>512</v>
      </c>
      <c r="BU711" s="4">
        <v>550</v>
      </c>
      <c r="CB711" s="4" t="s">
        <v>463</v>
      </c>
      <c r="CC711" s="4">
        <v>6.538</v>
      </c>
      <c r="CV711" s="4">
        <v>10</v>
      </c>
      <c r="CW711" s="4">
        <v>8.95</v>
      </c>
      <c r="CX711" s="4" t="s">
        <v>314</v>
      </c>
      <c r="DO711" s="4">
        <v>3</v>
      </c>
      <c r="KZ711" s="1" t="s">
        <v>14</v>
      </c>
      <c r="LA711" s="1" t="s">
        <v>856</v>
      </c>
    </row>
    <row r="712" customHeight="1" spans="1:313">
      <c r="A712" s="3">
        <v>23</v>
      </c>
      <c r="B712" s="4" t="s">
        <v>835</v>
      </c>
      <c r="C712" s="5" t="s">
        <v>852</v>
      </c>
      <c r="D712" s="4" t="s">
        <v>300</v>
      </c>
      <c r="E712" s="4" t="s">
        <v>837</v>
      </c>
      <c r="G712" s="4" t="s">
        <v>853</v>
      </c>
      <c r="J712" s="4">
        <v>60</v>
      </c>
      <c r="N712" s="4" t="s">
        <v>567</v>
      </c>
      <c r="O712" s="4" t="s">
        <v>502</v>
      </c>
      <c r="P712" s="4">
        <v>4</v>
      </c>
      <c r="T712" s="4">
        <v>194</v>
      </c>
      <c r="X712" s="4">
        <v>0.7804</v>
      </c>
      <c r="AA712" s="4" t="s">
        <v>854</v>
      </c>
      <c r="AE712" s="4" t="s">
        <v>855</v>
      </c>
      <c r="AF712" s="4" t="s">
        <v>840</v>
      </c>
      <c r="AG712" s="4" t="s">
        <v>841</v>
      </c>
      <c r="AH712" s="4" t="s">
        <v>848</v>
      </c>
      <c r="AL712" s="4" t="s">
        <v>849</v>
      </c>
      <c r="AM712" s="4">
        <v>6.1</v>
      </c>
      <c r="AQ712" s="4" t="s">
        <v>519</v>
      </c>
      <c r="AR712" s="4">
        <v>16000</v>
      </c>
      <c r="BD712" s="4" t="s">
        <v>845</v>
      </c>
      <c r="BI712" s="4" t="s">
        <v>320</v>
      </c>
      <c r="BN712" s="4">
        <v>1</v>
      </c>
      <c r="BS712" s="4">
        <v>6.7</v>
      </c>
      <c r="BT712" s="4" t="s">
        <v>512</v>
      </c>
      <c r="BU712" s="4">
        <v>550</v>
      </c>
      <c r="CB712" s="4" t="s">
        <v>496</v>
      </c>
      <c r="CC712" s="4">
        <v>7.49216</v>
      </c>
      <c r="CV712" s="4">
        <v>120</v>
      </c>
      <c r="CW712" s="4">
        <v>8.95</v>
      </c>
      <c r="CX712" s="4" t="s">
        <v>314</v>
      </c>
      <c r="DO712" s="4">
        <v>3</v>
      </c>
      <c r="KZ712" s="1" t="s">
        <v>424</v>
      </c>
      <c r="LA712" s="1" t="s">
        <v>856</v>
      </c>
    </row>
    <row r="713" customHeight="1" spans="1:313">
      <c r="A713" s="3">
        <v>23</v>
      </c>
      <c r="B713" s="4" t="s">
        <v>835</v>
      </c>
      <c r="C713" s="5" t="s">
        <v>852</v>
      </c>
      <c r="D713" s="4" t="s">
        <v>300</v>
      </c>
      <c r="E713" s="4" t="s">
        <v>837</v>
      </c>
      <c r="G713" s="4" t="s">
        <v>853</v>
      </c>
      <c r="J713" s="4">
        <v>60</v>
      </c>
      <c r="N713" s="4" t="s">
        <v>567</v>
      </c>
      <c r="O713" s="4" t="s">
        <v>502</v>
      </c>
      <c r="P713" s="4">
        <v>4</v>
      </c>
      <c r="T713" s="4">
        <v>194</v>
      </c>
      <c r="X713" s="4">
        <v>0.7804</v>
      </c>
      <c r="AA713" s="4" t="s">
        <v>854</v>
      </c>
      <c r="AE713" s="4" t="s">
        <v>855</v>
      </c>
      <c r="AF713" s="4" t="s">
        <v>840</v>
      </c>
      <c r="AG713" s="4" t="s">
        <v>841</v>
      </c>
      <c r="AH713" s="4" t="s">
        <v>842</v>
      </c>
      <c r="AL713" s="4" t="s">
        <v>843</v>
      </c>
      <c r="AM713" s="4">
        <v>5.6</v>
      </c>
      <c r="AQ713" s="4" t="s">
        <v>844</v>
      </c>
      <c r="AR713" s="4">
        <v>4000</v>
      </c>
      <c r="BD713" s="4" t="s">
        <v>845</v>
      </c>
      <c r="BI713" s="4" t="s">
        <v>320</v>
      </c>
      <c r="BN713" s="4">
        <v>1</v>
      </c>
      <c r="BS713" s="4">
        <v>5.5</v>
      </c>
      <c r="BT713" s="4">
        <v>5.5</v>
      </c>
      <c r="BU713" s="4">
        <v>550</v>
      </c>
      <c r="CB713" s="4" t="s">
        <v>463</v>
      </c>
      <c r="CC713" s="4">
        <v>6.538</v>
      </c>
      <c r="CV713" s="4">
        <v>10</v>
      </c>
      <c r="CX713" s="4" t="s">
        <v>314</v>
      </c>
      <c r="DO713" s="4">
        <v>3</v>
      </c>
    </row>
    <row r="714" customHeight="1" spans="1:313">
      <c r="A714" s="3">
        <v>23</v>
      </c>
      <c r="B714" s="4" t="s">
        <v>835</v>
      </c>
      <c r="C714" s="5" t="s">
        <v>852</v>
      </c>
      <c r="D714" s="4" t="s">
        <v>300</v>
      </c>
      <c r="E714" s="4" t="s">
        <v>837</v>
      </c>
      <c r="G714" s="4" t="s">
        <v>853</v>
      </c>
      <c r="J714" s="4">
        <v>60</v>
      </c>
      <c r="N714" s="4" t="s">
        <v>567</v>
      </c>
      <c r="O714" s="4" t="s">
        <v>502</v>
      </c>
      <c r="P714" s="4">
        <v>4</v>
      </c>
      <c r="T714" s="4">
        <v>194</v>
      </c>
      <c r="X714" s="4">
        <v>0.7804</v>
      </c>
      <c r="AA714" s="4" t="s">
        <v>854</v>
      </c>
      <c r="AE714" s="4" t="s">
        <v>855</v>
      </c>
      <c r="AF714" s="4" t="s">
        <v>840</v>
      </c>
      <c r="AG714" s="4" t="s">
        <v>841</v>
      </c>
      <c r="AH714" s="4" t="s">
        <v>848</v>
      </c>
      <c r="AL714" s="4" t="s">
        <v>849</v>
      </c>
      <c r="AM714" s="4">
        <v>6.1</v>
      </c>
      <c r="AQ714" s="4" t="s">
        <v>519</v>
      </c>
      <c r="AR714" s="4">
        <v>16000</v>
      </c>
      <c r="BD714" s="4" t="s">
        <v>845</v>
      </c>
      <c r="BI714" s="4" t="s">
        <v>320</v>
      </c>
      <c r="BN714" s="4">
        <v>1</v>
      </c>
      <c r="BS714" s="4">
        <v>5.5</v>
      </c>
      <c r="BT714" s="4">
        <v>5.5</v>
      </c>
      <c r="BU714" s="4">
        <v>550</v>
      </c>
      <c r="CB714" s="4" t="s">
        <v>496</v>
      </c>
      <c r="CC714" s="4">
        <v>7.49216</v>
      </c>
      <c r="CV714" s="4">
        <v>120</v>
      </c>
      <c r="CX714" s="4" t="s">
        <v>314</v>
      </c>
      <c r="DO714" s="4">
        <v>3</v>
      </c>
    </row>
    <row r="715" customHeight="1" spans="1:313">
      <c r="A715" s="3">
        <v>23</v>
      </c>
      <c r="B715" s="4" t="s">
        <v>835</v>
      </c>
      <c r="C715" s="5" t="s">
        <v>852</v>
      </c>
      <c r="D715" s="4" t="s">
        <v>300</v>
      </c>
      <c r="E715" s="4" t="s">
        <v>837</v>
      </c>
      <c r="G715" s="4" t="s">
        <v>853</v>
      </c>
      <c r="J715" s="4">
        <v>60</v>
      </c>
      <c r="N715" s="4" t="s">
        <v>567</v>
      </c>
      <c r="O715" s="4" t="s">
        <v>502</v>
      </c>
      <c r="P715" s="4">
        <v>4</v>
      </c>
      <c r="T715" s="4">
        <v>194</v>
      </c>
      <c r="X715" s="4">
        <v>0.7804</v>
      </c>
      <c r="AA715" s="4" t="s">
        <v>854</v>
      </c>
      <c r="AE715" s="4" t="s">
        <v>855</v>
      </c>
      <c r="AF715" s="4" t="s">
        <v>840</v>
      </c>
      <c r="AG715" s="4" t="s">
        <v>841</v>
      </c>
      <c r="AH715" s="4" t="s">
        <v>842</v>
      </c>
      <c r="AL715" s="4" t="s">
        <v>843</v>
      </c>
      <c r="AM715" s="4">
        <v>5.6</v>
      </c>
      <c r="AQ715" s="4" t="s">
        <v>844</v>
      </c>
      <c r="AR715" s="4">
        <v>4000</v>
      </c>
      <c r="BD715" s="4" t="s">
        <v>845</v>
      </c>
      <c r="BI715" s="4" t="s">
        <v>320</v>
      </c>
      <c r="BN715" s="4">
        <v>1</v>
      </c>
      <c r="BS715" s="4">
        <v>5.5</v>
      </c>
      <c r="BT715" s="4">
        <v>5.5</v>
      </c>
      <c r="BU715" s="4">
        <v>250</v>
      </c>
      <c r="BV715" s="4">
        <v>120</v>
      </c>
      <c r="CB715" s="4" t="s">
        <v>463</v>
      </c>
      <c r="CC715" s="4" t="s">
        <v>850</v>
      </c>
      <c r="DB715" s="4" t="s">
        <v>430</v>
      </c>
      <c r="DD715" s="4">
        <v>18.42</v>
      </c>
      <c r="DE715" s="4">
        <v>17.6</v>
      </c>
      <c r="DO715" s="4">
        <v>3</v>
      </c>
      <c r="HX715" s="29">
        <v>18.42</v>
      </c>
      <c r="HY715" s="1">
        <v>1.41</v>
      </c>
    </row>
    <row r="716" customHeight="1" spans="1:313">
      <c r="A716" s="3">
        <v>23</v>
      </c>
      <c r="B716" s="4" t="s">
        <v>835</v>
      </c>
      <c r="C716" s="5" t="s">
        <v>852</v>
      </c>
      <c r="D716" s="4" t="s">
        <v>300</v>
      </c>
      <c r="E716" s="4" t="s">
        <v>837</v>
      </c>
      <c r="G716" s="4" t="s">
        <v>853</v>
      </c>
      <c r="J716" s="4">
        <v>60</v>
      </c>
      <c r="N716" s="4" t="s">
        <v>567</v>
      </c>
      <c r="O716" s="4" t="s">
        <v>502</v>
      </c>
      <c r="P716" s="4">
        <v>4</v>
      </c>
      <c r="T716" s="4">
        <v>194</v>
      </c>
      <c r="X716" s="4">
        <v>0.7804</v>
      </c>
      <c r="AA716" s="4" t="s">
        <v>854</v>
      </c>
      <c r="AE716" s="4" t="s">
        <v>855</v>
      </c>
      <c r="AF716" s="4" t="s">
        <v>840</v>
      </c>
      <c r="AG716" s="4" t="s">
        <v>841</v>
      </c>
      <c r="AH716" s="4" t="s">
        <v>848</v>
      </c>
      <c r="AL716" s="4" t="s">
        <v>849</v>
      </c>
      <c r="AM716" s="4">
        <v>6.1</v>
      </c>
      <c r="AQ716" s="4" t="s">
        <v>519</v>
      </c>
      <c r="AR716" s="4">
        <v>16000</v>
      </c>
      <c r="BD716" s="4" t="s">
        <v>845</v>
      </c>
      <c r="BI716" s="4" t="s">
        <v>320</v>
      </c>
      <c r="BN716" s="4">
        <v>1</v>
      </c>
      <c r="BS716" s="4">
        <v>5.5</v>
      </c>
      <c r="BT716" s="4">
        <v>5.5</v>
      </c>
      <c r="BU716" s="4">
        <v>250</v>
      </c>
      <c r="BV716" s="4">
        <v>120</v>
      </c>
      <c r="CB716" s="4" t="s">
        <v>496</v>
      </c>
      <c r="CC716" s="4" t="s">
        <v>851</v>
      </c>
      <c r="DB716" s="4" t="s">
        <v>430</v>
      </c>
      <c r="DD716" s="4">
        <v>60.45</v>
      </c>
      <c r="DE716" s="4">
        <v>66</v>
      </c>
      <c r="DO716" s="4">
        <v>3</v>
      </c>
      <c r="EZ716" s="29"/>
      <c r="FP716" s="1">
        <v>60.45</v>
      </c>
      <c r="FQ716" s="1">
        <v>2.56</v>
      </c>
    </row>
    <row r="717" customHeight="1" spans="1:313">
      <c r="A717" s="3">
        <v>23</v>
      </c>
      <c r="B717" s="4" t="s">
        <v>835</v>
      </c>
      <c r="C717" s="5" t="s">
        <v>852</v>
      </c>
      <c r="D717" s="4" t="s">
        <v>300</v>
      </c>
      <c r="E717" s="4" t="s">
        <v>837</v>
      </c>
      <c r="G717" s="4" t="s">
        <v>853</v>
      </c>
      <c r="J717" s="4">
        <v>60</v>
      </c>
      <c r="N717" s="4" t="s">
        <v>567</v>
      </c>
      <c r="O717" s="4" t="s">
        <v>502</v>
      </c>
      <c r="P717" s="4">
        <v>4</v>
      </c>
      <c r="T717" s="4">
        <v>194</v>
      </c>
      <c r="X717" s="4">
        <v>0.7804</v>
      </c>
      <c r="AA717" s="4" t="s">
        <v>854</v>
      </c>
      <c r="AE717" s="4" t="s">
        <v>855</v>
      </c>
      <c r="AF717" s="4" t="s">
        <v>840</v>
      </c>
      <c r="AG717" s="4" t="s">
        <v>841</v>
      </c>
      <c r="AH717" s="4" t="s">
        <v>842</v>
      </c>
      <c r="AL717" s="4" t="s">
        <v>843</v>
      </c>
      <c r="AM717" s="4">
        <v>5.6</v>
      </c>
      <c r="AQ717" s="4" t="s">
        <v>844</v>
      </c>
      <c r="AR717" s="4">
        <v>4000</v>
      </c>
      <c r="BD717" s="4" t="s">
        <v>845</v>
      </c>
      <c r="BI717" s="4" t="s">
        <v>320</v>
      </c>
      <c r="BN717" s="4">
        <v>1</v>
      </c>
      <c r="BR717" s="4">
        <v>0.001</v>
      </c>
      <c r="BS717" s="4">
        <v>3.5</v>
      </c>
      <c r="BU717" s="4">
        <v>250</v>
      </c>
      <c r="BV717" s="4">
        <v>120</v>
      </c>
      <c r="CB717" s="4" t="s">
        <v>463</v>
      </c>
      <c r="CC717" s="4">
        <v>6.538</v>
      </c>
      <c r="DO717" s="4">
        <v>3</v>
      </c>
      <c r="IB717" s="4">
        <v>5.15</v>
      </c>
      <c r="IE717" s="4">
        <v>5.15</v>
      </c>
    </row>
    <row r="718" customHeight="1" spans="1:313">
      <c r="A718" s="3">
        <v>23</v>
      </c>
      <c r="B718" s="4" t="s">
        <v>835</v>
      </c>
      <c r="C718" s="5" t="s">
        <v>852</v>
      </c>
      <c r="D718" s="4" t="s">
        <v>300</v>
      </c>
      <c r="E718" s="4" t="s">
        <v>837</v>
      </c>
      <c r="G718" s="4" t="s">
        <v>853</v>
      </c>
      <c r="J718" s="4">
        <v>60</v>
      </c>
      <c r="N718" s="4" t="s">
        <v>567</v>
      </c>
      <c r="O718" s="4" t="s">
        <v>502</v>
      </c>
      <c r="P718" s="4">
        <v>4</v>
      </c>
      <c r="T718" s="4">
        <v>194</v>
      </c>
      <c r="X718" s="4">
        <v>0.7804</v>
      </c>
      <c r="AA718" s="4" t="s">
        <v>854</v>
      </c>
      <c r="AE718" s="4" t="s">
        <v>855</v>
      </c>
      <c r="AF718" s="4" t="s">
        <v>840</v>
      </c>
      <c r="AG718" s="4" t="s">
        <v>841</v>
      </c>
      <c r="AH718" s="4" t="s">
        <v>842</v>
      </c>
      <c r="AL718" s="4" t="s">
        <v>843</v>
      </c>
      <c r="AM718" s="4">
        <v>5.6</v>
      </c>
      <c r="AQ718" s="4" t="s">
        <v>844</v>
      </c>
      <c r="AR718" s="4">
        <v>4000</v>
      </c>
      <c r="BD718" s="4" t="s">
        <v>845</v>
      </c>
      <c r="BI718" s="4" t="s">
        <v>320</v>
      </c>
      <c r="BN718" s="4">
        <v>1</v>
      </c>
      <c r="BR718" s="4">
        <v>0.001</v>
      </c>
      <c r="BS718" s="4">
        <v>4.5</v>
      </c>
      <c r="BU718" s="4">
        <v>250</v>
      </c>
      <c r="BV718" s="4">
        <v>120</v>
      </c>
      <c r="CB718" s="4" t="s">
        <v>463</v>
      </c>
      <c r="CC718" s="4">
        <v>6.538</v>
      </c>
      <c r="DO718" s="4">
        <v>3</v>
      </c>
      <c r="IB718" s="4">
        <v>35.45</v>
      </c>
      <c r="IE718" s="4">
        <v>35.45</v>
      </c>
    </row>
    <row r="719" customHeight="1" spans="1:313">
      <c r="A719" s="3">
        <v>23</v>
      </c>
      <c r="B719" s="4" t="s">
        <v>835</v>
      </c>
      <c r="C719" s="5" t="s">
        <v>852</v>
      </c>
      <c r="D719" s="4" t="s">
        <v>300</v>
      </c>
      <c r="E719" s="4" t="s">
        <v>837</v>
      </c>
      <c r="G719" s="4" t="s">
        <v>853</v>
      </c>
      <c r="J719" s="4">
        <v>60</v>
      </c>
      <c r="N719" s="4" t="s">
        <v>567</v>
      </c>
      <c r="O719" s="4" t="s">
        <v>502</v>
      </c>
      <c r="P719" s="4">
        <v>4</v>
      </c>
      <c r="T719" s="4">
        <v>194</v>
      </c>
      <c r="X719" s="4">
        <v>0.7804</v>
      </c>
      <c r="AA719" s="4" t="s">
        <v>854</v>
      </c>
      <c r="AE719" s="4" t="s">
        <v>855</v>
      </c>
      <c r="AF719" s="4" t="s">
        <v>840</v>
      </c>
      <c r="AG719" s="4" t="s">
        <v>841</v>
      </c>
      <c r="AH719" s="4" t="s">
        <v>842</v>
      </c>
      <c r="AL719" s="4" t="s">
        <v>843</v>
      </c>
      <c r="AM719" s="4">
        <v>5.6</v>
      </c>
      <c r="AQ719" s="4" t="s">
        <v>844</v>
      </c>
      <c r="AR719" s="4">
        <v>4000</v>
      </c>
      <c r="BD719" s="4" t="s">
        <v>845</v>
      </c>
      <c r="BI719" s="4" t="s">
        <v>320</v>
      </c>
      <c r="BN719" s="4">
        <v>1</v>
      </c>
      <c r="BR719" s="4">
        <v>0.001</v>
      </c>
      <c r="BS719" s="4">
        <v>5.5</v>
      </c>
      <c r="BU719" s="4">
        <v>250</v>
      </c>
      <c r="BV719" s="4">
        <v>120</v>
      </c>
      <c r="CB719" s="4" t="s">
        <v>463</v>
      </c>
      <c r="CC719" s="4">
        <v>6.538</v>
      </c>
      <c r="DO719" s="4">
        <v>3</v>
      </c>
      <c r="IB719" s="4">
        <v>72.24</v>
      </c>
      <c r="IE719" s="4">
        <v>72.24</v>
      </c>
    </row>
    <row r="720" customHeight="1" spans="1:313">
      <c r="A720" s="3">
        <v>23</v>
      </c>
      <c r="B720" s="4" t="s">
        <v>835</v>
      </c>
      <c r="C720" s="5" t="s">
        <v>852</v>
      </c>
      <c r="D720" s="4" t="s">
        <v>300</v>
      </c>
      <c r="E720" s="4" t="s">
        <v>837</v>
      </c>
      <c r="G720" s="4" t="s">
        <v>853</v>
      </c>
      <c r="J720" s="4">
        <v>60</v>
      </c>
      <c r="N720" s="4" t="s">
        <v>567</v>
      </c>
      <c r="O720" s="4" t="s">
        <v>502</v>
      </c>
      <c r="P720" s="4">
        <v>4</v>
      </c>
      <c r="T720" s="4">
        <v>194</v>
      </c>
      <c r="X720" s="4">
        <v>0.7804</v>
      </c>
      <c r="AA720" s="4" t="s">
        <v>854</v>
      </c>
      <c r="AE720" s="4" t="s">
        <v>855</v>
      </c>
      <c r="AF720" s="4" t="s">
        <v>840</v>
      </c>
      <c r="AG720" s="4" t="s">
        <v>841</v>
      </c>
      <c r="AH720" s="4" t="s">
        <v>842</v>
      </c>
      <c r="AL720" s="4" t="s">
        <v>843</v>
      </c>
      <c r="AM720" s="4">
        <v>5.6</v>
      </c>
      <c r="AQ720" s="4" t="s">
        <v>844</v>
      </c>
      <c r="AR720" s="4">
        <v>4000</v>
      </c>
      <c r="BD720" s="4" t="s">
        <v>845</v>
      </c>
      <c r="BI720" s="4" t="s">
        <v>320</v>
      </c>
      <c r="BN720" s="4">
        <v>1</v>
      </c>
      <c r="BR720" s="4">
        <v>0.001</v>
      </c>
      <c r="BS720" s="4">
        <v>6.5</v>
      </c>
      <c r="BU720" s="4">
        <v>250</v>
      </c>
      <c r="BV720" s="4">
        <v>120</v>
      </c>
      <c r="CB720" s="4" t="s">
        <v>463</v>
      </c>
      <c r="CC720" s="4">
        <v>6.538</v>
      </c>
      <c r="DO720" s="4">
        <v>3</v>
      </c>
      <c r="IB720" s="4">
        <v>94.84</v>
      </c>
      <c r="IE720" s="4">
        <v>94.84</v>
      </c>
    </row>
    <row r="721" customHeight="1" spans="1:239">
      <c r="A721" s="3">
        <v>23</v>
      </c>
      <c r="B721" s="4" t="s">
        <v>835</v>
      </c>
      <c r="C721" s="5" t="s">
        <v>852</v>
      </c>
      <c r="D721" s="4" t="s">
        <v>300</v>
      </c>
      <c r="E721" s="4" t="s">
        <v>837</v>
      </c>
      <c r="G721" s="4" t="s">
        <v>853</v>
      </c>
      <c r="J721" s="4">
        <v>60</v>
      </c>
      <c r="N721" s="4" t="s">
        <v>567</v>
      </c>
      <c r="O721" s="4" t="s">
        <v>502</v>
      </c>
      <c r="P721" s="4">
        <v>4</v>
      </c>
      <c r="T721" s="4">
        <v>194</v>
      </c>
      <c r="X721" s="4">
        <v>0.7804</v>
      </c>
      <c r="AA721" s="4" t="s">
        <v>854</v>
      </c>
      <c r="AE721" s="4" t="s">
        <v>855</v>
      </c>
      <c r="AF721" s="4" t="s">
        <v>840</v>
      </c>
      <c r="AG721" s="4" t="s">
        <v>841</v>
      </c>
      <c r="AH721" s="4" t="s">
        <v>842</v>
      </c>
      <c r="AL721" s="4" t="s">
        <v>843</v>
      </c>
      <c r="AM721" s="4">
        <v>5.6</v>
      </c>
      <c r="AQ721" s="4" t="s">
        <v>844</v>
      </c>
      <c r="AR721" s="4">
        <v>4000</v>
      </c>
      <c r="BD721" s="4" t="s">
        <v>845</v>
      </c>
      <c r="BI721" s="4" t="s">
        <v>320</v>
      </c>
      <c r="BN721" s="4">
        <v>1</v>
      </c>
      <c r="BR721" s="4">
        <v>0.001</v>
      </c>
      <c r="BS721" s="4">
        <v>7.5</v>
      </c>
      <c r="BU721" s="4">
        <v>250</v>
      </c>
      <c r="BV721" s="4">
        <v>120</v>
      </c>
      <c r="CB721" s="4" t="s">
        <v>463</v>
      </c>
      <c r="CC721" s="4">
        <v>6.538</v>
      </c>
      <c r="DO721" s="4">
        <v>3</v>
      </c>
      <c r="IB721" s="4">
        <v>97.27</v>
      </c>
      <c r="IE721" s="4">
        <v>97.27</v>
      </c>
    </row>
    <row r="722" customHeight="1" spans="1:239">
      <c r="A722" s="3">
        <v>23</v>
      </c>
      <c r="B722" s="4" t="s">
        <v>835</v>
      </c>
      <c r="C722" s="5" t="s">
        <v>852</v>
      </c>
      <c r="D722" s="4" t="s">
        <v>300</v>
      </c>
      <c r="E722" s="4" t="s">
        <v>837</v>
      </c>
      <c r="G722" s="4" t="s">
        <v>853</v>
      </c>
      <c r="J722" s="4">
        <v>60</v>
      </c>
      <c r="N722" s="4" t="s">
        <v>567</v>
      </c>
      <c r="O722" s="4" t="s">
        <v>502</v>
      </c>
      <c r="P722" s="4">
        <v>4</v>
      </c>
      <c r="T722" s="4">
        <v>194</v>
      </c>
      <c r="X722" s="4">
        <v>0.7804</v>
      </c>
      <c r="AA722" s="4" t="s">
        <v>854</v>
      </c>
      <c r="AE722" s="4" t="s">
        <v>855</v>
      </c>
      <c r="AF722" s="4" t="s">
        <v>840</v>
      </c>
      <c r="AG722" s="4" t="s">
        <v>841</v>
      </c>
      <c r="AH722" s="4" t="s">
        <v>842</v>
      </c>
      <c r="AL722" s="4" t="s">
        <v>843</v>
      </c>
      <c r="AM722" s="4">
        <v>5.6</v>
      </c>
      <c r="AQ722" s="4" t="s">
        <v>844</v>
      </c>
      <c r="AR722" s="4">
        <v>4000</v>
      </c>
      <c r="BD722" s="4" t="s">
        <v>845</v>
      </c>
      <c r="BI722" s="4" t="s">
        <v>320</v>
      </c>
      <c r="BN722" s="4">
        <v>1</v>
      </c>
      <c r="BR722" s="4">
        <v>0.001</v>
      </c>
      <c r="BS722" s="4">
        <v>8.5</v>
      </c>
      <c r="BU722" s="4">
        <v>250</v>
      </c>
      <c r="BV722" s="4">
        <v>120</v>
      </c>
      <c r="CB722" s="4" t="s">
        <v>463</v>
      </c>
      <c r="CC722" s="4">
        <v>6.538</v>
      </c>
      <c r="DO722" s="4">
        <v>3</v>
      </c>
      <c r="IB722" s="4">
        <v>99.09</v>
      </c>
      <c r="IE722" s="4">
        <v>99.09</v>
      </c>
    </row>
    <row r="723" customHeight="1" spans="1:239">
      <c r="A723" s="3">
        <v>23</v>
      </c>
      <c r="B723" s="4" t="s">
        <v>835</v>
      </c>
      <c r="C723" s="5" t="s">
        <v>852</v>
      </c>
      <c r="D723" s="4" t="s">
        <v>300</v>
      </c>
      <c r="E723" s="4" t="s">
        <v>837</v>
      </c>
      <c r="G723" s="4" t="s">
        <v>853</v>
      </c>
      <c r="J723" s="4">
        <v>60</v>
      </c>
      <c r="N723" s="4" t="s">
        <v>567</v>
      </c>
      <c r="O723" s="4" t="s">
        <v>502</v>
      </c>
      <c r="P723" s="4">
        <v>4</v>
      </c>
      <c r="T723" s="4">
        <v>194</v>
      </c>
      <c r="X723" s="4">
        <v>0.7804</v>
      </c>
      <c r="AA723" s="4" t="s">
        <v>854</v>
      </c>
      <c r="AE723" s="4" t="s">
        <v>855</v>
      </c>
      <c r="AF723" s="4" t="s">
        <v>840</v>
      </c>
      <c r="AG723" s="4" t="s">
        <v>841</v>
      </c>
      <c r="AH723" s="4" t="s">
        <v>848</v>
      </c>
      <c r="AL723" s="4" t="s">
        <v>849</v>
      </c>
      <c r="AM723" s="4">
        <v>6.1</v>
      </c>
      <c r="AQ723" s="4" t="s">
        <v>519</v>
      </c>
      <c r="AR723" s="4">
        <v>16000</v>
      </c>
      <c r="BD723" s="4" t="s">
        <v>845</v>
      </c>
      <c r="BI723" s="4" t="s">
        <v>320</v>
      </c>
      <c r="BN723" s="4">
        <v>1</v>
      </c>
      <c r="BR723" s="4">
        <v>0.001</v>
      </c>
      <c r="BS723" s="4">
        <v>5.5</v>
      </c>
      <c r="BU723" s="4">
        <v>250</v>
      </c>
      <c r="BV723" s="4">
        <v>120</v>
      </c>
      <c r="CB723" s="4" t="s">
        <v>496</v>
      </c>
      <c r="CC723" s="4">
        <v>7.49216</v>
      </c>
      <c r="DO723" s="4">
        <v>3</v>
      </c>
      <c r="FE723" s="4">
        <v>99.68</v>
      </c>
    </row>
    <row r="724" customHeight="1" spans="1:239">
      <c r="A724" s="3">
        <v>23</v>
      </c>
      <c r="B724" s="4" t="s">
        <v>835</v>
      </c>
      <c r="C724" s="5" t="s">
        <v>852</v>
      </c>
      <c r="D724" s="4" t="s">
        <v>300</v>
      </c>
      <c r="E724" s="4" t="s">
        <v>837</v>
      </c>
      <c r="G724" s="4" t="s">
        <v>853</v>
      </c>
      <c r="J724" s="4">
        <v>60</v>
      </c>
      <c r="N724" s="4" t="s">
        <v>567</v>
      </c>
      <c r="O724" s="4" t="s">
        <v>502</v>
      </c>
      <c r="P724" s="4">
        <v>4</v>
      </c>
      <c r="T724" s="4">
        <v>194</v>
      </c>
      <c r="X724" s="4">
        <v>0.7804</v>
      </c>
      <c r="AA724" s="4" t="s">
        <v>854</v>
      </c>
      <c r="AE724" s="4" t="s">
        <v>855</v>
      </c>
      <c r="AF724" s="4" t="s">
        <v>840</v>
      </c>
      <c r="AG724" s="4" t="s">
        <v>841</v>
      </c>
      <c r="AH724" s="4" t="s">
        <v>848</v>
      </c>
      <c r="AL724" s="4" t="s">
        <v>849</v>
      </c>
      <c r="AM724" s="4">
        <v>6.1</v>
      </c>
      <c r="AQ724" s="4" t="s">
        <v>519</v>
      </c>
      <c r="AR724" s="4">
        <v>16000</v>
      </c>
      <c r="BD724" s="4" t="s">
        <v>845</v>
      </c>
      <c r="BI724" s="4" t="s">
        <v>320</v>
      </c>
      <c r="BN724" s="4">
        <v>1</v>
      </c>
      <c r="BR724" s="4">
        <v>0.001</v>
      </c>
      <c r="BS724" s="4">
        <v>6.5</v>
      </c>
      <c r="BU724" s="4">
        <v>250</v>
      </c>
      <c r="BV724" s="4">
        <v>120</v>
      </c>
      <c r="CB724" s="4" t="s">
        <v>496</v>
      </c>
      <c r="CC724" s="4">
        <v>7.49216</v>
      </c>
      <c r="DO724" s="4">
        <v>3</v>
      </c>
      <c r="FE724" s="4">
        <v>99.05</v>
      </c>
    </row>
    <row r="725" customHeight="1" spans="1:239">
      <c r="A725" s="3">
        <v>23</v>
      </c>
      <c r="B725" s="4" t="s">
        <v>835</v>
      </c>
      <c r="C725" s="5" t="s">
        <v>852</v>
      </c>
      <c r="D725" s="4" t="s">
        <v>300</v>
      </c>
      <c r="E725" s="4" t="s">
        <v>837</v>
      </c>
      <c r="G725" s="4" t="s">
        <v>853</v>
      </c>
      <c r="J725" s="4">
        <v>60</v>
      </c>
      <c r="N725" s="4" t="s">
        <v>567</v>
      </c>
      <c r="O725" s="4" t="s">
        <v>502</v>
      </c>
      <c r="P725" s="4">
        <v>4</v>
      </c>
      <c r="T725" s="4">
        <v>194</v>
      </c>
      <c r="X725" s="4">
        <v>0.7804</v>
      </c>
      <c r="AA725" s="4" t="s">
        <v>854</v>
      </c>
      <c r="AE725" s="4" t="s">
        <v>855</v>
      </c>
      <c r="AF725" s="4" t="s">
        <v>840</v>
      </c>
      <c r="AG725" s="4" t="s">
        <v>841</v>
      </c>
      <c r="AH725" s="4" t="s">
        <v>848</v>
      </c>
      <c r="AL725" s="4" t="s">
        <v>849</v>
      </c>
      <c r="AM725" s="4">
        <v>6.1</v>
      </c>
      <c r="AQ725" s="4" t="s">
        <v>519</v>
      </c>
      <c r="AR725" s="4">
        <v>16000</v>
      </c>
      <c r="BD725" s="4" t="s">
        <v>845</v>
      </c>
      <c r="BI725" s="4" t="s">
        <v>320</v>
      </c>
      <c r="BN725" s="4">
        <v>1</v>
      </c>
      <c r="BR725" s="4">
        <v>0.001</v>
      </c>
      <c r="BS725" s="4">
        <v>7.5</v>
      </c>
      <c r="BU725" s="4">
        <v>250</v>
      </c>
      <c r="BV725" s="4">
        <v>120</v>
      </c>
      <c r="CB725" s="4" t="s">
        <v>496</v>
      </c>
      <c r="CC725" s="4">
        <v>7.49216</v>
      </c>
      <c r="DO725" s="4">
        <v>3</v>
      </c>
      <c r="FE725" s="4">
        <v>99.37</v>
      </c>
    </row>
    <row r="726" customHeight="1" spans="1:239">
      <c r="A726" s="3">
        <v>23</v>
      </c>
      <c r="B726" s="4" t="s">
        <v>835</v>
      </c>
      <c r="C726" s="5" t="s">
        <v>852</v>
      </c>
      <c r="D726" s="4" t="s">
        <v>300</v>
      </c>
      <c r="E726" s="4" t="s">
        <v>837</v>
      </c>
      <c r="G726" s="4" t="s">
        <v>853</v>
      </c>
      <c r="J726" s="4">
        <v>60</v>
      </c>
      <c r="N726" s="4" t="s">
        <v>567</v>
      </c>
      <c r="O726" s="4" t="s">
        <v>502</v>
      </c>
      <c r="P726" s="4">
        <v>4</v>
      </c>
      <c r="T726" s="4">
        <v>194</v>
      </c>
      <c r="X726" s="4">
        <v>0.7804</v>
      </c>
      <c r="AA726" s="4" t="s">
        <v>854</v>
      </c>
      <c r="AE726" s="4" t="s">
        <v>855</v>
      </c>
      <c r="AF726" s="4" t="s">
        <v>840</v>
      </c>
      <c r="AG726" s="4" t="s">
        <v>841</v>
      </c>
      <c r="AH726" s="4" t="s">
        <v>848</v>
      </c>
      <c r="AL726" s="4" t="s">
        <v>849</v>
      </c>
      <c r="AM726" s="4">
        <v>6.1</v>
      </c>
      <c r="AQ726" s="4" t="s">
        <v>519</v>
      </c>
      <c r="AR726" s="4">
        <v>16000</v>
      </c>
      <c r="BD726" s="4" t="s">
        <v>845</v>
      </c>
      <c r="BI726" s="4" t="s">
        <v>320</v>
      </c>
      <c r="BN726" s="4">
        <v>1</v>
      </c>
      <c r="BR726" s="4">
        <v>0.001</v>
      </c>
      <c r="BS726" s="4">
        <v>8.5</v>
      </c>
      <c r="BU726" s="4">
        <v>250</v>
      </c>
      <c r="BV726" s="4">
        <v>120</v>
      </c>
      <c r="CB726" s="4" t="s">
        <v>496</v>
      </c>
      <c r="CC726" s="4">
        <v>7.49216</v>
      </c>
      <c r="DO726" s="4">
        <v>3</v>
      </c>
      <c r="FE726" s="4">
        <v>73.33</v>
      </c>
    </row>
    <row r="727" customHeight="1" spans="1:239">
      <c r="A727" s="3">
        <v>23</v>
      </c>
      <c r="B727" s="4" t="s">
        <v>835</v>
      </c>
      <c r="C727" s="5" t="s">
        <v>852</v>
      </c>
      <c r="D727" s="4" t="s">
        <v>300</v>
      </c>
      <c r="E727" s="4" t="s">
        <v>837</v>
      </c>
      <c r="G727" s="4" t="s">
        <v>853</v>
      </c>
      <c r="J727" s="4">
        <v>60</v>
      </c>
      <c r="N727" s="4" t="s">
        <v>567</v>
      </c>
      <c r="O727" s="4" t="s">
        <v>502</v>
      </c>
      <c r="P727" s="4">
        <v>4</v>
      </c>
      <c r="T727" s="4">
        <v>194</v>
      </c>
      <c r="X727" s="4">
        <v>0.7804</v>
      </c>
      <c r="AA727" s="4" t="s">
        <v>854</v>
      </c>
      <c r="AE727" s="4" t="s">
        <v>855</v>
      </c>
      <c r="AF727" s="4" t="s">
        <v>840</v>
      </c>
      <c r="AG727" s="4" t="s">
        <v>841</v>
      </c>
      <c r="AH727" s="4" t="s">
        <v>848</v>
      </c>
      <c r="AL727" s="4" t="s">
        <v>849</v>
      </c>
      <c r="AM727" s="4">
        <v>6.1</v>
      </c>
      <c r="AQ727" s="4" t="s">
        <v>519</v>
      </c>
      <c r="AR727" s="4">
        <v>16000</v>
      </c>
      <c r="BD727" s="4" t="s">
        <v>845</v>
      </c>
      <c r="BI727" s="4" t="s">
        <v>320</v>
      </c>
      <c r="BN727" s="4">
        <v>1</v>
      </c>
      <c r="BR727" s="4">
        <v>0.001</v>
      </c>
      <c r="BS727" s="4">
        <v>9.5</v>
      </c>
      <c r="BU727" s="4">
        <v>250</v>
      </c>
      <c r="BV727" s="4">
        <v>120</v>
      </c>
      <c r="CB727" s="4" t="s">
        <v>496</v>
      </c>
      <c r="CC727" s="4">
        <v>7.49216</v>
      </c>
      <c r="DO727" s="4">
        <v>3</v>
      </c>
      <c r="FE727" s="4">
        <v>46.03</v>
      </c>
    </row>
    <row r="728" customHeight="1" spans="1:239">
      <c r="A728" s="3">
        <v>23</v>
      </c>
      <c r="B728" s="4" t="s">
        <v>835</v>
      </c>
      <c r="C728" s="5" t="s">
        <v>852</v>
      </c>
      <c r="D728" s="4" t="s">
        <v>300</v>
      </c>
      <c r="E728" s="4" t="s">
        <v>837</v>
      </c>
      <c r="G728" s="4" t="s">
        <v>853</v>
      </c>
      <c r="J728" s="4">
        <v>60</v>
      </c>
      <c r="N728" s="4" t="s">
        <v>567</v>
      </c>
      <c r="O728" s="4" t="s">
        <v>502</v>
      </c>
      <c r="P728" s="4">
        <v>4</v>
      </c>
      <c r="T728" s="4">
        <v>194</v>
      </c>
      <c r="X728" s="4">
        <v>0.7804</v>
      </c>
      <c r="AA728" s="4" t="s">
        <v>854</v>
      </c>
      <c r="AE728" s="4" t="s">
        <v>855</v>
      </c>
      <c r="AF728" s="4" t="s">
        <v>840</v>
      </c>
      <c r="AG728" s="4" t="s">
        <v>841</v>
      </c>
      <c r="AH728" s="4" t="s">
        <v>842</v>
      </c>
      <c r="AL728" s="4" t="s">
        <v>843</v>
      </c>
      <c r="AM728" s="4">
        <v>5.6</v>
      </c>
      <c r="AQ728" s="4" t="s">
        <v>844</v>
      </c>
      <c r="AR728" s="4">
        <v>4000</v>
      </c>
      <c r="BD728" s="4" t="s">
        <v>845</v>
      </c>
      <c r="BI728" s="4" t="s">
        <v>320</v>
      </c>
      <c r="BN728" s="4">
        <v>1</v>
      </c>
      <c r="BR728" s="4">
        <v>0.01</v>
      </c>
      <c r="BS728" s="4">
        <v>3.5</v>
      </c>
      <c r="BU728" s="4">
        <v>250</v>
      </c>
      <c r="BV728" s="4">
        <v>120</v>
      </c>
      <c r="CB728" s="4" t="s">
        <v>463</v>
      </c>
      <c r="CC728" s="4">
        <v>6.538</v>
      </c>
      <c r="DO728" s="4">
        <v>3</v>
      </c>
      <c r="IB728" s="4">
        <v>11.82</v>
      </c>
      <c r="IE728" s="4">
        <v>11.82</v>
      </c>
    </row>
    <row r="729" customHeight="1" spans="1:239">
      <c r="A729" s="3">
        <v>23</v>
      </c>
      <c r="B729" s="4" t="s">
        <v>835</v>
      </c>
      <c r="C729" s="5" t="s">
        <v>852</v>
      </c>
      <c r="D729" s="4" t="s">
        <v>300</v>
      </c>
      <c r="E729" s="4" t="s">
        <v>837</v>
      </c>
      <c r="G729" s="4" t="s">
        <v>853</v>
      </c>
      <c r="J729" s="4">
        <v>60</v>
      </c>
      <c r="N729" s="4" t="s">
        <v>567</v>
      </c>
      <c r="O729" s="4" t="s">
        <v>502</v>
      </c>
      <c r="P729" s="4">
        <v>4</v>
      </c>
      <c r="T729" s="4">
        <v>194</v>
      </c>
      <c r="X729" s="4">
        <v>0.7804</v>
      </c>
      <c r="AA729" s="4" t="s">
        <v>854</v>
      </c>
      <c r="AE729" s="4" t="s">
        <v>855</v>
      </c>
      <c r="AF729" s="4" t="s">
        <v>840</v>
      </c>
      <c r="AG729" s="4" t="s">
        <v>841</v>
      </c>
      <c r="AH729" s="4" t="s">
        <v>842</v>
      </c>
      <c r="AL729" s="4" t="s">
        <v>843</v>
      </c>
      <c r="AM729" s="4">
        <v>5.6</v>
      </c>
      <c r="AQ729" s="4" t="s">
        <v>844</v>
      </c>
      <c r="AR729" s="4">
        <v>4000</v>
      </c>
      <c r="BD729" s="4" t="s">
        <v>845</v>
      </c>
      <c r="BI729" s="4" t="s">
        <v>320</v>
      </c>
      <c r="BN729" s="4">
        <v>1</v>
      </c>
      <c r="BR729" s="4">
        <v>0.01</v>
      </c>
      <c r="BS729" s="4">
        <v>4.5</v>
      </c>
      <c r="BU729" s="4">
        <v>250</v>
      </c>
      <c r="BV729" s="4">
        <v>120</v>
      </c>
      <c r="CB729" s="4" t="s">
        <v>463</v>
      </c>
      <c r="CC729" s="4">
        <v>6.538</v>
      </c>
      <c r="DO729" s="4">
        <v>3</v>
      </c>
      <c r="IB729" s="4">
        <v>34.55</v>
      </c>
      <c r="IE729" s="4">
        <v>34.55</v>
      </c>
    </row>
    <row r="730" customHeight="1" spans="1:239">
      <c r="A730" s="3">
        <v>23</v>
      </c>
      <c r="B730" s="4" t="s">
        <v>835</v>
      </c>
      <c r="C730" s="5" t="s">
        <v>852</v>
      </c>
      <c r="D730" s="4" t="s">
        <v>300</v>
      </c>
      <c r="E730" s="4" t="s">
        <v>837</v>
      </c>
      <c r="G730" s="4" t="s">
        <v>853</v>
      </c>
      <c r="J730" s="4">
        <v>60</v>
      </c>
      <c r="N730" s="4" t="s">
        <v>567</v>
      </c>
      <c r="O730" s="4" t="s">
        <v>502</v>
      </c>
      <c r="P730" s="4">
        <v>4</v>
      </c>
      <c r="T730" s="4">
        <v>194</v>
      </c>
      <c r="X730" s="4">
        <v>0.7804</v>
      </c>
      <c r="AA730" s="4" t="s">
        <v>854</v>
      </c>
      <c r="AE730" s="4" t="s">
        <v>855</v>
      </c>
      <c r="AF730" s="4" t="s">
        <v>840</v>
      </c>
      <c r="AG730" s="4" t="s">
        <v>841</v>
      </c>
      <c r="AH730" s="4" t="s">
        <v>842</v>
      </c>
      <c r="AL730" s="4" t="s">
        <v>843</v>
      </c>
      <c r="AM730" s="4">
        <v>5.6</v>
      </c>
      <c r="AQ730" s="4" t="s">
        <v>844</v>
      </c>
      <c r="AR730" s="4">
        <v>4000</v>
      </c>
      <c r="BD730" s="4" t="s">
        <v>845</v>
      </c>
      <c r="BI730" s="4" t="s">
        <v>320</v>
      </c>
      <c r="BN730" s="4">
        <v>1</v>
      </c>
      <c r="BR730" s="4">
        <v>0.01</v>
      </c>
      <c r="BS730" s="4">
        <v>5.5</v>
      </c>
      <c r="BU730" s="4">
        <v>250</v>
      </c>
      <c r="BV730" s="4">
        <v>120</v>
      </c>
      <c r="CB730" s="4" t="s">
        <v>463</v>
      </c>
      <c r="CC730" s="4">
        <v>6.538</v>
      </c>
      <c r="DO730" s="4">
        <v>3</v>
      </c>
      <c r="IB730" s="4">
        <v>65.45</v>
      </c>
      <c r="IE730" s="4">
        <v>65.45</v>
      </c>
    </row>
    <row r="731" customHeight="1" spans="1:239">
      <c r="A731" s="3">
        <v>23</v>
      </c>
      <c r="B731" s="4" t="s">
        <v>835</v>
      </c>
      <c r="C731" s="5" t="s">
        <v>852</v>
      </c>
      <c r="D731" s="4" t="s">
        <v>300</v>
      </c>
      <c r="E731" s="4" t="s">
        <v>837</v>
      </c>
      <c r="G731" s="4" t="s">
        <v>853</v>
      </c>
      <c r="J731" s="4">
        <v>60</v>
      </c>
      <c r="N731" s="4" t="s">
        <v>567</v>
      </c>
      <c r="O731" s="4" t="s">
        <v>502</v>
      </c>
      <c r="P731" s="4">
        <v>4</v>
      </c>
      <c r="T731" s="4">
        <v>194</v>
      </c>
      <c r="X731" s="4">
        <v>0.7804</v>
      </c>
      <c r="AA731" s="4" t="s">
        <v>854</v>
      </c>
      <c r="AE731" s="4" t="s">
        <v>855</v>
      </c>
      <c r="AF731" s="4" t="s">
        <v>840</v>
      </c>
      <c r="AG731" s="4" t="s">
        <v>841</v>
      </c>
      <c r="AH731" s="4" t="s">
        <v>842</v>
      </c>
      <c r="AL731" s="4" t="s">
        <v>843</v>
      </c>
      <c r="AM731" s="4">
        <v>5.6</v>
      </c>
      <c r="AQ731" s="4" t="s">
        <v>844</v>
      </c>
      <c r="AR731" s="4">
        <v>4000</v>
      </c>
      <c r="BD731" s="4" t="s">
        <v>845</v>
      </c>
      <c r="BI731" s="4" t="s">
        <v>320</v>
      </c>
      <c r="BN731" s="4">
        <v>1</v>
      </c>
      <c r="BR731" s="4">
        <v>0.01</v>
      </c>
      <c r="BS731" s="4">
        <v>6.5</v>
      </c>
      <c r="BU731" s="4">
        <v>250</v>
      </c>
      <c r="BV731" s="4">
        <v>120</v>
      </c>
      <c r="CB731" s="4" t="s">
        <v>463</v>
      </c>
      <c r="CC731" s="4">
        <v>6.538</v>
      </c>
      <c r="DO731" s="4">
        <v>3</v>
      </c>
      <c r="IB731" s="4">
        <v>94.84</v>
      </c>
      <c r="IE731" s="4">
        <v>94.84</v>
      </c>
    </row>
    <row r="732" customHeight="1" spans="1:239">
      <c r="A732" s="3">
        <v>23</v>
      </c>
      <c r="B732" s="4" t="s">
        <v>835</v>
      </c>
      <c r="C732" s="5" t="s">
        <v>852</v>
      </c>
      <c r="D732" s="4" t="s">
        <v>300</v>
      </c>
      <c r="E732" s="4" t="s">
        <v>837</v>
      </c>
      <c r="G732" s="4" t="s">
        <v>853</v>
      </c>
      <c r="J732" s="4">
        <v>60</v>
      </c>
      <c r="N732" s="4" t="s">
        <v>567</v>
      </c>
      <c r="O732" s="4" t="s">
        <v>502</v>
      </c>
      <c r="P732" s="4">
        <v>4</v>
      </c>
      <c r="T732" s="4">
        <v>194</v>
      </c>
      <c r="X732" s="4">
        <v>0.7804</v>
      </c>
      <c r="AA732" s="4" t="s">
        <v>854</v>
      </c>
      <c r="AE732" s="4" t="s">
        <v>855</v>
      </c>
      <c r="AF732" s="4" t="s">
        <v>840</v>
      </c>
      <c r="AG732" s="4" t="s">
        <v>841</v>
      </c>
      <c r="AH732" s="4" t="s">
        <v>842</v>
      </c>
      <c r="AL732" s="4" t="s">
        <v>843</v>
      </c>
      <c r="AM732" s="4">
        <v>5.6</v>
      </c>
      <c r="AQ732" s="4" t="s">
        <v>844</v>
      </c>
      <c r="AR732" s="4">
        <v>4000</v>
      </c>
      <c r="BD732" s="4" t="s">
        <v>845</v>
      </c>
      <c r="BI732" s="4" t="s">
        <v>320</v>
      </c>
      <c r="BN732" s="4">
        <v>1</v>
      </c>
      <c r="BR732" s="4">
        <v>0.01</v>
      </c>
      <c r="BS732" s="4">
        <v>7.5</v>
      </c>
      <c r="BU732" s="4">
        <v>250</v>
      </c>
      <c r="BV732" s="4">
        <v>120</v>
      </c>
      <c r="CB732" s="4" t="s">
        <v>463</v>
      </c>
      <c r="CC732" s="4">
        <v>6.538</v>
      </c>
      <c r="DO732" s="4">
        <v>3</v>
      </c>
      <c r="IB732" s="4">
        <v>99.1</v>
      </c>
      <c r="IE732" s="4">
        <v>99.1</v>
      </c>
    </row>
    <row r="733" customHeight="1" spans="1:239">
      <c r="A733" s="3">
        <v>23</v>
      </c>
      <c r="B733" s="4" t="s">
        <v>835</v>
      </c>
      <c r="C733" s="5" t="s">
        <v>852</v>
      </c>
      <c r="D733" s="4" t="s">
        <v>300</v>
      </c>
      <c r="E733" s="4" t="s">
        <v>837</v>
      </c>
      <c r="G733" s="4" t="s">
        <v>853</v>
      </c>
      <c r="J733" s="4">
        <v>60</v>
      </c>
      <c r="N733" s="4" t="s">
        <v>567</v>
      </c>
      <c r="O733" s="4" t="s">
        <v>502</v>
      </c>
      <c r="P733" s="4">
        <v>4</v>
      </c>
      <c r="T733" s="4">
        <v>194</v>
      </c>
      <c r="X733" s="4">
        <v>0.7804</v>
      </c>
      <c r="AA733" s="4" t="s">
        <v>854</v>
      </c>
      <c r="AE733" s="4" t="s">
        <v>855</v>
      </c>
      <c r="AF733" s="4" t="s">
        <v>840</v>
      </c>
      <c r="AG733" s="4" t="s">
        <v>841</v>
      </c>
      <c r="AH733" s="4" t="s">
        <v>842</v>
      </c>
      <c r="AL733" s="4" t="s">
        <v>843</v>
      </c>
      <c r="AM733" s="4">
        <v>5.6</v>
      </c>
      <c r="AQ733" s="4" t="s">
        <v>844</v>
      </c>
      <c r="AR733" s="4">
        <v>4000</v>
      </c>
      <c r="BD733" s="4" t="s">
        <v>845</v>
      </c>
      <c r="BI733" s="4" t="s">
        <v>320</v>
      </c>
      <c r="BN733" s="4">
        <v>1</v>
      </c>
      <c r="BR733" s="4">
        <v>0.01</v>
      </c>
      <c r="BS733" s="4">
        <v>8.5</v>
      </c>
      <c r="BU733" s="4">
        <v>250</v>
      </c>
      <c r="BV733" s="4">
        <v>120</v>
      </c>
      <c r="CB733" s="4" t="s">
        <v>463</v>
      </c>
      <c r="CC733" s="4">
        <v>6.538</v>
      </c>
      <c r="DO733" s="4">
        <v>3</v>
      </c>
      <c r="IB733" s="4">
        <v>100</v>
      </c>
      <c r="IE733" s="4">
        <v>100</v>
      </c>
    </row>
    <row r="734" customHeight="1" spans="1:239">
      <c r="A734" s="3">
        <v>23</v>
      </c>
      <c r="B734" s="4" t="s">
        <v>835</v>
      </c>
      <c r="C734" s="5" t="s">
        <v>852</v>
      </c>
      <c r="D734" s="4" t="s">
        <v>300</v>
      </c>
      <c r="E734" s="4" t="s">
        <v>837</v>
      </c>
      <c r="G734" s="4" t="s">
        <v>853</v>
      </c>
      <c r="J734" s="4">
        <v>60</v>
      </c>
      <c r="N734" s="4" t="s">
        <v>567</v>
      </c>
      <c r="O734" s="4" t="s">
        <v>502</v>
      </c>
      <c r="P734" s="4">
        <v>4</v>
      </c>
      <c r="T734" s="4">
        <v>194</v>
      </c>
      <c r="X734" s="4">
        <v>0.7804</v>
      </c>
      <c r="AA734" s="4" t="s">
        <v>854</v>
      </c>
      <c r="AE734" s="4" t="s">
        <v>855</v>
      </c>
      <c r="AF734" s="4" t="s">
        <v>840</v>
      </c>
      <c r="AG734" s="4" t="s">
        <v>841</v>
      </c>
      <c r="AH734" s="4" t="s">
        <v>848</v>
      </c>
      <c r="AL734" s="4" t="s">
        <v>849</v>
      </c>
      <c r="AM734" s="4">
        <v>6.1</v>
      </c>
      <c r="AQ734" s="4" t="s">
        <v>519</v>
      </c>
      <c r="AR734" s="4">
        <v>16000</v>
      </c>
      <c r="BD734" s="4" t="s">
        <v>845</v>
      </c>
      <c r="BI734" s="4" t="s">
        <v>320</v>
      </c>
      <c r="BN734" s="4">
        <v>1</v>
      </c>
      <c r="BR734" s="4">
        <v>0.01</v>
      </c>
      <c r="BS734" s="4">
        <v>5.5</v>
      </c>
      <c r="BU734" s="4">
        <v>250</v>
      </c>
      <c r="BV734" s="4">
        <v>120</v>
      </c>
      <c r="CB734" s="4" t="s">
        <v>496</v>
      </c>
      <c r="CC734" s="4">
        <v>7.49216</v>
      </c>
      <c r="DO734" s="4">
        <v>3</v>
      </c>
      <c r="FE734" s="4">
        <v>99.68</v>
      </c>
    </row>
    <row r="735" customHeight="1" spans="1:239">
      <c r="A735" s="3">
        <v>23</v>
      </c>
      <c r="B735" s="4" t="s">
        <v>835</v>
      </c>
      <c r="C735" s="5" t="s">
        <v>852</v>
      </c>
      <c r="D735" s="4" t="s">
        <v>300</v>
      </c>
      <c r="E735" s="4" t="s">
        <v>837</v>
      </c>
      <c r="G735" s="4" t="s">
        <v>853</v>
      </c>
      <c r="J735" s="4">
        <v>60</v>
      </c>
      <c r="N735" s="4" t="s">
        <v>567</v>
      </c>
      <c r="O735" s="4" t="s">
        <v>502</v>
      </c>
      <c r="P735" s="4">
        <v>4</v>
      </c>
      <c r="T735" s="4">
        <v>194</v>
      </c>
      <c r="X735" s="4">
        <v>0.7804</v>
      </c>
      <c r="AA735" s="4" t="s">
        <v>854</v>
      </c>
      <c r="AE735" s="4" t="s">
        <v>855</v>
      </c>
      <c r="AF735" s="4" t="s">
        <v>840</v>
      </c>
      <c r="AG735" s="4" t="s">
        <v>841</v>
      </c>
      <c r="AH735" s="4" t="s">
        <v>848</v>
      </c>
      <c r="AL735" s="4" t="s">
        <v>849</v>
      </c>
      <c r="AM735" s="4">
        <v>6.1</v>
      </c>
      <c r="AQ735" s="4" t="s">
        <v>519</v>
      </c>
      <c r="AR735" s="4">
        <v>16000</v>
      </c>
      <c r="BD735" s="4" t="s">
        <v>845</v>
      </c>
      <c r="BI735" s="4" t="s">
        <v>320</v>
      </c>
      <c r="BN735" s="4">
        <v>1</v>
      </c>
      <c r="BR735" s="4">
        <v>0.01</v>
      </c>
      <c r="BS735" s="4">
        <v>6.5</v>
      </c>
      <c r="BU735" s="4">
        <v>250</v>
      </c>
      <c r="BV735" s="4">
        <v>120</v>
      </c>
      <c r="CB735" s="4" t="s">
        <v>496</v>
      </c>
      <c r="CC735" s="4">
        <v>7.49216</v>
      </c>
      <c r="DO735" s="4">
        <v>3</v>
      </c>
      <c r="FE735" s="4">
        <v>99.68</v>
      </c>
    </row>
    <row r="736" customHeight="1" spans="1:239">
      <c r="A736" s="3">
        <v>23</v>
      </c>
      <c r="B736" s="4" t="s">
        <v>835</v>
      </c>
      <c r="C736" s="5" t="s">
        <v>852</v>
      </c>
      <c r="D736" s="4" t="s">
        <v>300</v>
      </c>
      <c r="E736" s="4" t="s">
        <v>837</v>
      </c>
      <c r="G736" s="4" t="s">
        <v>853</v>
      </c>
      <c r="J736" s="4">
        <v>60</v>
      </c>
      <c r="N736" s="4" t="s">
        <v>567</v>
      </c>
      <c r="O736" s="4" t="s">
        <v>502</v>
      </c>
      <c r="P736" s="4">
        <v>4</v>
      </c>
      <c r="T736" s="4">
        <v>194</v>
      </c>
      <c r="X736" s="4">
        <v>0.7804</v>
      </c>
      <c r="AA736" s="4" t="s">
        <v>854</v>
      </c>
      <c r="AE736" s="4" t="s">
        <v>855</v>
      </c>
      <c r="AF736" s="4" t="s">
        <v>840</v>
      </c>
      <c r="AG736" s="4" t="s">
        <v>841</v>
      </c>
      <c r="AH736" s="4" t="s">
        <v>848</v>
      </c>
      <c r="AL736" s="4" t="s">
        <v>849</v>
      </c>
      <c r="AM736" s="4">
        <v>6.1</v>
      </c>
      <c r="AQ736" s="4" t="s">
        <v>519</v>
      </c>
      <c r="AR736" s="4">
        <v>16000</v>
      </c>
      <c r="BD736" s="4" t="s">
        <v>845</v>
      </c>
      <c r="BI736" s="4" t="s">
        <v>320</v>
      </c>
      <c r="BN736" s="4">
        <v>1</v>
      </c>
      <c r="BR736" s="4">
        <v>0.01</v>
      </c>
      <c r="BS736" s="4">
        <v>7.5</v>
      </c>
      <c r="BU736" s="4">
        <v>250</v>
      </c>
      <c r="BV736" s="4">
        <v>120</v>
      </c>
      <c r="CB736" s="4" t="s">
        <v>496</v>
      </c>
      <c r="CC736" s="4">
        <v>7.49216</v>
      </c>
      <c r="DO736" s="4">
        <v>3</v>
      </c>
      <c r="FE736" s="4">
        <v>97.78</v>
      </c>
    </row>
    <row r="737" customHeight="1" spans="1:239">
      <c r="A737" s="3">
        <v>23</v>
      </c>
      <c r="B737" s="4" t="s">
        <v>835</v>
      </c>
      <c r="C737" s="5" t="s">
        <v>852</v>
      </c>
      <c r="D737" s="4" t="s">
        <v>300</v>
      </c>
      <c r="E737" s="4" t="s">
        <v>837</v>
      </c>
      <c r="G737" s="4" t="s">
        <v>853</v>
      </c>
      <c r="J737" s="4">
        <v>60</v>
      </c>
      <c r="N737" s="4" t="s">
        <v>567</v>
      </c>
      <c r="O737" s="4" t="s">
        <v>502</v>
      </c>
      <c r="P737" s="4">
        <v>4</v>
      </c>
      <c r="T737" s="4">
        <v>194</v>
      </c>
      <c r="X737" s="4">
        <v>0.7804</v>
      </c>
      <c r="AA737" s="4" t="s">
        <v>854</v>
      </c>
      <c r="AE737" s="4" t="s">
        <v>855</v>
      </c>
      <c r="AF737" s="4" t="s">
        <v>840</v>
      </c>
      <c r="AG737" s="4" t="s">
        <v>841</v>
      </c>
      <c r="AH737" s="4" t="s">
        <v>848</v>
      </c>
      <c r="AL737" s="4" t="s">
        <v>849</v>
      </c>
      <c r="AM737" s="4">
        <v>6.1</v>
      </c>
      <c r="AQ737" s="4" t="s">
        <v>519</v>
      </c>
      <c r="AR737" s="4">
        <v>16000</v>
      </c>
      <c r="BD737" s="4" t="s">
        <v>845</v>
      </c>
      <c r="BI737" s="4" t="s">
        <v>320</v>
      </c>
      <c r="BN737" s="4">
        <v>1</v>
      </c>
      <c r="BR737" s="4">
        <v>0.01</v>
      </c>
      <c r="BS737" s="4">
        <v>8.5</v>
      </c>
      <c r="BU737" s="4">
        <v>250</v>
      </c>
      <c r="BV737" s="4">
        <v>120</v>
      </c>
      <c r="CB737" s="4" t="s">
        <v>496</v>
      </c>
      <c r="CC737" s="4">
        <v>7.49216</v>
      </c>
      <c r="DO737" s="4">
        <v>3</v>
      </c>
      <c r="FE737" s="4">
        <v>80.95</v>
      </c>
    </row>
    <row r="738" customHeight="1" spans="1:239">
      <c r="A738" s="3">
        <v>23</v>
      </c>
      <c r="B738" s="4" t="s">
        <v>835</v>
      </c>
      <c r="C738" s="5" t="s">
        <v>852</v>
      </c>
      <c r="D738" s="4" t="s">
        <v>300</v>
      </c>
      <c r="E738" s="4" t="s">
        <v>837</v>
      </c>
      <c r="G738" s="4" t="s">
        <v>853</v>
      </c>
      <c r="J738" s="4">
        <v>60</v>
      </c>
      <c r="N738" s="4" t="s">
        <v>567</v>
      </c>
      <c r="O738" s="4" t="s">
        <v>502</v>
      </c>
      <c r="P738" s="4">
        <v>4</v>
      </c>
      <c r="T738" s="4">
        <v>194</v>
      </c>
      <c r="X738" s="4">
        <v>0.7804</v>
      </c>
      <c r="AA738" s="4" t="s">
        <v>854</v>
      </c>
      <c r="AE738" s="4" t="s">
        <v>855</v>
      </c>
      <c r="AF738" s="4" t="s">
        <v>840</v>
      </c>
      <c r="AG738" s="4" t="s">
        <v>841</v>
      </c>
      <c r="AH738" s="4" t="s">
        <v>848</v>
      </c>
      <c r="AL738" s="4" t="s">
        <v>849</v>
      </c>
      <c r="AM738" s="4">
        <v>6.1</v>
      </c>
      <c r="AQ738" s="4" t="s">
        <v>519</v>
      </c>
      <c r="AR738" s="4">
        <v>16000</v>
      </c>
      <c r="BD738" s="4" t="s">
        <v>845</v>
      </c>
      <c r="BI738" s="4" t="s">
        <v>320</v>
      </c>
      <c r="BN738" s="4">
        <v>1</v>
      </c>
      <c r="BR738" s="4">
        <v>0.01</v>
      </c>
      <c r="BS738" s="4">
        <v>9.5</v>
      </c>
      <c r="BU738" s="4">
        <v>250</v>
      </c>
      <c r="BV738" s="4">
        <v>120</v>
      </c>
      <c r="CB738" s="4" t="s">
        <v>496</v>
      </c>
      <c r="CC738" s="4">
        <v>7.49216</v>
      </c>
      <c r="DO738" s="4">
        <v>3</v>
      </c>
      <c r="FE738" s="4">
        <v>50.79</v>
      </c>
    </row>
    <row r="739" customHeight="1" spans="1:239">
      <c r="A739" s="3">
        <v>23</v>
      </c>
      <c r="B739" s="4" t="s">
        <v>835</v>
      </c>
      <c r="C739" s="5" t="s">
        <v>852</v>
      </c>
      <c r="D739" s="4" t="s">
        <v>300</v>
      </c>
      <c r="E739" s="4" t="s">
        <v>837</v>
      </c>
      <c r="G739" s="4" t="s">
        <v>853</v>
      </c>
      <c r="J739" s="4">
        <v>60</v>
      </c>
      <c r="N739" s="4" t="s">
        <v>567</v>
      </c>
      <c r="O739" s="4" t="s">
        <v>502</v>
      </c>
      <c r="P739" s="4">
        <v>4</v>
      </c>
      <c r="T739" s="4">
        <v>194</v>
      </c>
      <c r="X739" s="4">
        <v>0.7804</v>
      </c>
      <c r="AA739" s="4" t="s">
        <v>854</v>
      </c>
      <c r="AE739" s="4" t="s">
        <v>855</v>
      </c>
      <c r="AF739" s="4" t="s">
        <v>840</v>
      </c>
      <c r="AG739" s="4" t="s">
        <v>841</v>
      </c>
      <c r="AH739" s="4" t="s">
        <v>842</v>
      </c>
      <c r="AL739" s="4" t="s">
        <v>843</v>
      </c>
      <c r="AM739" s="4">
        <v>5.6</v>
      </c>
      <c r="AQ739" s="4" t="s">
        <v>844</v>
      </c>
      <c r="AR739" s="4">
        <v>4000</v>
      </c>
      <c r="BD739" s="4" t="s">
        <v>845</v>
      </c>
      <c r="BI739" s="4" t="s">
        <v>320</v>
      </c>
      <c r="BN739" s="4">
        <v>1</v>
      </c>
      <c r="BR739" s="4">
        <v>0.01</v>
      </c>
      <c r="BS739" s="4">
        <v>3.5</v>
      </c>
      <c r="BU739" s="4">
        <v>250</v>
      </c>
      <c r="BV739" s="4">
        <v>120</v>
      </c>
      <c r="CB739" s="4" t="s">
        <v>463</v>
      </c>
      <c r="CC739" s="4">
        <v>6.538</v>
      </c>
      <c r="DO739" s="4">
        <v>3</v>
      </c>
      <c r="IB739" s="4">
        <v>4.55</v>
      </c>
      <c r="IE739" s="4">
        <v>4.55</v>
      </c>
    </row>
    <row r="740" customHeight="1" spans="1:239">
      <c r="A740" s="3">
        <v>23</v>
      </c>
      <c r="B740" s="4" t="s">
        <v>835</v>
      </c>
      <c r="C740" s="5" t="s">
        <v>852</v>
      </c>
      <c r="D740" s="4" t="s">
        <v>300</v>
      </c>
      <c r="E740" s="4" t="s">
        <v>837</v>
      </c>
      <c r="G740" s="4" t="s">
        <v>853</v>
      </c>
      <c r="J740" s="4">
        <v>60</v>
      </c>
      <c r="N740" s="4" t="s">
        <v>567</v>
      </c>
      <c r="O740" s="4" t="s">
        <v>502</v>
      </c>
      <c r="P740" s="4">
        <v>4</v>
      </c>
      <c r="T740" s="4">
        <v>194</v>
      </c>
      <c r="X740" s="4">
        <v>0.7804</v>
      </c>
      <c r="AA740" s="4" t="s">
        <v>854</v>
      </c>
      <c r="AE740" s="4" t="s">
        <v>855</v>
      </c>
      <c r="AF740" s="4" t="s">
        <v>840</v>
      </c>
      <c r="AG740" s="4" t="s">
        <v>841</v>
      </c>
      <c r="AH740" s="4" t="s">
        <v>842</v>
      </c>
      <c r="AL740" s="4" t="s">
        <v>843</v>
      </c>
      <c r="AM740" s="4">
        <v>5.6</v>
      </c>
      <c r="AQ740" s="4" t="s">
        <v>844</v>
      </c>
      <c r="AR740" s="4">
        <v>4000</v>
      </c>
      <c r="BD740" s="4" t="s">
        <v>845</v>
      </c>
      <c r="BI740" s="4" t="s">
        <v>320</v>
      </c>
      <c r="BN740" s="4">
        <v>1</v>
      </c>
      <c r="BR740" s="4">
        <v>0.01</v>
      </c>
      <c r="BS740" s="4">
        <v>4.5</v>
      </c>
      <c r="BU740" s="4">
        <v>250</v>
      </c>
      <c r="BV740" s="4">
        <v>120</v>
      </c>
      <c r="CB740" s="4" t="s">
        <v>463</v>
      </c>
      <c r="CC740" s="4">
        <v>6.538</v>
      </c>
      <c r="DO740" s="4">
        <v>3</v>
      </c>
      <c r="IB740" s="4">
        <v>22.42</v>
      </c>
      <c r="IE740" s="4">
        <v>22.42</v>
      </c>
    </row>
    <row r="741" customHeight="1" spans="1:239">
      <c r="A741" s="3">
        <v>23</v>
      </c>
      <c r="B741" s="4" t="s">
        <v>835</v>
      </c>
      <c r="C741" s="5" t="s">
        <v>852</v>
      </c>
      <c r="D741" s="4" t="s">
        <v>300</v>
      </c>
      <c r="E741" s="4" t="s">
        <v>837</v>
      </c>
      <c r="G741" s="4" t="s">
        <v>853</v>
      </c>
      <c r="J741" s="4">
        <v>60</v>
      </c>
      <c r="N741" s="4" t="s">
        <v>567</v>
      </c>
      <c r="O741" s="4" t="s">
        <v>502</v>
      </c>
      <c r="P741" s="4">
        <v>4</v>
      </c>
      <c r="T741" s="4">
        <v>194</v>
      </c>
      <c r="X741" s="4">
        <v>0.7804</v>
      </c>
      <c r="AA741" s="4" t="s">
        <v>854</v>
      </c>
      <c r="AE741" s="4" t="s">
        <v>855</v>
      </c>
      <c r="AF741" s="4" t="s">
        <v>840</v>
      </c>
      <c r="AG741" s="4" t="s">
        <v>841</v>
      </c>
      <c r="AH741" s="4" t="s">
        <v>842</v>
      </c>
      <c r="AL741" s="4" t="s">
        <v>843</v>
      </c>
      <c r="AM741" s="4">
        <v>5.6</v>
      </c>
      <c r="AQ741" s="4" t="s">
        <v>844</v>
      </c>
      <c r="AR741" s="4">
        <v>4000</v>
      </c>
      <c r="BD741" s="4" t="s">
        <v>845</v>
      </c>
      <c r="BI741" s="4" t="s">
        <v>320</v>
      </c>
      <c r="BN741" s="4">
        <v>1</v>
      </c>
      <c r="BR741" s="4">
        <v>0.01</v>
      </c>
      <c r="BS741" s="4">
        <v>5.5</v>
      </c>
      <c r="BU741" s="4">
        <v>250</v>
      </c>
      <c r="BV741" s="4">
        <v>120</v>
      </c>
      <c r="CB741" s="4" t="s">
        <v>463</v>
      </c>
      <c r="CC741" s="4">
        <v>6.538</v>
      </c>
      <c r="DO741" s="4">
        <v>3</v>
      </c>
      <c r="IB741" s="4">
        <v>60</v>
      </c>
      <c r="IE741" s="4">
        <v>60</v>
      </c>
    </row>
    <row r="742" customHeight="1" spans="1:239">
      <c r="A742" s="3">
        <v>23</v>
      </c>
      <c r="B742" s="4" t="s">
        <v>835</v>
      </c>
      <c r="C742" s="5" t="s">
        <v>852</v>
      </c>
      <c r="D742" s="4" t="s">
        <v>300</v>
      </c>
      <c r="E742" s="4" t="s">
        <v>837</v>
      </c>
      <c r="G742" s="4" t="s">
        <v>853</v>
      </c>
      <c r="J742" s="4">
        <v>60</v>
      </c>
      <c r="N742" s="4" t="s">
        <v>567</v>
      </c>
      <c r="O742" s="4" t="s">
        <v>502</v>
      </c>
      <c r="P742" s="4">
        <v>4</v>
      </c>
      <c r="T742" s="4">
        <v>194</v>
      </c>
      <c r="X742" s="4">
        <v>0.7804</v>
      </c>
      <c r="AA742" s="4" t="s">
        <v>854</v>
      </c>
      <c r="AE742" s="4" t="s">
        <v>855</v>
      </c>
      <c r="AF742" s="4" t="s">
        <v>840</v>
      </c>
      <c r="AG742" s="4" t="s">
        <v>841</v>
      </c>
      <c r="AH742" s="4" t="s">
        <v>842</v>
      </c>
      <c r="AL742" s="4" t="s">
        <v>843</v>
      </c>
      <c r="AM742" s="4">
        <v>5.6</v>
      </c>
      <c r="AQ742" s="4" t="s">
        <v>844</v>
      </c>
      <c r="AR742" s="4">
        <v>4000</v>
      </c>
      <c r="BD742" s="4" t="s">
        <v>845</v>
      </c>
      <c r="BI742" s="4" t="s">
        <v>320</v>
      </c>
      <c r="BN742" s="4">
        <v>1</v>
      </c>
      <c r="BR742" s="4">
        <v>0.01</v>
      </c>
      <c r="BS742" s="4">
        <v>6.5</v>
      </c>
      <c r="BU742" s="4">
        <v>250</v>
      </c>
      <c r="BV742" s="4">
        <v>120</v>
      </c>
      <c r="CB742" s="4" t="s">
        <v>463</v>
      </c>
      <c r="CC742" s="4">
        <v>6.538</v>
      </c>
      <c r="DO742" s="4">
        <v>3</v>
      </c>
      <c r="IB742" s="4">
        <v>91.21</v>
      </c>
      <c r="IE742" s="4">
        <v>91.21</v>
      </c>
    </row>
    <row r="743" customHeight="1" spans="1:239">
      <c r="A743" s="3">
        <v>23</v>
      </c>
      <c r="B743" s="4" t="s">
        <v>835</v>
      </c>
      <c r="C743" s="5" t="s">
        <v>852</v>
      </c>
      <c r="D743" s="4" t="s">
        <v>300</v>
      </c>
      <c r="E743" s="4" t="s">
        <v>837</v>
      </c>
      <c r="G743" s="4" t="s">
        <v>853</v>
      </c>
      <c r="J743" s="4">
        <v>60</v>
      </c>
      <c r="N743" s="4" t="s">
        <v>567</v>
      </c>
      <c r="O743" s="4" t="s">
        <v>502</v>
      </c>
      <c r="P743" s="4">
        <v>4</v>
      </c>
      <c r="T743" s="4">
        <v>194</v>
      </c>
      <c r="X743" s="4">
        <v>0.7804</v>
      </c>
      <c r="AA743" s="4" t="s">
        <v>854</v>
      </c>
      <c r="AE743" s="4" t="s">
        <v>855</v>
      </c>
      <c r="AF743" s="4" t="s">
        <v>840</v>
      </c>
      <c r="AG743" s="4" t="s">
        <v>841</v>
      </c>
      <c r="AH743" s="4" t="s">
        <v>842</v>
      </c>
      <c r="AL743" s="4" t="s">
        <v>843</v>
      </c>
      <c r="AM743" s="4">
        <v>5.6</v>
      </c>
      <c r="AQ743" s="4" t="s">
        <v>844</v>
      </c>
      <c r="AR743" s="4">
        <v>4000</v>
      </c>
      <c r="BD743" s="4" t="s">
        <v>845</v>
      </c>
      <c r="BI743" s="4" t="s">
        <v>320</v>
      </c>
      <c r="BN743" s="4">
        <v>1</v>
      </c>
      <c r="BR743" s="4">
        <v>0.01</v>
      </c>
      <c r="BS743" s="4">
        <v>7.5</v>
      </c>
      <c r="BU743" s="4">
        <v>250</v>
      </c>
      <c r="BV743" s="4">
        <v>120</v>
      </c>
      <c r="CB743" s="4" t="s">
        <v>463</v>
      </c>
      <c r="CC743" s="4">
        <v>6.538</v>
      </c>
      <c r="DO743" s="4">
        <v>3</v>
      </c>
      <c r="IB743" s="4">
        <v>95.45</v>
      </c>
      <c r="IE743" s="4">
        <v>95.45</v>
      </c>
    </row>
    <row r="744" customHeight="1" spans="1:239">
      <c r="A744" s="3">
        <v>23</v>
      </c>
      <c r="B744" s="4" t="s">
        <v>835</v>
      </c>
      <c r="C744" s="5" t="s">
        <v>852</v>
      </c>
      <c r="D744" s="4" t="s">
        <v>300</v>
      </c>
      <c r="E744" s="4" t="s">
        <v>837</v>
      </c>
      <c r="G744" s="4" t="s">
        <v>853</v>
      </c>
      <c r="J744" s="4">
        <v>60</v>
      </c>
      <c r="N744" s="4" t="s">
        <v>567</v>
      </c>
      <c r="O744" s="4" t="s">
        <v>502</v>
      </c>
      <c r="P744" s="4">
        <v>4</v>
      </c>
      <c r="T744" s="4">
        <v>194</v>
      </c>
      <c r="X744" s="4">
        <v>0.7804</v>
      </c>
      <c r="AA744" s="4" t="s">
        <v>854</v>
      </c>
      <c r="AE744" s="4" t="s">
        <v>855</v>
      </c>
      <c r="AF744" s="4" t="s">
        <v>840</v>
      </c>
      <c r="AG744" s="4" t="s">
        <v>841</v>
      </c>
      <c r="AH744" s="4" t="s">
        <v>842</v>
      </c>
      <c r="AL744" s="4" t="s">
        <v>843</v>
      </c>
      <c r="AM744" s="4">
        <v>5.6</v>
      </c>
      <c r="AQ744" s="4" t="s">
        <v>844</v>
      </c>
      <c r="AR744" s="4">
        <v>4000</v>
      </c>
      <c r="BD744" s="4" t="s">
        <v>845</v>
      </c>
      <c r="BI744" s="4" t="s">
        <v>320</v>
      </c>
      <c r="BN744" s="4">
        <v>1</v>
      </c>
      <c r="BR744" s="4">
        <v>0.01</v>
      </c>
      <c r="BS744" s="4">
        <v>8.5</v>
      </c>
      <c r="BU744" s="4">
        <v>250</v>
      </c>
      <c r="BV744" s="4">
        <v>120</v>
      </c>
      <c r="CB744" s="4" t="s">
        <v>463</v>
      </c>
      <c r="CC744" s="4">
        <v>6.538</v>
      </c>
      <c r="DO744" s="4">
        <v>3</v>
      </c>
      <c r="IB744" s="4">
        <v>97.88</v>
      </c>
      <c r="IE744" s="4">
        <v>97.88</v>
      </c>
    </row>
    <row r="745" customHeight="1" spans="1:239">
      <c r="A745" s="3">
        <v>23</v>
      </c>
      <c r="B745" s="4" t="s">
        <v>835</v>
      </c>
      <c r="C745" s="5" t="s">
        <v>852</v>
      </c>
      <c r="D745" s="4" t="s">
        <v>300</v>
      </c>
      <c r="E745" s="4" t="s">
        <v>837</v>
      </c>
      <c r="G745" s="4" t="s">
        <v>853</v>
      </c>
      <c r="J745" s="4">
        <v>60</v>
      </c>
      <c r="N745" s="4" t="s">
        <v>567</v>
      </c>
      <c r="O745" s="4" t="s">
        <v>502</v>
      </c>
      <c r="P745" s="4">
        <v>4</v>
      </c>
      <c r="T745" s="4">
        <v>194</v>
      </c>
      <c r="X745" s="4">
        <v>0.7804</v>
      </c>
      <c r="AA745" s="4" t="s">
        <v>854</v>
      </c>
      <c r="AE745" s="4" t="s">
        <v>855</v>
      </c>
      <c r="AF745" s="4" t="s">
        <v>840</v>
      </c>
      <c r="AG745" s="4" t="s">
        <v>841</v>
      </c>
      <c r="AH745" s="4" t="s">
        <v>848</v>
      </c>
      <c r="AL745" s="4" t="s">
        <v>849</v>
      </c>
      <c r="AM745" s="4">
        <v>6.1</v>
      </c>
      <c r="AQ745" s="4" t="s">
        <v>519</v>
      </c>
      <c r="AR745" s="4">
        <v>16000</v>
      </c>
      <c r="BD745" s="4" t="s">
        <v>845</v>
      </c>
      <c r="BI745" s="4" t="s">
        <v>320</v>
      </c>
      <c r="BN745" s="4">
        <v>1</v>
      </c>
      <c r="BR745" s="4">
        <v>0.01</v>
      </c>
      <c r="BS745" s="4">
        <v>5.5</v>
      </c>
      <c r="BU745" s="4">
        <v>250</v>
      </c>
      <c r="BV745" s="4">
        <v>120</v>
      </c>
      <c r="CB745" s="4" t="s">
        <v>496</v>
      </c>
      <c r="CC745" s="4">
        <v>7.49216</v>
      </c>
      <c r="DO745" s="4">
        <v>3</v>
      </c>
      <c r="FE745" s="4">
        <v>99.68</v>
      </c>
    </row>
    <row r="746" customHeight="1" spans="1:239">
      <c r="A746" s="3">
        <v>23</v>
      </c>
      <c r="B746" s="4" t="s">
        <v>835</v>
      </c>
      <c r="C746" s="5" t="s">
        <v>852</v>
      </c>
      <c r="D746" s="4" t="s">
        <v>300</v>
      </c>
      <c r="E746" s="4" t="s">
        <v>837</v>
      </c>
      <c r="G746" s="4" t="s">
        <v>853</v>
      </c>
      <c r="J746" s="4">
        <v>60</v>
      </c>
      <c r="N746" s="4" t="s">
        <v>567</v>
      </c>
      <c r="O746" s="4" t="s">
        <v>502</v>
      </c>
      <c r="P746" s="4">
        <v>4</v>
      </c>
      <c r="T746" s="4">
        <v>194</v>
      </c>
      <c r="X746" s="4">
        <v>0.7804</v>
      </c>
      <c r="AA746" s="4" t="s">
        <v>854</v>
      </c>
      <c r="AE746" s="4" t="s">
        <v>855</v>
      </c>
      <c r="AF746" s="4" t="s">
        <v>840</v>
      </c>
      <c r="AG746" s="4" t="s">
        <v>841</v>
      </c>
      <c r="AH746" s="4" t="s">
        <v>848</v>
      </c>
      <c r="AL746" s="4" t="s">
        <v>849</v>
      </c>
      <c r="AM746" s="4">
        <v>6.1</v>
      </c>
      <c r="AQ746" s="4" t="s">
        <v>519</v>
      </c>
      <c r="AR746" s="4">
        <v>16000</v>
      </c>
      <c r="BD746" s="4" t="s">
        <v>845</v>
      </c>
      <c r="BI746" s="4" t="s">
        <v>320</v>
      </c>
      <c r="BN746" s="4">
        <v>1</v>
      </c>
      <c r="BR746" s="4">
        <v>0.01</v>
      </c>
      <c r="BS746" s="4">
        <v>6.5</v>
      </c>
      <c r="BU746" s="4">
        <v>250</v>
      </c>
      <c r="BV746" s="4">
        <v>120</v>
      </c>
      <c r="CB746" s="4" t="s">
        <v>496</v>
      </c>
      <c r="CC746" s="4">
        <v>7.49216</v>
      </c>
      <c r="DO746" s="4">
        <v>3</v>
      </c>
      <c r="FE746" s="4">
        <v>99.05</v>
      </c>
    </row>
    <row r="747" customHeight="1" spans="1:239">
      <c r="A747" s="3">
        <v>23</v>
      </c>
      <c r="B747" s="4" t="s">
        <v>835</v>
      </c>
      <c r="C747" s="5" t="s">
        <v>852</v>
      </c>
      <c r="D747" s="4" t="s">
        <v>300</v>
      </c>
      <c r="E747" s="4" t="s">
        <v>837</v>
      </c>
      <c r="G747" s="4" t="s">
        <v>853</v>
      </c>
      <c r="J747" s="4">
        <v>60</v>
      </c>
      <c r="N747" s="4" t="s">
        <v>567</v>
      </c>
      <c r="O747" s="4" t="s">
        <v>502</v>
      </c>
      <c r="P747" s="4">
        <v>4</v>
      </c>
      <c r="T747" s="4">
        <v>194</v>
      </c>
      <c r="X747" s="4">
        <v>0.7804</v>
      </c>
      <c r="AA747" s="4" t="s">
        <v>854</v>
      </c>
      <c r="AE747" s="4" t="s">
        <v>855</v>
      </c>
      <c r="AF747" s="4" t="s">
        <v>840</v>
      </c>
      <c r="AG747" s="4" t="s">
        <v>841</v>
      </c>
      <c r="AH747" s="4" t="s">
        <v>848</v>
      </c>
      <c r="AL747" s="4" t="s">
        <v>849</v>
      </c>
      <c r="AM747" s="4">
        <v>6.1</v>
      </c>
      <c r="AQ747" s="4" t="s">
        <v>519</v>
      </c>
      <c r="AR747" s="4">
        <v>16000</v>
      </c>
      <c r="BD747" s="4" t="s">
        <v>845</v>
      </c>
      <c r="BI747" s="4" t="s">
        <v>320</v>
      </c>
      <c r="BN747" s="4">
        <v>1</v>
      </c>
      <c r="BR747" s="4">
        <v>0.01</v>
      </c>
      <c r="BS747" s="4">
        <v>7.5</v>
      </c>
      <c r="BU747" s="4">
        <v>250</v>
      </c>
      <c r="BV747" s="4">
        <v>120</v>
      </c>
      <c r="CB747" s="4" t="s">
        <v>496</v>
      </c>
      <c r="CC747" s="4">
        <v>7.49216</v>
      </c>
      <c r="DO747" s="4">
        <v>3</v>
      </c>
      <c r="FE747" s="4">
        <v>91.43</v>
      </c>
    </row>
    <row r="748" customHeight="1" spans="1:239">
      <c r="A748" s="3">
        <v>23</v>
      </c>
      <c r="B748" s="4" t="s">
        <v>835</v>
      </c>
      <c r="C748" s="5" t="s">
        <v>852</v>
      </c>
      <c r="D748" s="4" t="s">
        <v>300</v>
      </c>
      <c r="E748" s="4" t="s">
        <v>837</v>
      </c>
      <c r="G748" s="4" t="s">
        <v>853</v>
      </c>
      <c r="J748" s="4">
        <v>60</v>
      </c>
      <c r="N748" s="4" t="s">
        <v>567</v>
      </c>
      <c r="O748" s="4" t="s">
        <v>502</v>
      </c>
      <c r="P748" s="4">
        <v>4</v>
      </c>
      <c r="T748" s="4">
        <v>194</v>
      </c>
      <c r="X748" s="4">
        <v>0.7804</v>
      </c>
      <c r="AA748" s="4" t="s">
        <v>854</v>
      </c>
      <c r="AE748" s="4" t="s">
        <v>855</v>
      </c>
      <c r="AF748" s="4" t="s">
        <v>840</v>
      </c>
      <c r="AG748" s="4" t="s">
        <v>841</v>
      </c>
      <c r="AH748" s="4" t="s">
        <v>848</v>
      </c>
      <c r="AL748" s="4" t="s">
        <v>849</v>
      </c>
      <c r="AM748" s="4">
        <v>6.1</v>
      </c>
      <c r="AQ748" s="4" t="s">
        <v>519</v>
      </c>
      <c r="AR748" s="4">
        <v>16000</v>
      </c>
      <c r="BD748" s="4" t="s">
        <v>845</v>
      </c>
      <c r="BI748" s="4" t="s">
        <v>320</v>
      </c>
      <c r="BN748" s="4">
        <v>1</v>
      </c>
      <c r="BR748" s="4">
        <v>0.01</v>
      </c>
      <c r="BS748" s="4">
        <v>8.5</v>
      </c>
      <c r="BU748" s="4">
        <v>250</v>
      </c>
      <c r="BV748" s="4">
        <v>120</v>
      </c>
      <c r="CB748" s="4" t="s">
        <v>496</v>
      </c>
      <c r="CC748" s="4">
        <v>7.49216</v>
      </c>
      <c r="DO748" s="4">
        <v>3</v>
      </c>
      <c r="FE748" s="4">
        <v>80.32</v>
      </c>
    </row>
    <row r="749" customHeight="1" spans="1:239">
      <c r="A749" s="3">
        <v>23</v>
      </c>
      <c r="B749" s="4" t="s">
        <v>835</v>
      </c>
      <c r="C749" s="5" t="s">
        <v>852</v>
      </c>
      <c r="D749" s="4" t="s">
        <v>300</v>
      </c>
      <c r="E749" s="4" t="s">
        <v>837</v>
      </c>
      <c r="G749" s="4" t="s">
        <v>853</v>
      </c>
      <c r="J749" s="4">
        <v>60</v>
      </c>
      <c r="N749" s="4" t="s">
        <v>567</v>
      </c>
      <c r="O749" s="4" t="s">
        <v>502</v>
      </c>
      <c r="P749" s="4">
        <v>4</v>
      </c>
      <c r="T749" s="4">
        <v>194</v>
      </c>
      <c r="X749" s="4">
        <v>0.7804</v>
      </c>
      <c r="AA749" s="4" t="s">
        <v>854</v>
      </c>
      <c r="AE749" s="4" t="s">
        <v>855</v>
      </c>
      <c r="AF749" s="4" t="s">
        <v>840</v>
      </c>
      <c r="AG749" s="4" t="s">
        <v>841</v>
      </c>
      <c r="AH749" s="4" t="s">
        <v>848</v>
      </c>
      <c r="AL749" s="4" t="s">
        <v>849</v>
      </c>
      <c r="AM749" s="4">
        <v>6.1</v>
      </c>
      <c r="AQ749" s="4" t="s">
        <v>519</v>
      </c>
      <c r="AR749" s="4">
        <v>16000</v>
      </c>
      <c r="BD749" s="4" t="s">
        <v>845</v>
      </c>
      <c r="BI749" s="4" t="s">
        <v>320</v>
      </c>
      <c r="BN749" s="4">
        <v>1</v>
      </c>
      <c r="BR749" s="4">
        <v>0.01</v>
      </c>
      <c r="BS749" s="4">
        <v>9.5</v>
      </c>
      <c r="BU749" s="4">
        <v>250</v>
      </c>
      <c r="BV749" s="4">
        <v>120</v>
      </c>
      <c r="CB749" s="4" t="s">
        <v>496</v>
      </c>
      <c r="CC749" s="4">
        <v>7.49216</v>
      </c>
      <c r="DO749" s="4">
        <v>3</v>
      </c>
      <c r="FE749" s="4">
        <v>36.51</v>
      </c>
    </row>
    <row r="750" customHeight="1" spans="1:239">
      <c r="A750" s="3">
        <v>23</v>
      </c>
      <c r="B750" s="4" t="s">
        <v>835</v>
      </c>
      <c r="C750" s="5" t="s">
        <v>852</v>
      </c>
      <c r="D750" s="4" t="s">
        <v>300</v>
      </c>
      <c r="E750" s="4" t="s">
        <v>837</v>
      </c>
      <c r="G750" s="4" t="s">
        <v>853</v>
      </c>
      <c r="J750" s="4">
        <v>60</v>
      </c>
      <c r="N750" s="4" t="s">
        <v>567</v>
      </c>
      <c r="O750" s="4" t="s">
        <v>502</v>
      </c>
      <c r="P750" s="4">
        <v>4</v>
      </c>
      <c r="T750" s="4">
        <v>194</v>
      </c>
      <c r="X750" s="4">
        <v>0.7804</v>
      </c>
      <c r="AA750" s="4" t="s">
        <v>854</v>
      </c>
      <c r="AE750" s="4" t="s">
        <v>855</v>
      </c>
      <c r="AF750" s="4" t="s">
        <v>840</v>
      </c>
      <c r="BI750" s="4" t="s">
        <v>320</v>
      </c>
      <c r="DO750" s="4">
        <v>3</v>
      </c>
    </row>
    <row r="751" customHeight="1" spans="1:239">
      <c r="A751" s="3">
        <v>23</v>
      </c>
      <c r="B751" s="4" t="s">
        <v>835</v>
      </c>
      <c r="C751" s="5" t="s">
        <v>852</v>
      </c>
      <c r="D751" s="4" t="s">
        <v>300</v>
      </c>
      <c r="E751" s="4" t="s">
        <v>837</v>
      </c>
      <c r="G751" s="4" t="s">
        <v>853</v>
      </c>
      <c r="J751" s="4">
        <v>60</v>
      </c>
      <c r="N751" s="4" t="s">
        <v>567</v>
      </c>
      <c r="O751" s="4" t="s">
        <v>502</v>
      </c>
      <c r="P751" s="4">
        <v>4</v>
      </c>
      <c r="T751" s="4">
        <v>194</v>
      </c>
      <c r="X751" s="4">
        <v>0.7804</v>
      </c>
      <c r="AA751" s="4" t="s">
        <v>854</v>
      </c>
      <c r="AE751" s="4" t="s">
        <v>855</v>
      </c>
      <c r="AF751" s="4" t="s">
        <v>840</v>
      </c>
      <c r="BI751" s="4" t="s">
        <v>320</v>
      </c>
      <c r="DO751" s="4">
        <v>3</v>
      </c>
    </row>
    <row r="752" customHeight="1" spans="1:239">
      <c r="A752" s="3">
        <v>23</v>
      </c>
      <c r="B752" s="4" t="s">
        <v>835</v>
      </c>
      <c r="C752" s="5" t="s">
        <v>852</v>
      </c>
      <c r="D752" s="4" t="s">
        <v>300</v>
      </c>
      <c r="E752" s="4" t="s">
        <v>837</v>
      </c>
      <c r="G752" s="4" t="s">
        <v>853</v>
      </c>
      <c r="J752" s="4">
        <v>60</v>
      </c>
      <c r="N752" s="4" t="s">
        <v>567</v>
      </c>
      <c r="O752" s="4" t="s">
        <v>502</v>
      </c>
      <c r="P752" s="4">
        <v>4</v>
      </c>
      <c r="T752" s="4">
        <v>194</v>
      </c>
      <c r="X752" s="4">
        <v>0.7804</v>
      </c>
      <c r="AA752" s="4" t="s">
        <v>854</v>
      </c>
      <c r="AE752" s="4" t="s">
        <v>855</v>
      </c>
      <c r="AF752" s="4" t="s">
        <v>840</v>
      </c>
      <c r="BI752" s="4" t="s">
        <v>320</v>
      </c>
      <c r="DO752" s="4">
        <v>3</v>
      </c>
    </row>
    <row r="753" customHeight="1" spans="1:313">
      <c r="A753" s="3">
        <v>23</v>
      </c>
      <c r="B753" s="4" t="s">
        <v>835</v>
      </c>
      <c r="C753" s="5" t="s">
        <v>857</v>
      </c>
      <c r="D753" s="4" t="s">
        <v>300</v>
      </c>
      <c r="E753" s="4" t="s">
        <v>837</v>
      </c>
      <c r="G753" s="4" t="s">
        <v>858</v>
      </c>
      <c r="J753" s="4">
        <v>60</v>
      </c>
      <c r="N753" s="4" t="s">
        <v>567</v>
      </c>
      <c r="O753" s="4" t="s">
        <v>502</v>
      </c>
      <c r="P753" s="4">
        <v>4</v>
      </c>
      <c r="T753" s="4">
        <v>32.5</v>
      </c>
      <c r="X753" s="4">
        <v>0.7763</v>
      </c>
      <c r="AA753" s="4" t="s">
        <v>859</v>
      </c>
      <c r="AE753" s="4" t="s">
        <v>860</v>
      </c>
      <c r="AF753" s="4" t="s">
        <v>861</v>
      </c>
      <c r="AG753" s="4" t="s">
        <v>841</v>
      </c>
      <c r="AH753" s="4" t="s">
        <v>842</v>
      </c>
      <c r="AL753" s="4" t="s">
        <v>843</v>
      </c>
      <c r="AM753" s="4">
        <v>5.6</v>
      </c>
      <c r="AQ753" s="4" t="s">
        <v>844</v>
      </c>
      <c r="AR753" s="4">
        <v>4000</v>
      </c>
      <c r="BD753" s="4" t="s">
        <v>845</v>
      </c>
      <c r="BI753" s="4" t="s">
        <v>320</v>
      </c>
      <c r="BN753" s="4">
        <v>1</v>
      </c>
      <c r="BS753" s="4">
        <v>5.5</v>
      </c>
      <c r="BT753" s="4" t="s">
        <v>512</v>
      </c>
      <c r="BU753" s="4">
        <v>550</v>
      </c>
      <c r="CB753" s="4" t="s">
        <v>463</v>
      </c>
      <c r="CC753" s="4">
        <v>6.538</v>
      </c>
      <c r="CV753" s="4">
        <v>10</v>
      </c>
      <c r="CW753" s="4">
        <v>8.95</v>
      </c>
      <c r="CX753" s="4" t="s">
        <v>314</v>
      </c>
      <c r="DO753" s="4">
        <v>3</v>
      </c>
    </row>
    <row r="754" customHeight="1" spans="1:313">
      <c r="A754" s="3">
        <v>23</v>
      </c>
      <c r="B754" s="4" t="s">
        <v>835</v>
      </c>
      <c r="C754" s="5" t="s">
        <v>857</v>
      </c>
      <c r="D754" s="4" t="s">
        <v>300</v>
      </c>
      <c r="E754" s="4" t="s">
        <v>837</v>
      </c>
      <c r="G754" s="4" t="s">
        <v>858</v>
      </c>
      <c r="J754" s="4">
        <v>60</v>
      </c>
      <c r="N754" s="4" t="s">
        <v>567</v>
      </c>
      <c r="O754" s="4" t="s">
        <v>502</v>
      </c>
      <c r="P754" s="4">
        <v>4</v>
      </c>
      <c r="T754" s="4">
        <v>32.5</v>
      </c>
      <c r="X754" s="4">
        <v>0.7763</v>
      </c>
      <c r="AA754" s="4" t="s">
        <v>859</v>
      </c>
      <c r="AE754" s="4" t="s">
        <v>860</v>
      </c>
      <c r="AF754" s="4" t="s">
        <v>861</v>
      </c>
      <c r="AG754" s="4" t="s">
        <v>841</v>
      </c>
      <c r="AH754" s="4" t="s">
        <v>848</v>
      </c>
      <c r="AL754" s="4" t="s">
        <v>849</v>
      </c>
      <c r="AM754" s="4">
        <v>6.1</v>
      </c>
      <c r="AQ754" s="4" t="s">
        <v>519</v>
      </c>
      <c r="AR754" s="4">
        <v>16000</v>
      </c>
      <c r="BD754" s="4" t="s">
        <v>845</v>
      </c>
      <c r="BI754" s="4" t="s">
        <v>320</v>
      </c>
      <c r="BN754" s="4">
        <v>1</v>
      </c>
      <c r="BS754" s="4">
        <v>6.7</v>
      </c>
      <c r="BT754" s="4" t="s">
        <v>512</v>
      </c>
      <c r="BU754" s="4">
        <v>550</v>
      </c>
      <c r="CB754" s="4" t="s">
        <v>496</v>
      </c>
      <c r="CC754" s="4">
        <v>7.49216</v>
      </c>
      <c r="CV754" s="4">
        <v>120</v>
      </c>
      <c r="CW754" s="4">
        <v>8.95</v>
      </c>
      <c r="CX754" s="4" t="s">
        <v>314</v>
      </c>
      <c r="DO754" s="4">
        <v>3</v>
      </c>
    </row>
    <row r="755" customHeight="1" spans="1:313">
      <c r="A755" s="3">
        <v>23</v>
      </c>
      <c r="B755" s="4" t="s">
        <v>835</v>
      </c>
      <c r="C755" s="5" t="s">
        <v>857</v>
      </c>
      <c r="D755" s="4" t="s">
        <v>300</v>
      </c>
      <c r="E755" s="4" t="s">
        <v>837</v>
      </c>
      <c r="G755" s="4" t="s">
        <v>858</v>
      </c>
      <c r="J755" s="4">
        <v>60</v>
      </c>
      <c r="N755" s="4" t="s">
        <v>567</v>
      </c>
      <c r="O755" s="4" t="s">
        <v>502</v>
      </c>
      <c r="P755" s="4">
        <v>4</v>
      </c>
      <c r="T755" s="4">
        <v>32.5</v>
      </c>
      <c r="X755" s="4">
        <v>0.7763</v>
      </c>
      <c r="AA755" s="4" t="s">
        <v>859</v>
      </c>
      <c r="AE755" s="4" t="s">
        <v>860</v>
      </c>
      <c r="AF755" s="4" t="s">
        <v>861</v>
      </c>
      <c r="AG755" s="4" t="s">
        <v>841</v>
      </c>
      <c r="AH755" s="4" t="s">
        <v>842</v>
      </c>
      <c r="AL755" s="4" t="s">
        <v>843</v>
      </c>
      <c r="AM755" s="4">
        <v>5.6</v>
      </c>
      <c r="AQ755" s="4" t="s">
        <v>844</v>
      </c>
      <c r="AR755" s="4">
        <v>4000</v>
      </c>
      <c r="BD755" s="4" t="s">
        <v>845</v>
      </c>
      <c r="BI755" s="4" t="s">
        <v>320</v>
      </c>
      <c r="BN755" s="4">
        <v>1</v>
      </c>
      <c r="BS755" s="4">
        <v>5.5</v>
      </c>
      <c r="BT755" s="4">
        <v>5.5</v>
      </c>
      <c r="BU755" s="4">
        <v>550</v>
      </c>
      <c r="CB755" s="4" t="s">
        <v>463</v>
      </c>
      <c r="CC755" s="4">
        <v>6.538</v>
      </c>
      <c r="CV755" s="4">
        <v>10</v>
      </c>
      <c r="CX755" s="4" t="s">
        <v>314</v>
      </c>
      <c r="DO755" s="4">
        <v>3</v>
      </c>
      <c r="KZ755" s="1" t="s">
        <v>14</v>
      </c>
      <c r="LA755" s="1" t="s">
        <v>856</v>
      </c>
    </row>
    <row r="756" customHeight="1" spans="1:313">
      <c r="A756" s="3">
        <v>23</v>
      </c>
      <c r="B756" s="4" t="s">
        <v>835</v>
      </c>
      <c r="C756" s="5" t="s">
        <v>857</v>
      </c>
      <c r="D756" s="4" t="s">
        <v>300</v>
      </c>
      <c r="E756" s="4" t="s">
        <v>837</v>
      </c>
      <c r="G756" s="4" t="s">
        <v>858</v>
      </c>
      <c r="J756" s="4">
        <v>60</v>
      </c>
      <c r="N756" s="4" t="s">
        <v>567</v>
      </c>
      <c r="O756" s="4" t="s">
        <v>502</v>
      </c>
      <c r="P756" s="4">
        <v>4</v>
      </c>
      <c r="T756" s="4">
        <v>32.5</v>
      </c>
      <c r="X756" s="4">
        <v>0.7763</v>
      </c>
      <c r="AA756" s="4" t="s">
        <v>859</v>
      </c>
      <c r="AE756" s="4" t="s">
        <v>860</v>
      </c>
      <c r="AF756" s="4" t="s">
        <v>861</v>
      </c>
      <c r="AG756" s="4" t="s">
        <v>841</v>
      </c>
      <c r="AH756" s="4" t="s">
        <v>848</v>
      </c>
      <c r="AL756" s="4" t="s">
        <v>849</v>
      </c>
      <c r="AM756" s="4">
        <v>6.1</v>
      </c>
      <c r="AQ756" s="4" t="s">
        <v>519</v>
      </c>
      <c r="AR756" s="4">
        <v>16000</v>
      </c>
      <c r="BD756" s="4" t="s">
        <v>845</v>
      </c>
      <c r="BI756" s="4" t="s">
        <v>320</v>
      </c>
      <c r="BN756" s="4">
        <v>1</v>
      </c>
      <c r="BS756" s="4">
        <v>5.5</v>
      </c>
      <c r="BT756" s="4">
        <v>5.5</v>
      </c>
      <c r="BU756" s="4">
        <v>550</v>
      </c>
      <c r="CB756" s="4" t="s">
        <v>496</v>
      </c>
      <c r="CC756" s="4">
        <v>7.49216</v>
      </c>
      <c r="CV756" s="4">
        <v>120</v>
      </c>
      <c r="CX756" s="4" t="s">
        <v>314</v>
      </c>
      <c r="DO756" s="4">
        <v>3</v>
      </c>
      <c r="KZ756" s="1" t="s">
        <v>424</v>
      </c>
      <c r="LA756" s="1" t="s">
        <v>856</v>
      </c>
    </row>
    <row r="757" customHeight="1" spans="1:313">
      <c r="A757" s="3">
        <v>23</v>
      </c>
      <c r="B757" s="4" t="s">
        <v>835</v>
      </c>
      <c r="C757" s="5" t="s">
        <v>857</v>
      </c>
      <c r="D757" s="4" t="s">
        <v>300</v>
      </c>
      <c r="E757" s="4" t="s">
        <v>837</v>
      </c>
      <c r="G757" s="4" t="s">
        <v>858</v>
      </c>
      <c r="J757" s="4">
        <v>60</v>
      </c>
      <c r="N757" s="4" t="s">
        <v>567</v>
      </c>
      <c r="O757" s="4" t="s">
        <v>502</v>
      </c>
      <c r="P757" s="4">
        <v>4</v>
      </c>
      <c r="T757" s="4">
        <v>32.5</v>
      </c>
      <c r="X757" s="4">
        <v>0.7763</v>
      </c>
      <c r="AA757" s="4" t="s">
        <v>859</v>
      </c>
      <c r="AE757" s="4" t="s">
        <v>860</v>
      </c>
      <c r="AF757" s="4" t="s">
        <v>861</v>
      </c>
      <c r="AG757" s="4" t="s">
        <v>841</v>
      </c>
      <c r="AH757" s="4" t="s">
        <v>842</v>
      </c>
      <c r="AL757" s="4" t="s">
        <v>843</v>
      </c>
      <c r="AM757" s="4">
        <v>5.6</v>
      </c>
      <c r="AQ757" s="4" t="s">
        <v>844</v>
      </c>
      <c r="AR757" s="4">
        <v>4000</v>
      </c>
      <c r="BD757" s="4" t="s">
        <v>845</v>
      </c>
      <c r="BI757" s="4" t="s">
        <v>320</v>
      </c>
      <c r="BN757" s="4">
        <v>1</v>
      </c>
      <c r="BS757" s="4">
        <v>5.5</v>
      </c>
      <c r="BT757" s="4">
        <v>5.5</v>
      </c>
      <c r="BU757" s="4">
        <v>250</v>
      </c>
      <c r="BV757" s="4">
        <v>120</v>
      </c>
      <c r="CB757" s="4" t="s">
        <v>463</v>
      </c>
      <c r="CC757" s="4" t="s">
        <v>850</v>
      </c>
      <c r="DB757" s="4" t="s">
        <v>430</v>
      </c>
      <c r="DD757" s="4">
        <v>20.47</v>
      </c>
      <c r="DE757" s="4">
        <v>24</v>
      </c>
      <c r="DO757" s="4">
        <v>3</v>
      </c>
      <c r="HX757" s="29">
        <v>20.47</v>
      </c>
      <c r="HY757" s="1">
        <v>1.79</v>
      </c>
    </row>
    <row r="758" customHeight="1" spans="1:313">
      <c r="A758" s="3">
        <v>23</v>
      </c>
      <c r="B758" s="4" t="s">
        <v>835</v>
      </c>
      <c r="C758" s="5" t="s">
        <v>857</v>
      </c>
      <c r="D758" s="4" t="s">
        <v>300</v>
      </c>
      <c r="E758" s="4" t="s">
        <v>837</v>
      </c>
      <c r="G758" s="4" t="s">
        <v>858</v>
      </c>
      <c r="J758" s="4">
        <v>60</v>
      </c>
      <c r="N758" s="4" t="s">
        <v>567</v>
      </c>
      <c r="O758" s="4" t="s">
        <v>502</v>
      </c>
      <c r="P758" s="4">
        <v>4</v>
      </c>
      <c r="T758" s="4">
        <v>32.5</v>
      </c>
      <c r="X758" s="4">
        <v>0.7763</v>
      </c>
      <c r="AA758" s="4" t="s">
        <v>859</v>
      </c>
      <c r="AE758" s="4" t="s">
        <v>860</v>
      </c>
      <c r="AF758" s="4" t="s">
        <v>861</v>
      </c>
      <c r="AG758" s="4" t="s">
        <v>841</v>
      </c>
      <c r="AH758" s="4" t="s">
        <v>848</v>
      </c>
      <c r="AL758" s="4" t="s">
        <v>849</v>
      </c>
      <c r="AM758" s="4">
        <v>6.1</v>
      </c>
      <c r="AQ758" s="4" t="s">
        <v>519</v>
      </c>
      <c r="AR758" s="4">
        <v>16000</v>
      </c>
      <c r="BD758" s="4" t="s">
        <v>845</v>
      </c>
      <c r="BI758" s="4" t="s">
        <v>320</v>
      </c>
      <c r="BN758" s="4">
        <v>1</v>
      </c>
      <c r="BS758" s="4">
        <v>5.5</v>
      </c>
      <c r="BT758" s="4">
        <v>5.5</v>
      </c>
      <c r="BU758" s="4">
        <v>250</v>
      </c>
      <c r="BV758" s="4">
        <v>120</v>
      </c>
      <c r="CB758" s="4" t="s">
        <v>496</v>
      </c>
      <c r="CC758" s="4" t="s">
        <v>851</v>
      </c>
      <c r="DB758" s="4" t="s">
        <v>430</v>
      </c>
      <c r="DD758" s="4">
        <v>53.09</v>
      </c>
      <c r="DE758" s="4">
        <v>48.1</v>
      </c>
      <c r="DO758" s="4">
        <v>3</v>
      </c>
      <c r="FP758" s="1">
        <v>53.09</v>
      </c>
      <c r="FQ758" s="1">
        <v>2.24</v>
      </c>
    </row>
    <row r="759" customHeight="1" spans="1:313">
      <c r="A759" s="3">
        <v>23</v>
      </c>
      <c r="B759" s="4" t="s">
        <v>835</v>
      </c>
      <c r="C759" s="5" t="s">
        <v>857</v>
      </c>
      <c r="D759" s="4" t="s">
        <v>300</v>
      </c>
      <c r="E759" s="4" t="s">
        <v>837</v>
      </c>
      <c r="G759" s="4" t="s">
        <v>858</v>
      </c>
      <c r="J759" s="4">
        <v>60</v>
      </c>
      <c r="N759" s="4" t="s">
        <v>567</v>
      </c>
      <c r="O759" s="4" t="s">
        <v>502</v>
      </c>
      <c r="P759" s="4">
        <v>4</v>
      </c>
      <c r="T759" s="4">
        <v>32.5</v>
      </c>
      <c r="X759" s="4">
        <v>0.7763</v>
      </c>
      <c r="AA759" s="4" t="s">
        <v>859</v>
      </c>
      <c r="AE759" s="4" t="s">
        <v>860</v>
      </c>
      <c r="AF759" s="4" t="s">
        <v>861</v>
      </c>
      <c r="AG759" s="4" t="s">
        <v>841</v>
      </c>
      <c r="AH759" s="4" t="s">
        <v>842</v>
      </c>
      <c r="AL759" s="4" t="s">
        <v>843</v>
      </c>
      <c r="AM759" s="4">
        <v>5.6</v>
      </c>
      <c r="AQ759" s="4" t="s">
        <v>844</v>
      </c>
      <c r="AR759" s="4">
        <v>4000</v>
      </c>
      <c r="BD759" s="4" t="s">
        <v>845</v>
      </c>
      <c r="BI759" s="4" t="s">
        <v>320</v>
      </c>
      <c r="BN759" s="4">
        <v>1</v>
      </c>
      <c r="BR759" s="4">
        <v>0.001</v>
      </c>
      <c r="BS759" s="4">
        <v>3.5</v>
      </c>
      <c r="BU759" s="4">
        <v>250</v>
      </c>
      <c r="BV759" s="4">
        <v>120</v>
      </c>
      <c r="CB759" s="4" t="s">
        <v>463</v>
      </c>
      <c r="CC759" s="4">
        <v>6.538</v>
      </c>
      <c r="DO759" s="4">
        <v>3</v>
      </c>
      <c r="IB759" s="4">
        <v>7.58</v>
      </c>
      <c r="IE759" s="4">
        <v>7.58</v>
      </c>
    </row>
    <row r="760" customHeight="1" spans="1:313">
      <c r="A760" s="3">
        <v>23</v>
      </c>
      <c r="B760" s="4" t="s">
        <v>835</v>
      </c>
      <c r="C760" s="5" t="s">
        <v>857</v>
      </c>
      <c r="D760" s="4" t="s">
        <v>300</v>
      </c>
      <c r="E760" s="4" t="s">
        <v>837</v>
      </c>
      <c r="G760" s="4" t="s">
        <v>858</v>
      </c>
      <c r="J760" s="4">
        <v>60</v>
      </c>
      <c r="N760" s="4" t="s">
        <v>567</v>
      </c>
      <c r="O760" s="4" t="s">
        <v>502</v>
      </c>
      <c r="P760" s="4">
        <v>4</v>
      </c>
      <c r="T760" s="4">
        <v>32.5</v>
      </c>
      <c r="X760" s="4">
        <v>0.7763</v>
      </c>
      <c r="AA760" s="4" t="s">
        <v>859</v>
      </c>
      <c r="AE760" s="4" t="s">
        <v>860</v>
      </c>
      <c r="AF760" s="4" t="s">
        <v>861</v>
      </c>
      <c r="AG760" s="4" t="s">
        <v>841</v>
      </c>
      <c r="AH760" s="4" t="s">
        <v>842</v>
      </c>
      <c r="AL760" s="4" t="s">
        <v>843</v>
      </c>
      <c r="AM760" s="4">
        <v>5.6</v>
      </c>
      <c r="AQ760" s="4" t="s">
        <v>844</v>
      </c>
      <c r="AR760" s="4">
        <v>4000</v>
      </c>
      <c r="BD760" s="4" t="s">
        <v>845</v>
      </c>
      <c r="BI760" s="4" t="s">
        <v>320</v>
      </c>
      <c r="BN760" s="4">
        <v>1</v>
      </c>
      <c r="BR760" s="4">
        <v>0.001</v>
      </c>
      <c r="BS760" s="4">
        <v>4.5</v>
      </c>
      <c r="BU760" s="4">
        <v>250</v>
      </c>
      <c r="BV760" s="4">
        <v>120</v>
      </c>
      <c r="CB760" s="4" t="s">
        <v>463</v>
      </c>
      <c r="CC760" s="4">
        <v>6.538</v>
      </c>
      <c r="DO760" s="4">
        <v>3</v>
      </c>
      <c r="IB760" s="4">
        <v>41.52</v>
      </c>
      <c r="IE760" s="4">
        <v>41.52</v>
      </c>
    </row>
    <row r="761" customHeight="1" spans="1:313">
      <c r="A761" s="3">
        <v>23</v>
      </c>
      <c r="B761" s="4" t="s">
        <v>835</v>
      </c>
      <c r="C761" s="5" t="s">
        <v>857</v>
      </c>
      <c r="D761" s="4" t="s">
        <v>300</v>
      </c>
      <c r="E761" s="4" t="s">
        <v>837</v>
      </c>
      <c r="G761" s="4" t="s">
        <v>858</v>
      </c>
      <c r="J761" s="4">
        <v>60</v>
      </c>
      <c r="N761" s="4" t="s">
        <v>567</v>
      </c>
      <c r="O761" s="4" t="s">
        <v>502</v>
      </c>
      <c r="P761" s="4">
        <v>4</v>
      </c>
      <c r="T761" s="4">
        <v>32.5</v>
      </c>
      <c r="X761" s="4">
        <v>0.7763</v>
      </c>
      <c r="AA761" s="4" t="s">
        <v>859</v>
      </c>
      <c r="AE761" s="4" t="s">
        <v>860</v>
      </c>
      <c r="AF761" s="4" t="s">
        <v>861</v>
      </c>
      <c r="AG761" s="4" t="s">
        <v>841</v>
      </c>
      <c r="AH761" s="4" t="s">
        <v>842</v>
      </c>
      <c r="AL761" s="4" t="s">
        <v>843</v>
      </c>
      <c r="AM761" s="4">
        <v>5.6</v>
      </c>
      <c r="AQ761" s="4" t="s">
        <v>844</v>
      </c>
      <c r="AR761" s="4">
        <v>4000</v>
      </c>
      <c r="BD761" s="4" t="s">
        <v>845</v>
      </c>
      <c r="BI761" s="4" t="s">
        <v>320</v>
      </c>
      <c r="BN761" s="4">
        <v>1</v>
      </c>
      <c r="BR761" s="4">
        <v>0.001</v>
      </c>
      <c r="BS761" s="4">
        <v>5.5</v>
      </c>
      <c r="BU761" s="4">
        <v>250</v>
      </c>
      <c r="BV761" s="4">
        <v>120</v>
      </c>
      <c r="CB761" s="4" t="s">
        <v>463</v>
      </c>
      <c r="CC761" s="4">
        <v>6.538</v>
      </c>
      <c r="DO761" s="4">
        <v>3</v>
      </c>
      <c r="IB761" s="4">
        <v>79.09</v>
      </c>
      <c r="IE761" s="4">
        <v>79.09</v>
      </c>
    </row>
    <row r="762" customHeight="1" spans="1:313">
      <c r="A762" s="3">
        <v>23</v>
      </c>
      <c r="B762" s="4" t="s">
        <v>835</v>
      </c>
      <c r="C762" s="5" t="s">
        <v>857</v>
      </c>
      <c r="D762" s="4" t="s">
        <v>300</v>
      </c>
      <c r="E762" s="4" t="s">
        <v>837</v>
      </c>
      <c r="G762" s="4" t="s">
        <v>858</v>
      </c>
      <c r="J762" s="4">
        <v>60</v>
      </c>
      <c r="N762" s="4" t="s">
        <v>567</v>
      </c>
      <c r="O762" s="4" t="s">
        <v>502</v>
      </c>
      <c r="P762" s="4">
        <v>4</v>
      </c>
      <c r="T762" s="4">
        <v>32.5</v>
      </c>
      <c r="X762" s="4">
        <v>0.7763</v>
      </c>
      <c r="AA762" s="4" t="s">
        <v>859</v>
      </c>
      <c r="AE762" s="4" t="s">
        <v>860</v>
      </c>
      <c r="AF762" s="4" t="s">
        <v>861</v>
      </c>
      <c r="AG762" s="4" t="s">
        <v>841</v>
      </c>
      <c r="AH762" s="4" t="s">
        <v>842</v>
      </c>
      <c r="AL762" s="4" t="s">
        <v>843</v>
      </c>
      <c r="AM762" s="4">
        <v>5.6</v>
      </c>
      <c r="AQ762" s="4" t="s">
        <v>844</v>
      </c>
      <c r="AR762" s="4">
        <v>4000</v>
      </c>
      <c r="BD762" s="4" t="s">
        <v>845</v>
      </c>
      <c r="BI762" s="4" t="s">
        <v>320</v>
      </c>
      <c r="BN762" s="4">
        <v>1</v>
      </c>
      <c r="BR762" s="4">
        <v>0.001</v>
      </c>
      <c r="BS762" s="4">
        <v>6.5</v>
      </c>
      <c r="BU762" s="4">
        <v>250</v>
      </c>
      <c r="BV762" s="4">
        <v>120</v>
      </c>
      <c r="CB762" s="4" t="s">
        <v>463</v>
      </c>
      <c r="CC762" s="4">
        <v>6.538</v>
      </c>
      <c r="DO762" s="4">
        <v>3</v>
      </c>
      <c r="IB762" s="4">
        <v>92.73</v>
      </c>
      <c r="IE762" s="4">
        <v>92.73</v>
      </c>
    </row>
    <row r="763" customHeight="1" spans="1:313">
      <c r="A763" s="3">
        <v>23</v>
      </c>
      <c r="B763" s="4" t="s">
        <v>835</v>
      </c>
      <c r="C763" s="5" t="s">
        <v>857</v>
      </c>
      <c r="D763" s="4" t="s">
        <v>300</v>
      </c>
      <c r="E763" s="4" t="s">
        <v>837</v>
      </c>
      <c r="G763" s="4" t="s">
        <v>858</v>
      </c>
      <c r="J763" s="4">
        <v>60</v>
      </c>
      <c r="N763" s="4" t="s">
        <v>567</v>
      </c>
      <c r="O763" s="4" t="s">
        <v>502</v>
      </c>
      <c r="P763" s="4">
        <v>4</v>
      </c>
      <c r="T763" s="4">
        <v>32.5</v>
      </c>
      <c r="X763" s="4">
        <v>0.7763</v>
      </c>
      <c r="AA763" s="4" t="s">
        <v>859</v>
      </c>
      <c r="AE763" s="4" t="s">
        <v>860</v>
      </c>
      <c r="AF763" s="4" t="s">
        <v>861</v>
      </c>
      <c r="AG763" s="4" t="s">
        <v>841</v>
      </c>
      <c r="AH763" s="4" t="s">
        <v>842</v>
      </c>
      <c r="AL763" s="4" t="s">
        <v>843</v>
      </c>
      <c r="AM763" s="4">
        <v>5.6</v>
      </c>
      <c r="AQ763" s="4" t="s">
        <v>844</v>
      </c>
      <c r="AR763" s="4">
        <v>4000</v>
      </c>
      <c r="BD763" s="4" t="s">
        <v>845</v>
      </c>
      <c r="BI763" s="4" t="s">
        <v>320</v>
      </c>
      <c r="BN763" s="4">
        <v>1</v>
      </c>
      <c r="BR763" s="4">
        <v>0.001</v>
      </c>
      <c r="BS763" s="4">
        <v>7.5</v>
      </c>
      <c r="BU763" s="4">
        <v>250</v>
      </c>
      <c r="BV763" s="4">
        <v>120</v>
      </c>
      <c r="CB763" s="4" t="s">
        <v>463</v>
      </c>
      <c r="CC763" s="4">
        <v>6.538</v>
      </c>
      <c r="DO763" s="4">
        <v>3</v>
      </c>
      <c r="IB763" s="4">
        <v>96.67</v>
      </c>
      <c r="IE763" s="4">
        <v>96.67</v>
      </c>
    </row>
    <row r="764" customHeight="1" spans="1:313">
      <c r="A764" s="3">
        <v>23</v>
      </c>
      <c r="B764" s="4" t="s">
        <v>835</v>
      </c>
      <c r="C764" s="5" t="s">
        <v>857</v>
      </c>
      <c r="D764" s="4" t="s">
        <v>300</v>
      </c>
      <c r="E764" s="4" t="s">
        <v>837</v>
      </c>
      <c r="G764" s="4" t="s">
        <v>858</v>
      </c>
      <c r="J764" s="4">
        <v>60</v>
      </c>
      <c r="N764" s="4" t="s">
        <v>567</v>
      </c>
      <c r="O764" s="4" t="s">
        <v>502</v>
      </c>
      <c r="P764" s="4">
        <v>4</v>
      </c>
      <c r="T764" s="4">
        <v>32.5</v>
      </c>
      <c r="X764" s="4">
        <v>0.7763</v>
      </c>
      <c r="AA764" s="4" t="s">
        <v>859</v>
      </c>
      <c r="AE764" s="4" t="s">
        <v>860</v>
      </c>
      <c r="AF764" s="4" t="s">
        <v>861</v>
      </c>
      <c r="AG764" s="4" t="s">
        <v>841</v>
      </c>
      <c r="AH764" s="4" t="s">
        <v>842</v>
      </c>
      <c r="AL764" s="4" t="s">
        <v>843</v>
      </c>
      <c r="AM764" s="4">
        <v>5.6</v>
      </c>
      <c r="AQ764" s="4" t="s">
        <v>844</v>
      </c>
      <c r="AR764" s="4">
        <v>4000</v>
      </c>
      <c r="BD764" s="4" t="s">
        <v>845</v>
      </c>
      <c r="BI764" s="4" t="s">
        <v>320</v>
      </c>
      <c r="BN764" s="4">
        <v>1</v>
      </c>
      <c r="BR764" s="4">
        <v>0.001</v>
      </c>
      <c r="BS764" s="4">
        <v>8.5</v>
      </c>
      <c r="BU764" s="4">
        <v>250</v>
      </c>
      <c r="BV764" s="4">
        <v>120</v>
      </c>
      <c r="CB764" s="4" t="s">
        <v>463</v>
      </c>
      <c r="CC764" s="4">
        <v>6.538</v>
      </c>
      <c r="DO764" s="4">
        <v>3</v>
      </c>
      <c r="IB764" s="4">
        <v>98.79</v>
      </c>
      <c r="IE764" s="4">
        <v>98.79</v>
      </c>
    </row>
    <row r="765" customHeight="1" spans="1:313">
      <c r="A765" s="3">
        <v>23</v>
      </c>
      <c r="B765" s="4" t="s">
        <v>835</v>
      </c>
      <c r="C765" s="5" t="s">
        <v>857</v>
      </c>
      <c r="D765" s="4" t="s">
        <v>300</v>
      </c>
      <c r="E765" s="4" t="s">
        <v>837</v>
      </c>
      <c r="G765" s="4" t="s">
        <v>858</v>
      </c>
      <c r="J765" s="4">
        <v>60</v>
      </c>
      <c r="N765" s="4" t="s">
        <v>567</v>
      </c>
      <c r="O765" s="4" t="s">
        <v>502</v>
      </c>
      <c r="P765" s="4">
        <v>4</v>
      </c>
      <c r="T765" s="4">
        <v>32.5</v>
      </c>
      <c r="X765" s="4">
        <v>0.7763</v>
      </c>
      <c r="AA765" s="4" t="s">
        <v>859</v>
      </c>
      <c r="AE765" s="4" t="s">
        <v>860</v>
      </c>
      <c r="AF765" s="4" t="s">
        <v>861</v>
      </c>
      <c r="AG765" s="4" t="s">
        <v>841</v>
      </c>
      <c r="AH765" s="4" t="s">
        <v>848</v>
      </c>
      <c r="AL765" s="4" t="s">
        <v>849</v>
      </c>
      <c r="AM765" s="4">
        <v>6.1</v>
      </c>
      <c r="AQ765" s="4" t="s">
        <v>519</v>
      </c>
      <c r="AR765" s="4">
        <v>16000</v>
      </c>
      <c r="BD765" s="4" t="s">
        <v>845</v>
      </c>
      <c r="BI765" s="4" t="s">
        <v>320</v>
      </c>
      <c r="BN765" s="4">
        <v>1</v>
      </c>
      <c r="BR765" s="4">
        <v>0.001</v>
      </c>
      <c r="BS765" s="4">
        <v>5.5</v>
      </c>
      <c r="BU765" s="4">
        <v>250</v>
      </c>
      <c r="BV765" s="4">
        <v>120</v>
      </c>
      <c r="CB765" s="4" t="s">
        <v>496</v>
      </c>
      <c r="CC765" s="4">
        <v>7.49216</v>
      </c>
      <c r="DO765" s="4">
        <v>3</v>
      </c>
      <c r="FE765" s="4">
        <v>97.78</v>
      </c>
      <c r="FH765" s="4">
        <v>97.78</v>
      </c>
    </row>
    <row r="766" customHeight="1" spans="1:313">
      <c r="A766" s="3">
        <v>23</v>
      </c>
      <c r="B766" s="4" t="s">
        <v>835</v>
      </c>
      <c r="C766" s="5" t="s">
        <v>857</v>
      </c>
      <c r="D766" s="4" t="s">
        <v>300</v>
      </c>
      <c r="E766" s="4" t="s">
        <v>837</v>
      </c>
      <c r="G766" s="4" t="s">
        <v>858</v>
      </c>
      <c r="J766" s="4">
        <v>60</v>
      </c>
      <c r="N766" s="4" t="s">
        <v>567</v>
      </c>
      <c r="O766" s="4" t="s">
        <v>502</v>
      </c>
      <c r="P766" s="4">
        <v>4</v>
      </c>
      <c r="T766" s="4">
        <v>32.5</v>
      </c>
      <c r="X766" s="4">
        <v>0.7763</v>
      </c>
      <c r="AA766" s="4" t="s">
        <v>859</v>
      </c>
      <c r="AE766" s="4" t="s">
        <v>860</v>
      </c>
      <c r="AF766" s="4" t="s">
        <v>861</v>
      </c>
      <c r="AG766" s="4" t="s">
        <v>841</v>
      </c>
      <c r="AH766" s="4" t="s">
        <v>848</v>
      </c>
      <c r="AL766" s="4" t="s">
        <v>849</v>
      </c>
      <c r="AM766" s="4">
        <v>6.1</v>
      </c>
      <c r="AQ766" s="4" t="s">
        <v>519</v>
      </c>
      <c r="AR766" s="4">
        <v>16000</v>
      </c>
      <c r="BD766" s="4" t="s">
        <v>845</v>
      </c>
      <c r="BI766" s="4" t="s">
        <v>320</v>
      </c>
      <c r="BN766" s="4">
        <v>1</v>
      </c>
      <c r="BR766" s="4">
        <v>0.001</v>
      </c>
      <c r="BS766" s="4">
        <v>6.5</v>
      </c>
      <c r="BU766" s="4">
        <v>250</v>
      </c>
      <c r="BV766" s="4">
        <v>120</v>
      </c>
      <c r="CB766" s="4" t="s">
        <v>496</v>
      </c>
      <c r="CC766" s="4">
        <v>7.49216</v>
      </c>
      <c r="DO766" s="4">
        <v>3</v>
      </c>
      <c r="FE766" s="4">
        <v>97.46</v>
      </c>
      <c r="FH766" s="4">
        <v>97.46</v>
      </c>
    </row>
    <row r="767" customHeight="1" spans="1:313">
      <c r="A767" s="3">
        <v>23</v>
      </c>
      <c r="B767" s="4" t="s">
        <v>835</v>
      </c>
      <c r="C767" s="5" t="s">
        <v>857</v>
      </c>
      <c r="D767" s="4" t="s">
        <v>300</v>
      </c>
      <c r="E767" s="4" t="s">
        <v>837</v>
      </c>
      <c r="G767" s="4" t="s">
        <v>858</v>
      </c>
      <c r="J767" s="4">
        <v>60</v>
      </c>
      <c r="N767" s="4" t="s">
        <v>567</v>
      </c>
      <c r="O767" s="4" t="s">
        <v>502</v>
      </c>
      <c r="P767" s="4">
        <v>4</v>
      </c>
      <c r="T767" s="4">
        <v>32.5</v>
      </c>
      <c r="X767" s="4">
        <v>0.7763</v>
      </c>
      <c r="AA767" s="4" t="s">
        <v>859</v>
      </c>
      <c r="AE767" s="4" t="s">
        <v>860</v>
      </c>
      <c r="AF767" s="4" t="s">
        <v>861</v>
      </c>
      <c r="AG767" s="4" t="s">
        <v>841</v>
      </c>
      <c r="AH767" s="4" t="s">
        <v>848</v>
      </c>
      <c r="AL767" s="4" t="s">
        <v>849</v>
      </c>
      <c r="AM767" s="4">
        <v>6.1</v>
      </c>
      <c r="AQ767" s="4" t="s">
        <v>519</v>
      </c>
      <c r="AR767" s="4">
        <v>16000</v>
      </c>
      <c r="BD767" s="4" t="s">
        <v>845</v>
      </c>
      <c r="BI767" s="4" t="s">
        <v>320</v>
      </c>
      <c r="BN767" s="4">
        <v>1</v>
      </c>
      <c r="BR767" s="4">
        <v>0.001</v>
      </c>
      <c r="BS767" s="4">
        <v>7.5</v>
      </c>
      <c r="BU767" s="4">
        <v>250</v>
      </c>
      <c r="BV767" s="4">
        <v>120</v>
      </c>
      <c r="CB767" s="4" t="s">
        <v>496</v>
      </c>
      <c r="CC767" s="4">
        <v>7.49216</v>
      </c>
      <c r="DO767" s="4">
        <v>3</v>
      </c>
      <c r="FE767" s="4">
        <v>94.6</v>
      </c>
      <c r="FH767" s="4">
        <v>94.6</v>
      </c>
    </row>
    <row r="768" customHeight="1" spans="1:313">
      <c r="A768" s="3">
        <v>23</v>
      </c>
      <c r="B768" s="4" t="s">
        <v>835</v>
      </c>
      <c r="C768" s="5" t="s">
        <v>857</v>
      </c>
      <c r="D768" s="4" t="s">
        <v>300</v>
      </c>
      <c r="E768" s="4" t="s">
        <v>837</v>
      </c>
      <c r="G768" s="4" t="s">
        <v>858</v>
      </c>
      <c r="J768" s="4">
        <v>60</v>
      </c>
      <c r="N768" s="4" t="s">
        <v>567</v>
      </c>
      <c r="O768" s="4" t="s">
        <v>502</v>
      </c>
      <c r="P768" s="4">
        <v>4</v>
      </c>
      <c r="T768" s="4">
        <v>32.5</v>
      </c>
      <c r="X768" s="4">
        <v>0.7763</v>
      </c>
      <c r="AA768" s="4" t="s">
        <v>859</v>
      </c>
      <c r="AE768" s="4" t="s">
        <v>860</v>
      </c>
      <c r="AF768" s="4" t="s">
        <v>861</v>
      </c>
      <c r="AG768" s="4" t="s">
        <v>841</v>
      </c>
      <c r="AH768" s="4" t="s">
        <v>848</v>
      </c>
      <c r="AL768" s="4" t="s">
        <v>849</v>
      </c>
      <c r="AM768" s="4">
        <v>6.1</v>
      </c>
      <c r="AQ768" s="4" t="s">
        <v>519</v>
      </c>
      <c r="AR768" s="4">
        <v>16000</v>
      </c>
      <c r="BD768" s="4" t="s">
        <v>845</v>
      </c>
      <c r="BI768" s="4" t="s">
        <v>320</v>
      </c>
      <c r="BN768" s="4">
        <v>1</v>
      </c>
      <c r="BR768" s="4">
        <v>0.001</v>
      </c>
      <c r="BS768" s="4">
        <v>8.5</v>
      </c>
      <c r="BU768" s="4">
        <v>250</v>
      </c>
      <c r="BV768" s="4">
        <v>120</v>
      </c>
      <c r="CB768" s="4" t="s">
        <v>496</v>
      </c>
      <c r="CC768" s="4">
        <v>7.49216</v>
      </c>
      <c r="DO768" s="4">
        <v>3</v>
      </c>
      <c r="FE768" s="4">
        <v>61.59</v>
      </c>
      <c r="FH768" s="4">
        <v>61.59</v>
      </c>
    </row>
    <row r="769" customHeight="1" spans="1:239">
      <c r="A769" s="3">
        <v>23</v>
      </c>
      <c r="B769" s="4" t="s">
        <v>835</v>
      </c>
      <c r="C769" s="5" t="s">
        <v>857</v>
      </c>
      <c r="D769" s="4" t="s">
        <v>300</v>
      </c>
      <c r="E769" s="4" t="s">
        <v>837</v>
      </c>
      <c r="G769" s="4" t="s">
        <v>858</v>
      </c>
      <c r="J769" s="4">
        <v>60</v>
      </c>
      <c r="N769" s="4" t="s">
        <v>567</v>
      </c>
      <c r="O769" s="4" t="s">
        <v>502</v>
      </c>
      <c r="P769" s="4">
        <v>4</v>
      </c>
      <c r="T769" s="4">
        <v>32.5</v>
      </c>
      <c r="X769" s="4">
        <v>0.7763</v>
      </c>
      <c r="AA769" s="4" t="s">
        <v>859</v>
      </c>
      <c r="AE769" s="4" t="s">
        <v>860</v>
      </c>
      <c r="AF769" s="4" t="s">
        <v>861</v>
      </c>
      <c r="AG769" s="4" t="s">
        <v>841</v>
      </c>
      <c r="AH769" s="4" t="s">
        <v>848</v>
      </c>
      <c r="AL769" s="4" t="s">
        <v>849</v>
      </c>
      <c r="AM769" s="4">
        <v>6.1</v>
      </c>
      <c r="AQ769" s="4" t="s">
        <v>519</v>
      </c>
      <c r="AR769" s="4">
        <v>16000</v>
      </c>
      <c r="BD769" s="4" t="s">
        <v>845</v>
      </c>
      <c r="BI769" s="4" t="s">
        <v>320</v>
      </c>
      <c r="BN769" s="4">
        <v>1</v>
      </c>
      <c r="BR769" s="4">
        <v>0.001</v>
      </c>
      <c r="BS769" s="4">
        <v>9.5</v>
      </c>
      <c r="BU769" s="4">
        <v>250</v>
      </c>
      <c r="BV769" s="4">
        <v>120</v>
      </c>
      <c r="CB769" s="4" t="s">
        <v>496</v>
      </c>
      <c r="CC769" s="4">
        <v>7.49216</v>
      </c>
      <c r="DO769" s="4">
        <v>3</v>
      </c>
      <c r="FE769" s="4">
        <v>38.1</v>
      </c>
      <c r="FH769" s="4">
        <v>38.1</v>
      </c>
    </row>
    <row r="770" customHeight="1" spans="1:239">
      <c r="A770" s="3">
        <v>23</v>
      </c>
      <c r="B770" s="4" t="s">
        <v>835</v>
      </c>
      <c r="C770" s="5" t="s">
        <v>857</v>
      </c>
      <c r="D770" s="4" t="s">
        <v>300</v>
      </c>
      <c r="E770" s="4" t="s">
        <v>837</v>
      </c>
      <c r="G770" s="4" t="s">
        <v>858</v>
      </c>
      <c r="J770" s="4">
        <v>60</v>
      </c>
      <c r="N770" s="4" t="s">
        <v>567</v>
      </c>
      <c r="O770" s="4" t="s">
        <v>502</v>
      </c>
      <c r="P770" s="4">
        <v>4</v>
      </c>
      <c r="T770" s="4">
        <v>32.5</v>
      </c>
      <c r="X770" s="4">
        <v>0.7763</v>
      </c>
      <c r="AA770" s="4" t="s">
        <v>859</v>
      </c>
      <c r="AE770" s="4" t="s">
        <v>860</v>
      </c>
      <c r="AF770" s="4" t="s">
        <v>861</v>
      </c>
      <c r="AG770" s="4" t="s">
        <v>841</v>
      </c>
      <c r="AH770" s="4" t="s">
        <v>842</v>
      </c>
      <c r="AL770" s="4" t="s">
        <v>843</v>
      </c>
      <c r="AM770" s="4">
        <v>5.6</v>
      </c>
      <c r="AQ770" s="4" t="s">
        <v>844</v>
      </c>
      <c r="AR770" s="4">
        <v>4000</v>
      </c>
      <c r="BD770" s="4" t="s">
        <v>845</v>
      </c>
      <c r="BI770" s="4" t="s">
        <v>320</v>
      </c>
      <c r="BN770" s="4">
        <v>1</v>
      </c>
      <c r="BR770" s="4">
        <v>0.01</v>
      </c>
      <c r="BS770" s="4">
        <v>3.5</v>
      </c>
      <c r="BU770" s="4">
        <v>250</v>
      </c>
      <c r="BV770" s="4">
        <v>120</v>
      </c>
      <c r="CB770" s="4" t="s">
        <v>463</v>
      </c>
      <c r="CC770" s="4">
        <v>6.538</v>
      </c>
      <c r="DO770" s="4">
        <v>3</v>
      </c>
      <c r="IB770" s="4">
        <v>5.15</v>
      </c>
      <c r="IE770" s="4">
        <v>5.15</v>
      </c>
    </row>
    <row r="771" customHeight="1" spans="1:239">
      <c r="A771" s="3">
        <v>23</v>
      </c>
      <c r="B771" s="4" t="s">
        <v>835</v>
      </c>
      <c r="C771" s="5" t="s">
        <v>857</v>
      </c>
      <c r="D771" s="4" t="s">
        <v>300</v>
      </c>
      <c r="E771" s="4" t="s">
        <v>837</v>
      </c>
      <c r="G771" s="4" t="s">
        <v>858</v>
      </c>
      <c r="J771" s="4">
        <v>60</v>
      </c>
      <c r="N771" s="4" t="s">
        <v>567</v>
      </c>
      <c r="O771" s="4" t="s">
        <v>502</v>
      </c>
      <c r="P771" s="4">
        <v>4</v>
      </c>
      <c r="T771" s="4">
        <v>32.5</v>
      </c>
      <c r="X771" s="4">
        <v>0.7763</v>
      </c>
      <c r="AA771" s="4" t="s">
        <v>859</v>
      </c>
      <c r="AE771" s="4" t="s">
        <v>860</v>
      </c>
      <c r="AF771" s="4" t="s">
        <v>861</v>
      </c>
      <c r="AG771" s="4" t="s">
        <v>841</v>
      </c>
      <c r="AH771" s="4" t="s">
        <v>842</v>
      </c>
      <c r="AL771" s="4" t="s">
        <v>843</v>
      </c>
      <c r="AM771" s="4">
        <v>5.6</v>
      </c>
      <c r="AQ771" s="4" t="s">
        <v>844</v>
      </c>
      <c r="AR771" s="4">
        <v>4000</v>
      </c>
      <c r="BD771" s="4" t="s">
        <v>845</v>
      </c>
      <c r="BI771" s="4" t="s">
        <v>320</v>
      </c>
      <c r="BN771" s="4">
        <v>1</v>
      </c>
      <c r="BR771" s="4">
        <v>0.01</v>
      </c>
      <c r="BS771" s="4">
        <v>4.5</v>
      </c>
      <c r="BU771" s="4">
        <v>250</v>
      </c>
      <c r="BV771" s="4">
        <v>120</v>
      </c>
      <c r="CB771" s="4" t="s">
        <v>463</v>
      </c>
      <c r="CC771" s="4">
        <v>6.538</v>
      </c>
      <c r="DO771" s="4">
        <v>3</v>
      </c>
      <c r="IB771" s="4">
        <v>34.55</v>
      </c>
      <c r="IE771" s="4">
        <v>34.55</v>
      </c>
    </row>
    <row r="772" customHeight="1" spans="1:239">
      <c r="A772" s="3">
        <v>23</v>
      </c>
      <c r="B772" s="4" t="s">
        <v>835</v>
      </c>
      <c r="C772" s="5" t="s">
        <v>857</v>
      </c>
      <c r="D772" s="4" t="s">
        <v>300</v>
      </c>
      <c r="E772" s="4" t="s">
        <v>837</v>
      </c>
      <c r="G772" s="4" t="s">
        <v>858</v>
      </c>
      <c r="J772" s="4">
        <v>60</v>
      </c>
      <c r="N772" s="4" t="s">
        <v>567</v>
      </c>
      <c r="O772" s="4" t="s">
        <v>502</v>
      </c>
      <c r="P772" s="4">
        <v>4</v>
      </c>
      <c r="T772" s="4">
        <v>32.5</v>
      </c>
      <c r="X772" s="4">
        <v>0.7763</v>
      </c>
      <c r="AA772" s="4" t="s">
        <v>859</v>
      </c>
      <c r="AE772" s="4" t="s">
        <v>860</v>
      </c>
      <c r="AF772" s="4" t="s">
        <v>861</v>
      </c>
      <c r="AG772" s="4" t="s">
        <v>841</v>
      </c>
      <c r="AH772" s="4" t="s">
        <v>842</v>
      </c>
      <c r="AL772" s="4" t="s">
        <v>843</v>
      </c>
      <c r="AM772" s="4">
        <v>5.6</v>
      </c>
      <c r="AQ772" s="4" t="s">
        <v>844</v>
      </c>
      <c r="AR772" s="4">
        <v>4000</v>
      </c>
      <c r="BD772" s="4" t="s">
        <v>845</v>
      </c>
      <c r="BI772" s="4" t="s">
        <v>320</v>
      </c>
      <c r="BN772" s="4">
        <v>1</v>
      </c>
      <c r="BR772" s="4">
        <v>0.01</v>
      </c>
      <c r="BS772" s="4">
        <v>5.5</v>
      </c>
      <c r="BU772" s="4">
        <v>250</v>
      </c>
      <c r="BV772" s="4">
        <v>120</v>
      </c>
      <c r="CB772" s="4" t="s">
        <v>463</v>
      </c>
      <c r="CC772" s="4">
        <v>6.538</v>
      </c>
      <c r="DO772" s="4">
        <v>3</v>
      </c>
      <c r="IB772" s="4">
        <v>70.91</v>
      </c>
      <c r="IE772" s="4">
        <v>70.91</v>
      </c>
    </row>
    <row r="773" customHeight="1" spans="1:239">
      <c r="A773" s="3">
        <v>23</v>
      </c>
      <c r="B773" s="4" t="s">
        <v>835</v>
      </c>
      <c r="C773" s="5" t="s">
        <v>857</v>
      </c>
      <c r="D773" s="4" t="s">
        <v>300</v>
      </c>
      <c r="E773" s="4" t="s">
        <v>837</v>
      </c>
      <c r="G773" s="4" t="s">
        <v>858</v>
      </c>
      <c r="J773" s="4">
        <v>60</v>
      </c>
      <c r="N773" s="4" t="s">
        <v>567</v>
      </c>
      <c r="O773" s="4" t="s">
        <v>502</v>
      </c>
      <c r="P773" s="4">
        <v>4</v>
      </c>
      <c r="T773" s="4">
        <v>32.5</v>
      </c>
      <c r="X773" s="4">
        <v>0.7763</v>
      </c>
      <c r="AA773" s="4" t="s">
        <v>859</v>
      </c>
      <c r="AE773" s="4" t="s">
        <v>860</v>
      </c>
      <c r="AF773" s="4" t="s">
        <v>861</v>
      </c>
      <c r="AG773" s="4" t="s">
        <v>841</v>
      </c>
      <c r="AH773" s="4" t="s">
        <v>842</v>
      </c>
      <c r="AL773" s="4" t="s">
        <v>843</v>
      </c>
      <c r="AM773" s="4">
        <v>5.6</v>
      </c>
      <c r="AQ773" s="4" t="s">
        <v>844</v>
      </c>
      <c r="AR773" s="4">
        <v>4000</v>
      </c>
      <c r="BD773" s="4" t="s">
        <v>845</v>
      </c>
      <c r="BI773" s="4" t="s">
        <v>320</v>
      </c>
      <c r="BN773" s="4">
        <v>1</v>
      </c>
      <c r="BR773" s="4">
        <v>0.01</v>
      </c>
      <c r="BS773" s="4">
        <v>6.5</v>
      </c>
      <c r="BU773" s="4">
        <v>250</v>
      </c>
      <c r="BV773" s="4">
        <v>120</v>
      </c>
      <c r="CB773" s="4" t="s">
        <v>463</v>
      </c>
      <c r="CC773" s="4">
        <v>6.538</v>
      </c>
      <c r="DO773" s="4">
        <v>3</v>
      </c>
      <c r="IB773" s="4">
        <v>91.52</v>
      </c>
      <c r="IE773" s="4">
        <v>91.52</v>
      </c>
    </row>
    <row r="774" customHeight="1" spans="1:239">
      <c r="A774" s="3">
        <v>23</v>
      </c>
      <c r="B774" s="4" t="s">
        <v>835</v>
      </c>
      <c r="C774" s="5" t="s">
        <v>857</v>
      </c>
      <c r="D774" s="4" t="s">
        <v>300</v>
      </c>
      <c r="E774" s="4" t="s">
        <v>837</v>
      </c>
      <c r="G774" s="4" t="s">
        <v>858</v>
      </c>
      <c r="J774" s="4">
        <v>60</v>
      </c>
      <c r="N774" s="4" t="s">
        <v>567</v>
      </c>
      <c r="O774" s="4" t="s">
        <v>502</v>
      </c>
      <c r="P774" s="4">
        <v>4</v>
      </c>
      <c r="T774" s="4">
        <v>32.5</v>
      </c>
      <c r="X774" s="4">
        <v>0.7763</v>
      </c>
      <c r="AA774" s="4" t="s">
        <v>859</v>
      </c>
      <c r="AE774" s="4" t="s">
        <v>860</v>
      </c>
      <c r="AF774" s="4" t="s">
        <v>861</v>
      </c>
      <c r="AG774" s="4" t="s">
        <v>841</v>
      </c>
      <c r="AH774" s="4" t="s">
        <v>842</v>
      </c>
      <c r="AL774" s="4" t="s">
        <v>843</v>
      </c>
      <c r="AM774" s="4">
        <v>5.6</v>
      </c>
      <c r="AQ774" s="4" t="s">
        <v>844</v>
      </c>
      <c r="AR774" s="4">
        <v>4000</v>
      </c>
      <c r="BD774" s="4" t="s">
        <v>845</v>
      </c>
      <c r="BI774" s="4" t="s">
        <v>320</v>
      </c>
      <c r="BN774" s="4">
        <v>1</v>
      </c>
      <c r="BR774" s="4">
        <v>0.01</v>
      </c>
      <c r="BS774" s="4">
        <v>7.5</v>
      </c>
      <c r="BU774" s="4">
        <v>250</v>
      </c>
      <c r="BV774" s="4">
        <v>120</v>
      </c>
      <c r="CB774" s="4" t="s">
        <v>463</v>
      </c>
      <c r="CC774" s="4">
        <v>6.538</v>
      </c>
      <c r="DO774" s="4">
        <v>3</v>
      </c>
      <c r="IB774" s="4">
        <v>93.03</v>
      </c>
      <c r="IE774" s="4">
        <v>93.03</v>
      </c>
    </row>
    <row r="775" customHeight="1" spans="1:239">
      <c r="A775" s="3">
        <v>23</v>
      </c>
      <c r="B775" s="4" t="s">
        <v>835</v>
      </c>
      <c r="C775" s="5" t="s">
        <v>857</v>
      </c>
      <c r="D775" s="4" t="s">
        <v>300</v>
      </c>
      <c r="E775" s="4" t="s">
        <v>837</v>
      </c>
      <c r="G775" s="4" t="s">
        <v>858</v>
      </c>
      <c r="J775" s="4">
        <v>60</v>
      </c>
      <c r="N775" s="4" t="s">
        <v>567</v>
      </c>
      <c r="O775" s="4" t="s">
        <v>502</v>
      </c>
      <c r="P775" s="4">
        <v>4</v>
      </c>
      <c r="T775" s="4">
        <v>32.5</v>
      </c>
      <c r="X775" s="4">
        <v>0.7763</v>
      </c>
      <c r="AA775" s="4" t="s">
        <v>859</v>
      </c>
      <c r="AE775" s="4" t="s">
        <v>860</v>
      </c>
      <c r="AF775" s="4" t="s">
        <v>861</v>
      </c>
      <c r="AG775" s="4" t="s">
        <v>841</v>
      </c>
      <c r="AH775" s="4" t="s">
        <v>842</v>
      </c>
      <c r="AL775" s="4" t="s">
        <v>843</v>
      </c>
      <c r="AM775" s="4">
        <v>5.6</v>
      </c>
      <c r="AQ775" s="4" t="s">
        <v>844</v>
      </c>
      <c r="AR775" s="4">
        <v>4000</v>
      </c>
      <c r="BD775" s="4" t="s">
        <v>845</v>
      </c>
      <c r="BI775" s="4" t="s">
        <v>320</v>
      </c>
      <c r="BN775" s="4">
        <v>1</v>
      </c>
      <c r="BR775" s="4">
        <v>0.01</v>
      </c>
      <c r="BS775" s="4">
        <v>8.5</v>
      </c>
      <c r="BU775" s="4">
        <v>250</v>
      </c>
      <c r="BV775" s="4">
        <v>120</v>
      </c>
      <c r="CB775" s="4" t="s">
        <v>463</v>
      </c>
      <c r="CC775" s="4">
        <v>6.538</v>
      </c>
      <c r="DO775" s="4">
        <v>3</v>
      </c>
      <c r="IB775" s="4">
        <v>98.18</v>
      </c>
      <c r="IE775" s="4">
        <v>98.18</v>
      </c>
    </row>
    <row r="776" customHeight="1" spans="1:239">
      <c r="A776" s="3">
        <v>23</v>
      </c>
      <c r="B776" s="4" t="s">
        <v>835</v>
      </c>
      <c r="C776" s="5" t="s">
        <v>857</v>
      </c>
      <c r="D776" s="4" t="s">
        <v>300</v>
      </c>
      <c r="E776" s="4" t="s">
        <v>837</v>
      </c>
      <c r="G776" s="4" t="s">
        <v>858</v>
      </c>
      <c r="J776" s="4">
        <v>60</v>
      </c>
      <c r="N776" s="4" t="s">
        <v>567</v>
      </c>
      <c r="O776" s="4" t="s">
        <v>502</v>
      </c>
      <c r="P776" s="4">
        <v>4</v>
      </c>
      <c r="T776" s="4">
        <v>32.5</v>
      </c>
      <c r="X776" s="4">
        <v>0.7763</v>
      </c>
      <c r="AA776" s="4" t="s">
        <v>859</v>
      </c>
      <c r="AE776" s="4" t="s">
        <v>860</v>
      </c>
      <c r="AF776" s="4" t="s">
        <v>861</v>
      </c>
      <c r="AG776" s="4" t="s">
        <v>841</v>
      </c>
      <c r="AH776" s="4" t="s">
        <v>848</v>
      </c>
      <c r="AL776" s="4" t="s">
        <v>849</v>
      </c>
      <c r="AM776" s="4">
        <v>6.1</v>
      </c>
      <c r="AQ776" s="4" t="s">
        <v>519</v>
      </c>
      <c r="AR776" s="4">
        <v>16000</v>
      </c>
      <c r="BD776" s="4" t="s">
        <v>845</v>
      </c>
      <c r="BI776" s="4" t="s">
        <v>320</v>
      </c>
      <c r="BN776" s="4">
        <v>1</v>
      </c>
      <c r="BR776" s="4">
        <v>0.01</v>
      </c>
      <c r="BS776" s="4">
        <v>5.5</v>
      </c>
      <c r="BU776" s="4">
        <v>250</v>
      </c>
      <c r="BV776" s="4">
        <v>120</v>
      </c>
      <c r="CB776" s="4" t="s">
        <v>496</v>
      </c>
      <c r="CC776" s="4">
        <v>7.49216</v>
      </c>
      <c r="DO776" s="4">
        <v>3</v>
      </c>
      <c r="FE776" s="4">
        <v>97.78</v>
      </c>
      <c r="FH776" s="4">
        <v>97.78</v>
      </c>
    </row>
    <row r="777" customHeight="1" spans="1:239">
      <c r="A777" s="3">
        <v>23</v>
      </c>
      <c r="B777" s="4" t="s">
        <v>835</v>
      </c>
      <c r="C777" s="5" t="s">
        <v>857</v>
      </c>
      <c r="D777" s="4" t="s">
        <v>300</v>
      </c>
      <c r="E777" s="4" t="s">
        <v>837</v>
      </c>
      <c r="G777" s="4" t="s">
        <v>858</v>
      </c>
      <c r="J777" s="4">
        <v>60</v>
      </c>
      <c r="N777" s="4" t="s">
        <v>567</v>
      </c>
      <c r="O777" s="4" t="s">
        <v>502</v>
      </c>
      <c r="P777" s="4">
        <v>4</v>
      </c>
      <c r="T777" s="4">
        <v>32.5</v>
      </c>
      <c r="X777" s="4">
        <v>0.7763</v>
      </c>
      <c r="AA777" s="4" t="s">
        <v>859</v>
      </c>
      <c r="AE777" s="4" t="s">
        <v>860</v>
      </c>
      <c r="AF777" s="4" t="s">
        <v>861</v>
      </c>
      <c r="AG777" s="4" t="s">
        <v>841</v>
      </c>
      <c r="AH777" s="4" t="s">
        <v>848</v>
      </c>
      <c r="AL777" s="4" t="s">
        <v>849</v>
      </c>
      <c r="AM777" s="4">
        <v>6.1</v>
      </c>
      <c r="AQ777" s="4" t="s">
        <v>519</v>
      </c>
      <c r="AR777" s="4">
        <v>16000</v>
      </c>
      <c r="BD777" s="4" t="s">
        <v>845</v>
      </c>
      <c r="BI777" s="4" t="s">
        <v>320</v>
      </c>
      <c r="BN777" s="4">
        <v>1</v>
      </c>
      <c r="BR777" s="4">
        <v>0.01</v>
      </c>
      <c r="BS777" s="4">
        <v>6.5</v>
      </c>
      <c r="BU777" s="4">
        <v>250</v>
      </c>
      <c r="BV777" s="4">
        <v>120</v>
      </c>
      <c r="CB777" s="4" t="s">
        <v>496</v>
      </c>
      <c r="CC777" s="4">
        <v>7.49216</v>
      </c>
      <c r="DO777" s="4">
        <v>3</v>
      </c>
      <c r="FE777" s="4">
        <v>92.38</v>
      </c>
      <c r="FH777" s="4">
        <v>92.38</v>
      </c>
    </row>
    <row r="778" customHeight="1" spans="1:239">
      <c r="A778" s="3">
        <v>23</v>
      </c>
      <c r="B778" s="4" t="s">
        <v>835</v>
      </c>
      <c r="C778" s="5" t="s">
        <v>857</v>
      </c>
      <c r="D778" s="4" t="s">
        <v>300</v>
      </c>
      <c r="E778" s="4" t="s">
        <v>837</v>
      </c>
      <c r="G778" s="4" t="s">
        <v>858</v>
      </c>
      <c r="J778" s="4">
        <v>60</v>
      </c>
      <c r="N778" s="4" t="s">
        <v>567</v>
      </c>
      <c r="O778" s="4" t="s">
        <v>502</v>
      </c>
      <c r="P778" s="4">
        <v>4</v>
      </c>
      <c r="T778" s="4">
        <v>32.5</v>
      </c>
      <c r="X778" s="4">
        <v>0.7763</v>
      </c>
      <c r="AA778" s="4" t="s">
        <v>859</v>
      </c>
      <c r="AE778" s="4" t="s">
        <v>860</v>
      </c>
      <c r="AF778" s="4" t="s">
        <v>861</v>
      </c>
      <c r="AG778" s="4" t="s">
        <v>841</v>
      </c>
      <c r="AH778" s="4" t="s">
        <v>848</v>
      </c>
      <c r="AL778" s="4" t="s">
        <v>849</v>
      </c>
      <c r="AM778" s="4">
        <v>6.1</v>
      </c>
      <c r="AQ778" s="4" t="s">
        <v>519</v>
      </c>
      <c r="AR778" s="4">
        <v>16000</v>
      </c>
      <c r="BD778" s="4" t="s">
        <v>845</v>
      </c>
      <c r="BI778" s="4" t="s">
        <v>320</v>
      </c>
      <c r="BN778" s="4">
        <v>1</v>
      </c>
      <c r="BR778" s="4">
        <v>0.01</v>
      </c>
      <c r="BS778" s="4">
        <v>7.5</v>
      </c>
      <c r="BU778" s="4">
        <v>250</v>
      </c>
      <c r="BV778" s="4">
        <v>120</v>
      </c>
      <c r="CB778" s="4" t="s">
        <v>496</v>
      </c>
      <c r="CC778" s="4">
        <v>7.49216</v>
      </c>
      <c r="DO778" s="4">
        <v>3</v>
      </c>
      <c r="FE778" s="27">
        <v>87.62</v>
      </c>
      <c r="FH778" s="27">
        <v>87.62</v>
      </c>
    </row>
    <row r="779" customHeight="1" spans="1:239">
      <c r="A779" s="3">
        <v>23</v>
      </c>
      <c r="B779" s="4" t="s">
        <v>835</v>
      </c>
      <c r="C779" s="5" t="s">
        <v>857</v>
      </c>
      <c r="D779" s="4" t="s">
        <v>300</v>
      </c>
      <c r="E779" s="4" t="s">
        <v>837</v>
      </c>
      <c r="G779" s="4" t="s">
        <v>858</v>
      </c>
      <c r="J779" s="4">
        <v>60</v>
      </c>
      <c r="N779" s="4" t="s">
        <v>567</v>
      </c>
      <c r="O779" s="4" t="s">
        <v>502</v>
      </c>
      <c r="P779" s="4">
        <v>4</v>
      </c>
      <c r="T779" s="4">
        <v>32.5</v>
      </c>
      <c r="X779" s="4">
        <v>0.7763</v>
      </c>
      <c r="AA779" s="4" t="s">
        <v>859</v>
      </c>
      <c r="AE779" s="4" t="s">
        <v>860</v>
      </c>
      <c r="AF779" s="4" t="s">
        <v>861</v>
      </c>
      <c r="AG779" s="4" t="s">
        <v>841</v>
      </c>
      <c r="AH779" s="4" t="s">
        <v>848</v>
      </c>
      <c r="AL779" s="4" t="s">
        <v>849</v>
      </c>
      <c r="AM779" s="4">
        <v>6.1</v>
      </c>
      <c r="AQ779" s="4" t="s">
        <v>519</v>
      </c>
      <c r="AR779" s="4">
        <v>16000</v>
      </c>
      <c r="BD779" s="4" t="s">
        <v>845</v>
      </c>
      <c r="BI779" s="4" t="s">
        <v>320</v>
      </c>
      <c r="BN779" s="4">
        <v>1</v>
      </c>
      <c r="BR779" s="4">
        <v>0.01</v>
      </c>
      <c r="BS779" s="4">
        <v>8.5</v>
      </c>
      <c r="BU779" s="4">
        <v>250</v>
      </c>
      <c r="BV779" s="4">
        <v>120</v>
      </c>
      <c r="CB779" s="4" t="s">
        <v>496</v>
      </c>
      <c r="CC779" s="4">
        <v>7.49216</v>
      </c>
      <c r="DO779" s="4">
        <v>3</v>
      </c>
      <c r="FE779" s="27">
        <v>65.08</v>
      </c>
      <c r="FH779" s="27">
        <v>65.08</v>
      </c>
    </row>
    <row r="780" customHeight="1" spans="1:239">
      <c r="A780" s="3">
        <v>23</v>
      </c>
      <c r="B780" s="4" t="s">
        <v>835</v>
      </c>
      <c r="C780" s="5" t="s">
        <v>857</v>
      </c>
      <c r="D780" s="4" t="s">
        <v>300</v>
      </c>
      <c r="E780" s="4" t="s">
        <v>837</v>
      </c>
      <c r="G780" s="4" t="s">
        <v>858</v>
      </c>
      <c r="J780" s="4">
        <v>60</v>
      </c>
      <c r="N780" s="4" t="s">
        <v>567</v>
      </c>
      <c r="O780" s="4" t="s">
        <v>502</v>
      </c>
      <c r="P780" s="4">
        <v>4</v>
      </c>
      <c r="T780" s="4">
        <v>32.5</v>
      </c>
      <c r="X780" s="4">
        <v>0.7763</v>
      </c>
      <c r="AA780" s="4" t="s">
        <v>859</v>
      </c>
      <c r="AE780" s="4" t="s">
        <v>860</v>
      </c>
      <c r="AF780" s="4" t="s">
        <v>861</v>
      </c>
      <c r="AG780" s="4" t="s">
        <v>841</v>
      </c>
      <c r="AH780" s="4" t="s">
        <v>848</v>
      </c>
      <c r="AL780" s="4" t="s">
        <v>849</v>
      </c>
      <c r="AM780" s="4">
        <v>6.1</v>
      </c>
      <c r="AQ780" s="4" t="s">
        <v>519</v>
      </c>
      <c r="AR780" s="4">
        <v>16000</v>
      </c>
      <c r="BD780" s="4" t="s">
        <v>845</v>
      </c>
      <c r="BI780" s="4" t="s">
        <v>320</v>
      </c>
      <c r="BN780" s="4">
        <v>1</v>
      </c>
      <c r="BR780" s="4">
        <v>0.01</v>
      </c>
      <c r="BS780" s="4">
        <v>9.5</v>
      </c>
      <c r="BU780" s="4">
        <v>250</v>
      </c>
      <c r="BV780" s="4">
        <v>120</v>
      </c>
      <c r="CB780" s="4" t="s">
        <v>496</v>
      </c>
      <c r="CC780" s="4">
        <v>7.49216</v>
      </c>
      <c r="DO780" s="4">
        <v>3</v>
      </c>
      <c r="FE780" s="27">
        <v>51.43</v>
      </c>
      <c r="FH780" s="27">
        <v>51.43</v>
      </c>
    </row>
    <row r="781" customHeight="1" spans="1:239">
      <c r="A781" s="3">
        <v>23</v>
      </c>
      <c r="B781" s="4" t="s">
        <v>835</v>
      </c>
      <c r="C781" s="5" t="s">
        <v>857</v>
      </c>
      <c r="D781" s="4" t="s">
        <v>300</v>
      </c>
      <c r="E781" s="4" t="s">
        <v>837</v>
      </c>
      <c r="G781" s="4" t="s">
        <v>858</v>
      </c>
      <c r="J781" s="4">
        <v>60</v>
      </c>
      <c r="N781" s="4" t="s">
        <v>567</v>
      </c>
      <c r="O781" s="4" t="s">
        <v>502</v>
      </c>
      <c r="P781" s="4">
        <v>4</v>
      </c>
      <c r="T781" s="4">
        <v>32.5</v>
      </c>
      <c r="X781" s="4">
        <v>0.7763</v>
      </c>
      <c r="AA781" s="4" t="s">
        <v>859</v>
      </c>
      <c r="AE781" s="4" t="s">
        <v>860</v>
      </c>
      <c r="AF781" s="4" t="s">
        <v>861</v>
      </c>
      <c r="AG781" s="4" t="s">
        <v>841</v>
      </c>
      <c r="AH781" s="4" t="s">
        <v>842</v>
      </c>
      <c r="AL781" s="4" t="s">
        <v>843</v>
      </c>
      <c r="AM781" s="4">
        <v>5.6</v>
      </c>
      <c r="AQ781" s="4" t="s">
        <v>844</v>
      </c>
      <c r="AR781" s="4">
        <v>4000</v>
      </c>
      <c r="BD781" s="4" t="s">
        <v>845</v>
      </c>
      <c r="BI781" s="4" t="s">
        <v>320</v>
      </c>
      <c r="BN781" s="4">
        <v>1</v>
      </c>
      <c r="BR781" s="4">
        <v>0.01</v>
      </c>
      <c r="BS781" s="4">
        <v>3.5</v>
      </c>
      <c r="BU781" s="4">
        <v>250</v>
      </c>
      <c r="BV781" s="4">
        <v>120</v>
      </c>
      <c r="CB781" s="4" t="s">
        <v>463</v>
      </c>
      <c r="CC781" s="4">
        <v>6.538</v>
      </c>
      <c r="DO781" s="4">
        <v>3</v>
      </c>
      <c r="IB781" s="4">
        <v>4.84</v>
      </c>
      <c r="IE781" s="4">
        <v>4.84</v>
      </c>
    </row>
    <row r="782" customHeight="1" spans="1:239">
      <c r="A782" s="3">
        <v>23</v>
      </c>
      <c r="B782" s="4" t="s">
        <v>835</v>
      </c>
      <c r="C782" s="5" t="s">
        <v>857</v>
      </c>
      <c r="D782" s="4" t="s">
        <v>300</v>
      </c>
      <c r="E782" s="4" t="s">
        <v>837</v>
      </c>
      <c r="G782" s="4" t="s">
        <v>858</v>
      </c>
      <c r="J782" s="4">
        <v>60</v>
      </c>
      <c r="N782" s="4" t="s">
        <v>567</v>
      </c>
      <c r="O782" s="4" t="s">
        <v>502</v>
      </c>
      <c r="P782" s="4">
        <v>4</v>
      </c>
      <c r="T782" s="4">
        <v>32.5</v>
      </c>
      <c r="X782" s="4">
        <v>0.7763</v>
      </c>
      <c r="AA782" s="4" t="s">
        <v>859</v>
      </c>
      <c r="AE782" s="4" t="s">
        <v>860</v>
      </c>
      <c r="AF782" s="4" t="s">
        <v>861</v>
      </c>
      <c r="AG782" s="4" t="s">
        <v>841</v>
      </c>
      <c r="AH782" s="4" t="s">
        <v>842</v>
      </c>
      <c r="AL782" s="4" t="s">
        <v>843</v>
      </c>
      <c r="AM782" s="4">
        <v>5.6</v>
      </c>
      <c r="AQ782" s="4" t="s">
        <v>844</v>
      </c>
      <c r="AR782" s="4">
        <v>4000</v>
      </c>
      <c r="BD782" s="4" t="s">
        <v>845</v>
      </c>
      <c r="BI782" s="4" t="s">
        <v>320</v>
      </c>
      <c r="BN782" s="4">
        <v>1</v>
      </c>
      <c r="BR782" s="4">
        <v>0.01</v>
      </c>
      <c r="BS782" s="4">
        <v>4.5</v>
      </c>
      <c r="BU782" s="4">
        <v>250</v>
      </c>
      <c r="BV782" s="4">
        <v>120</v>
      </c>
      <c r="CB782" s="4" t="s">
        <v>463</v>
      </c>
      <c r="CC782" s="4">
        <v>6.538</v>
      </c>
      <c r="DO782" s="4">
        <v>3</v>
      </c>
      <c r="IB782" s="4">
        <v>40</v>
      </c>
      <c r="IE782" s="4">
        <v>40</v>
      </c>
    </row>
    <row r="783" customHeight="1" spans="1:239">
      <c r="A783" s="3">
        <v>23</v>
      </c>
      <c r="B783" s="4" t="s">
        <v>835</v>
      </c>
      <c r="C783" s="5" t="s">
        <v>857</v>
      </c>
      <c r="D783" s="4" t="s">
        <v>300</v>
      </c>
      <c r="E783" s="4" t="s">
        <v>837</v>
      </c>
      <c r="G783" s="4" t="s">
        <v>858</v>
      </c>
      <c r="J783" s="4">
        <v>60</v>
      </c>
      <c r="N783" s="4" t="s">
        <v>567</v>
      </c>
      <c r="O783" s="4" t="s">
        <v>502</v>
      </c>
      <c r="P783" s="4">
        <v>4</v>
      </c>
      <c r="T783" s="4">
        <v>32.5</v>
      </c>
      <c r="X783" s="4">
        <v>0.7763</v>
      </c>
      <c r="AA783" s="4" t="s">
        <v>859</v>
      </c>
      <c r="AE783" s="4" t="s">
        <v>860</v>
      </c>
      <c r="AF783" s="4" t="s">
        <v>861</v>
      </c>
      <c r="AG783" s="4" t="s">
        <v>841</v>
      </c>
      <c r="AH783" s="4" t="s">
        <v>842</v>
      </c>
      <c r="AL783" s="4" t="s">
        <v>843</v>
      </c>
      <c r="AM783" s="4">
        <v>5.6</v>
      </c>
      <c r="AQ783" s="4" t="s">
        <v>844</v>
      </c>
      <c r="AR783" s="4">
        <v>4000</v>
      </c>
      <c r="BD783" s="4" t="s">
        <v>845</v>
      </c>
      <c r="BI783" s="4" t="s">
        <v>320</v>
      </c>
      <c r="BN783" s="4">
        <v>1</v>
      </c>
      <c r="BR783" s="4">
        <v>0.01</v>
      </c>
      <c r="BS783" s="4">
        <v>5.5</v>
      </c>
      <c r="BU783" s="4">
        <v>250</v>
      </c>
      <c r="BV783" s="4">
        <v>120</v>
      </c>
      <c r="CB783" s="4" t="s">
        <v>463</v>
      </c>
      <c r="CC783" s="4">
        <v>6.538</v>
      </c>
      <c r="DO783" s="4">
        <v>3</v>
      </c>
      <c r="IB783" s="4">
        <v>75.45</v>
      </c>
      <c r="IE783" s="4">
        <v>75.45</v>
      </c>
    </row>
    <row r="784" customHeight="1" spans="1:239">
      <c r="A784" s="3">
        <v>23</v>
      </c>
      <c r="B784" s="4" t="s">
        <v>835</v>
      </c>
      <c r="C784" s="5" t="s">
        <v>857</v>
      </c>
      <c r="D784" s="4" t="s">
        <v>300</v>
      </c>
      <c r="E784" s="4" t="s">
        <v>837</v>
      </c>
      <c r="G784" s="4" t="s">
        <v>858</v>
      </c>
      <c r="J784" s="4">
        <v>60</v>
      </c>
      <c r="N784" s="4" t="s">
        <v>567</v>
      </c>
      <c r="O784" s="4" t="s">
        <v>502</v>
      </c>
      <c r="P784" s="4">
        <v>4</v>
      </c>
      <c r="T784" s="4">
        <v>32.5</v>
      </c>
      <c r="X784" s="4">
        <v>0.7763</v>
      </c>
      <c r="AA784" s="4" t="s">
        <v>859</v>
      </c>
      <c r="AE784" s="4" t="s">
        <v>860</v>
      </c>
      <c r="AF784" s="4" t="s">
        <v>861</v>
      </c>
      <c r="AG784" s="4" t="s">
        <v>841</v>
      </c>
      <c r="AH784" s="4" t="s">
        <v>842</v>
      </c>
      <c r="AL784" s="4" t="s">
        <v>843</v>
      </c>
      <c r="AM784" s="4">
        <v>5.6</v>
      </c>
      <c r="AQ784" s="4" t="s">
        <v>844</v>
      </c>
      <c r="AR784" s="4">
        <v>4000</v>
      </c>
      <c r="BD784" s="4" t="s">
        <v>845</v>
      </c>
      <c r="BI784" s="4" t="s">
        <v>320</v>
      </c>
      <c r="BN784" s="4">
        <v>1</v>
      </c>
      <c r="BR784" s="4">
        <v>0.01</v>
      </c>
      <c r="BS784" s="4">
        <v>6.5</v>
      </c>
      <c r="BU784" s="4">
        <v>250</v>
      </c>
      <c r="BV784" s="4">
        <v>120</v>
      </c>
      <c r="CB784" s="4" t="s">
        <v>463</v>
      </c>
      <c r="CC784" s="4">
        <v>6.538</v>
      </c>
      <c r="DO784" s="4">
        <v>3</v>
      </c>
      <c r="IB784" s="4">
        <v>90.03</v>
      </c>
      <c r="IE784" s="4">
        <v>90.03</v>
      </c>
    </row>
    <row r="785" customHeight="1" spans="1:313">
      <c r="A785" s="3">
        <v>23</v>
      </c>
      <c r="B785" s="4" t="s">
        <v>835</v>
      </c>
      <c r="C785" s="5" t="s">
        <v>857</v>
      </c>
      <c r="D785" s="4" t="s">
        <v>300</v>
      </c>
      <c r="E785" s="4" t="s">
        <v>837</v>
      </c>
      <c r="G785" s="4" t="s">
        <v>858</v>
      </c>
      <c r="J785" s="4">
        <v>60</v>
      </c>
      <c r="N785" s="4" t="s">
        <v>567</v>
      </c>
      <c r="O785" s="4" t="s">
        <v>502</v>
      </c>
      <c r="P785" s="4">
        <v>4</v>
      </c>
      <c r="T785" s="4">
        <v>32.5</v>
      </c>
      <c r="X785" s="4">
        <v>0.7763</v>
      </c>
      <c r="AA785" s="4" t="s">
        <v>859</v>
      </c>
      <c r="AE785" s="4" t="s">
        <v>860</v>
      </c>
      <c r="AF785" s="4" t="s">
        <v>861</v>
      </c>
      <c r="AG785" s="4" t="s">
        <v>841</v>
      </c>
      <c r="AH785" s="4" t="s">
        <v>842</v>
      </c>
      <c r="AL785" s="4" t="s">
        <v>843</v>
      </c>
      <c r="AM785" s="4">
        <v>5.6</v>
      </c>
      <c r="AQ785" s="4" t="s">
        <v>844</v>
      </c>
      <c r="AR785" s="4">
        <v>4000</v>
      </c>
      <c r="BD785" s="4" t="s">
        <v>845</v>
      </c>
      <c r="BI785" s="4" t="s">
        <v>320</v>
      </c>
      <c r="BN785" s="4">
        <v>1</v>
      </c>
      <c r="BR785" s="4">
        <v>0.01</v>
      </c>
      <c r="BS785" s="4">
        <v>7.5</v>
      </c>
      <c r="BU785" s="4">
        <v>250</v>
      </c>
      <c r="BV785" s="4">
        <v>120</v>
      </c>
      <c r="CB785" s="4" t="s">
        <v>463</v>
      </c>
      <c r="CC785" s="4">
        <v>6.538</v>
      </c>
      <c r="DO785" s="4">
        <v>3</v>
      </c>
      <c r="IB785" s="4">
        <v>96.06</v>
      </c>
      <c r="IE785" s="4">
        <v>96.06</v>
      </c>
    </row>
    <row r="786" customHeight="1" spans="1:313">
      <c r="A786" s="3">
        <v>23</v>
      </c>
      <c r="B786" s="4" t="s">
        <v>835</v>
      </c>
      <c r="C786" s="5" t="s">
        <v>857</v>
      </c>
      <c r="D786" s="4" t="s">
        <v>300</v>
      </c>
      <c r="E786" s="4" t="s">
        <v>837</v>
      </c>
      <c r="G786" s="4" t="s">
        <v>858</v>
      </c>
      <c r="J786" s="4">
        <v>60</v>
      </c>
      <c r="N786" s="4" t="s">
        <v>567</v>
      </c>
      <c r="O786" s="4" t="s">
        <v>502</v>
      </c>
      <c r="P786" s="4">
        <v>4</v>
      </c>
      <c r="T786" s="4">
        <v>32.5</v>
      </c>
      <c r="X786" s="4">
        <v>0.7763</v>
      </c>
      <c r="AA786" s="4" t="s">
        <v>859</v>
      </c>
      <c r="AE786" s="4" t="s">
        <v>860</v>
      </c>
      <c r="AF786" s="4" t="s">
        <v>861</v>
      </c>
      <c r="AG786" s="4" t="s">
        <v>841</v>
      </c>
      <c r="AH786" s="4" t="s">
        <v>842</v>
      </c>
      <c r="AL786" s="4" t="s">
        <v>843</v>
      </c>
      <c r="AM786" s="4">
        <v>5.6</v>
      </c>
      <c r="AQ786" s="4" t="s">
        <v>844</v>
      </c>
      <c r="AR786" s="4">
        <v>4000</v>
      </c>
      <c r="BD786" s="4" t="s">
        <v>845</v>
      </c>
      <c r="BI786" s="4" t="s">
        <v>320</v>
      </c>
      <c r="BN786" s="4">
        <v>1</v>
      </c>
      <c r="BR786" s="4">
        <v>0.01</v>
      </c>
      <c r="BS786" s="4">
        <v>8.5</v>
      </c>
      <c r="BU786" s="4">
        <v>250</v>
      </c>
      <c r="BV786" s="4">
        <v>120</v>
      </c>
      <c r="CB786" s="4" t="s">
        <v>463</v>
      </c>
      <c r="CC786" s="4">
        <v>6.538</v>
      </c>
      <c r="DO786" s="4">
        <v>3</v>
      </c>
      <c r="IB786" s="4">
        <v>98.48</v>
      </c>
      <c r="IE786" s="4">
        <v>98.48</v>
      </c>
    </row>
    <row r="787" customHeight="1" spans="1:313">
      <c r="A787" s="3">
        <v>23</v>
      </c>
      <c r="B787" s="4" t="s">
        <v>835</v>
      </c>
      <c r="C787" s="5" t="s">
        <v>857</v>
      </c>
      <c r="D787" s="4" t="s">
        <v>300</v>
      </c>
      <c r="E787" s="4" t="s">
        <v>837</v>
      </c>
      <c r="G787" s="4" t="s">
        <v>858</v>
      </c>
      <c r="J787" s="4">
        <v>60</v>
      </c>
      <c r="N787" s="4" t="s">
        <v>567</v>
      </c>
      <c r="O787" s="4" t="s">
        <v>502</v>
      </c>
      <c r="P787" s="4">
        <v>4</v>
      </c>
      <c r="T787" s="4">
        <v>32.5</v>
      </c>
      <c r="X787" s="4">
        <v>0.7763</v>
      </c>
      <c r="AA787" s="4" t="s">
        <v>859</v>
      </c>
      <c r="AE787" s="4" t="s">
        <v>860</v>
      </c>
      <c r="AF787" s="4" t="s">
        <v>861</v>
      </c>
      <c r="AG787" s="4" t="s">
        <v>841</v>
      </c>
      <c r="AH787" s="4" t="s">
        <v>848</v>
      </c>
      <c r="AL787" s="4" t="s">
        <v>849</v>
      </c>
      <c r="AM787" s="4">
        <v>6.1</v>
      </c>
      <c r="AQ787" s="4" t="s">
        <v>519</v>
      </c>
      <c r="AR787" s="4">
        <v>16000</v>
      </c>
      <c r="BD787" s="4" t="s">
        <v>845</v>
      </c>
      <c r="BI787" s="4" t="s">
        <v>320</v>
      </c>
      <c r="BN787" s="4">
        <v>1</v>
      </c>
      <c r="BR787" s="4">
        <v>0.01</v>
      </c>
      <c r="BS787" s="4">
        <v>5.5</v>
      </c>
      <c r="BU787" s="4">
        <v>250</v>
      </c>
      <c r="BV787" s="4">
        <v>120</v>
      </c>
      <c r="CB787" s="4" t="s">
        <v>496</v>
      </c>
      <c r="CC787" s="4">
        <v>7.49216</v>
      </c>
      <c r="DO787" s="4">
        <v>3</v>
      </c>
      <c r="FE787" s="4">
        <v>97.78</v>
      </c>
      <c r="FH787" s="4">
        <v>97.78</v>
      </c>
    </row>
    <row r="788" customHeight="1" spans="1:313">
      <c r="A788" s="3">
        <v>23</v>
      </c>
      <c r="B788" s="4" t="s">
        <v>835</v>
      </c>
      <c r="C788" s="5" t="s">
        <v>857</v>
      </c>
      <c r="D788" s="4" t="s">
        <v>300</v>
      </c>
      <c r="E788" s="4" t="s">
        <v>837</v>
      </c>
      <c r="G788" s="4" t="s">
        <v>858</v>
      </c>
      <c r="J788" s="4">
        <v>60</v>
      </c>
      <c r="N788" s="4" t="s">
        <v>567</v>
      </c>
      <c r="O788" s="4" t="s">
        <v>502</v>
      </c>
      <c r="P788" s="4">
        <v>4</v>
      </c>
      <c r="T788" s="4">
        <v>32.5</v>
      </c>
      <c r="X788" s="4">
        <v>0.7763</v>
      </c>
      <c r="AA788" s="4" t="s">
        <v>859</v>
      </c>
      <c r="AE788" s="4" t="s">
        <v>860</v>
      </c>
      <c r="AF788" s="4" t="s">
        <v>861</v>
      </c>
      <c r="AG788" s="4" t="s">
        <v>841</v>
      </c>
      <c r="AH788" s="4" t="s">
        <v>848</v>
      </c>
      <c r="AL788" s="4" t="s">
        <v>849</v>
      </c>
      <c r="AM788" s="4">
        <v>6.1</v>
      </c>
      <c r="AQ788" s="4" t="s">
        <v>519</v>
      </c>
      <c r="AR788" s="4">
        <v>16000</v>
      </c>
      <c r="BD788" s="4" t="s">
        <v>845</v>
      </c>
      <c r="BI788" s="4" t="s">
        <v>320</v>
      </c>
      <c r="BN788" s="4">
        <v>1</v>
      </c>
      <c r="BR788" s="4">
        <v>0.01</v>
      </c>
      <c r="BS788" s="4">
        <v>6.5</v>
      </c>
      <c r="BU788" s="4">
        <v>250</v>
      </c>
      <c r="BV788" s="4">
        <v>120</v>
      </c>
      <c r="CB788" s="4" t="s">
        <v>496</v>
      </c>
      <c r="CC788" s="4">
        <v>7.49216</v>
      </c>
      <c r="DO788" s="4">
        <v>3</v>
      </c>
      <c r="FE788" s="4">
        <v>90.79</v>
      </c>
      <c r="FH788" s="4">
        <v>90.79</v>
      </c>
    </row>
    <row r="789" customHeight="1" spans="1:313">
      <c r="A789" s="3">
        <v>23</v>
      </c>
      <c r="B789" s="4" t="s">
        <v>835</v>
      </c>
      <c r="C789" s="5" t="s">
        <v>857</v>
      </c>
      <c r="D789" s="4" t="s">
        <v>300</v>
      </c>
      <c r="E789" s="4" t="s">
        <v>837</v>
      </c>
      <c r="G789" s="4" t="s">
        <v>858</v>
      </c>
      <c r="J789" s="4">
        <v>60</v>
      </c>
      <c r="N789" s="4" t="s">
        <v>567</v>
      </c>
      <c r="O789" s="4" t="s">
        <v>502</v>
      </c>
      <c r="P789" s="4">
        <v>4</v>
      </c>
      <c r="T789" s="4">
        <v>32.5</v>
      </c>
      <c r="X789" s="4">
        <v>0.7763</v>
      </c>
      <c r="AA789" s="4" t="s">
        <v>859</v>
      </c>
      <c r="AE789" s="4" t="s">
        <v>860</v>
      </c>
      <c r="AF789" s="4" t="s">
        <v>861</v>
      </c>
      <c r="AG789" s="4" t="s">
        <v>841</v>
      </c>
      <c r="AH789" s="4" t="s">
        <v>848</v>
      </c>
      <c r="AL789" s="4" t="s">
        <v>849</v>
      </c>
      <c r="AM789" s="4">
        <v>6.1</v>
      </c>
      <c r="AQ789" s="4" t="s">
        <v>519</v>
      </c>
      <c r="AR789" s="4">
        <v>16000</v>
      </c>
      <c r="BD789" s="4" t="s">
        <v>845</v>
      </c>
      <c r="BI789" s="4" t="s">
        <v>320</v>
      </c>
      <c r="BN789" s="4">
        <v>1</v>
      </c>
      <c r="BR789" s="4">
        <v>0.01</v>
      </c>
      <c r="BS789" s="4">
        <v>7.5</v>
      </c>
      <c r="BU789" s="4">
        <v>250</v>
      </c>
      <c r="BV789" s="4">
        <v>120</v>
      </c>
      <c r="CB789" s="4" t="s">
        <v>496</v>
      </c>
      <c r="CC789" s="4">
        <v>7.49216</v>
      </c>
      <c r="DO789" s="4">
        <v>3</v>
      </c>
      <c r="FE789" s="4">
        <v>81.27</v>
      </c>
      <c r="FH789" s="4">
        <v>81.27</v>
      </c>
    </row>
    <row r="790" customHeight="1" spans="1:313">
      <c r="A790" s="3">
        <v>23</v>
      </c>
      <c r="B790" s="4" t="s">
        <v>835</v>
      </c>
      <c r="C790" s="5" t="s">
        <v>857</v>
      </c>
      <c r="D790" s="4" t="s">
        <v>300</v>
      </c>
      <c r="E790" s="4" t="s">
        <v>837</v>
      </c>
      <c r="G790" s="4" t="s">
        <v>858</v>
      </c>
      <c r="J790" s="4">
        <v>60</v>
      </c>
      <c r="N790" s="4" t="s">
        <v>567</v>
      </c>
      <c r="O790" s="4" t="s">
        <v>502</v>
      </c>
      <c r="P790" s="4">
        <v>4</v>
      </c>
      <c r="T790" s="4">
        <v>32.5</v>
      </c>
      <c r="X790" s="4">
        <v>0.7763</v>
      </c>
      <c r="AA790" s="4" t="s">
        <v>859</v>
      </c>
      <c r="AE790" s="4" t="s">
        <v>860</v>
      </c>
      <c r="AF790" s="4" t="s">
        <v>861</v>
      </c>
      <c r="AG790" s="4" t="s">
        <v>841</v>
      </c>
      <c r="AH790" s="4" t="s">
        <v>848</v>
      </c>
      <c r="AL790" s="4" t="s">
        <v>849</v>
      </c>
      <c r="AM790" s="4">
        <v>6.1</v>
      </c>
      <c r="AQ790" s="4" t="s">
        <v>519</v>
      </c>
      <c r="AR790" s="4">
        <v>16000</v>
      </c>
      <c r="BD790" s="4" t="s">
        <v>845</v>
      </c>
      <c r="BI790" s="4" t="s">
        <v>320</v>
      </c>
      <c r="BN790" s="4">
        <v>1</v>
      </c>
      <c r="BR790" s="4">
        <v>0.01</v>
      </c>
      <c r="BS790" s="4">
        <v>8.5</v>
      </c>
      <c r="BU790" s="4">
        <v>250</v>
      </c>
      <c r="BV790" s="4">
        <v>120</v>
      </c>
      <c r="CB790" s="4" t="s">
        <v>496</v>
      </c>
      <c r="CC790" s="4">
        <v>7.49216</v>
      </c>
      <c r="DO790" s="4">
        <v>3</v>
      </c>
      <c r="FE790" s="4">
        <v>65.71</v>
      </c>
      <c r="FH790" s="4">
        <v>65.71</v>
      </c>
    </row>
    <row r="791" customHeight="1" spans="1:313">
      <c r="A791" s="3">
        <v>23</v>
      </c>
      <c r="B791" s="4" t="s">
        <v>835</v>
      </c>
      <c r="C791" s="5" t="s">
        <v>857</v>
      </c>
      <c r="D791" s="4" t="s">
        <v>300</v>
      </c>
      <c r="E791" s="4" t="s">
        <v>837</v>
      </c>
      <c r="G791" s="4" t="s">
        <v>858</v>
      </c>
      <c r="J791" s="4">
        <v>60</v>
      </c>
      <c r="N791" s="4" t="s">
        <v>567</v>
      </c>
      <c r="O791" s="4" t="s">
        <v>502</v>
      </c>
      <c r="P791" s="4">
        <v>4</v>
      </c>
      <c r="T791" s="4">
        <v>32.5</v>
      </c>
      <c r="X791" s="4">
        <v>0.7763</v>
      </c>
      <c r="AA791" s="4" t="s">
        <v>859</v>
      </c>
      <c r="AE791" s="4" t="s">
        <v>860</v>
      </c>
      <c r="AF791" s="4" t="s">
        <v>861</v>
      </c>
      <c r="AG791" s="4" t="s">
        <v>841</v>
      </c>
      <c r="AH791" s="4" t="s">
        <v>848</v>
      </c>
      <c r="AL791" s="4" t="s">
        <v>849</v>
      </c>
      <c r="AM791" s="4">
        <v>6.1</v>
      </c>
      <c r="AQ791" s="4" t="s">
        <v>519</v>
      </c>
      <c r="AR791" s="4">
        <v>16000</v>
      </c>
      <c r="BD791" s="4" t="s">
        <v>845</v>
      </c>
      <c r="BI791" s="4" t="s">
        <v>320</v>
      </c>
      <c r="BN791" s="4">
        <v>1</v>
      </c>
      <c r="BR791" s="4">
        <v>0.01</v>
      </c>
      <c r="BS791" s="4">
        <v>9.5</v>
      </c>
      <c r="BU791" s="4">
        <v>250</v>
      </c>
      <c r="BV791" s="4">
        <v>120</v>
      </c>
      <c r="CB791" s="4" t="s">
        <v>496</v>
      </c>
      <c r="CC791" s="4">
        <v>7.49216</v>
      </c>
      <c r="DO791" s="4">
        <v>3</v>
      </c>
      <c r="FE791" s="4">
        <v>42.86</v>
      </c>
      <c r="FH791" s="4">
        <v>42.86</v>
      </c>
    </row>
    <row r="792" customHeight="1" spans="1:313">
      <c r="A792" s="3">
        <v>23</v>
      </c>
      <c r="B792" s="4" t="s">
        <v>835</v>
      </c>
      <c r="C792" s="5" t="s">
        <v>857</v>
      </c>
      <c r="D792" s="4" t="s">
        <v>300</v>
      </c>
      <c r="E792" s="4" t="s">
        <v>837</v>
      </c>
      <c r="G792" s="4" t="s">
        <v>858</v>
      </c>
      <c r="J792" s="4">
        <v>60</v>
      </c>
      <c r="N792" s="4" t="s">
        <v>567</v>
      </c>
      <c r="O792" s="4" t="s">
        <v>502</v>
      </c>
      <c r="P792" s="4">
        <v>4</v>
      </c>
      <c r="T792" s="4">
        <v>32.5</v>
      </c>
      <c r="X792" s="4">
        <v>0.7763</v>
      </c>
      <c r="AA792" s="4" t="s">
        <v>859</v>
      </c>
      <c r="AE792" s="4" t="s">
        <v>860</v>
      </c>
      <c r="AF792" s="4" t="s">
        <v>861</v>
      </c>
      <c r="BI792" s="4" t="s">
        <v>320</v>
      </c>
      <c r="DO792" s="4">
        <v>3</v>
      </c>
    </row>
    <row r="793" customHeight="1" spans="1:313">
      <c r="A793" s="3">
        <v>23</v>
      </c>
      <c r="B793" s="4" t="s">
        <v>835</v>
      </c>
      <c r="C793" s="5" t="s">
        <v>857</v>
      </c>
      <c r="D793" s="4" t="s">
        <v>300</v>
      </c>
      <c r="E793" s="4" t="s">
        <v>837</v>
      </c>
      <c r="G793" s="4" t="s">
        <v>858</v>
      </c>
      <c r="J793" s="4">
        <v>60</v>
      </c>
      <c r="N793" s="4" t="s">
        <v>567</v>
      </c>
      <c r="O793" s="4" t="s">
        <v>502</v>
      </c>
      <c r="P793" s="4">
        <v>4</v>
      </c>
      <c r="T793" s="4">
        <v>32.5</v>
      </c>
      <c r="X793" s="4">
        <v>0.7763</v>
      </c>
      <c r="AA793" s="4" t="s">
        <v>859</v>
      </c>
      <c r="AE793" s="4" t="s">
        <v>860</v>
      </c>
      <c r="AF793" s="4" t="s">
        <v>861</v>
      </c>
      <c r="BI793" s="4" t="s">
        <v>320</v>
      </c>
      <c r="DO793" s="4">
        <v>3</v>
      </c>
    </row>
    <row r="794" customHeight="1" spans="1:313">
      <c r="A794" s="3">
        <v>23</v>
      </c>
      <c r="B794" s="4" t="s">
        <v>835</v>
      </c>
      <c r="C794" s="5" t="s">
        <v>862</v>
      </c>
      <c r="D794" s="4" t="s">
        <v>300</v>
      </c>
      <c r="E794" s="4" t="s">
        <v>837</v>
      </c>
      <c r="G794" s="4" t="s">
        <v>863</v>
      </c>
      <c r="J794" s="4">
        <v>60</v>
      </c>
      <c r="N794" s="4" t="s">
        <v>567</v>
      </c>
      <c r="O794" s="4" t="s">
        <v>502</v>
      </c>
      <c r="P794" s="4">
        <v>4</v>
      </c>
      <c r="T794" s="4">
        <v>46</v>
      </c>
      <c r="X794" s="4">
        <v>0.7845</v>
      </c>
      <c r="AA794" s="4" t="s">
        <v>864</v>
      </c>
      <c r="AE794" s="4" t="s">
        <v>865</v>
      </c>
      <c r="AF794" s="4" t="s">
        <v>840</v>
      </c>
      <c r="AG794" s="4" t="s">
        <v>841</v>
      </c>
      <c r="AH794" s="4" t="s">
        <v>842</v>
      </c>
      <c r="AL794" s="4" t="s">
        <v>843</v>
      </c>
      <c r="AM794" s="4">
        <v>5.6</v>
      </c>
      <c r="AQ794" s="4" t="s">
        <v>844</v>
      </c>
      <c r="AR794" s="4">
        <v>4000</v>
      </c>
      <c r="BD794" s="4" t="s">
        <v>845</v>
      </c>
      <c r="BI794" s="4" t="s">
        <v>320</v>
      </c>
      <c r="BN794" s="4">
        <v>1</v>
      </c>
      <c r="BS794" s="4">
        <v>5.5</v>
      </c>
      <c r="BT794" s="4" t="s">
        <v>512</v>
      </c>
      <c r="BU794" s="4">
        <v>550</v>
      </c>
      <c r="CB794" s="4" t="s">
        <v>463</v>
      </c>
      <c r="CC794" s="4">
        <v>6.538</v>
      </c>
      <c r="CV794" s="4">
        <v>10</v>
      </c>
      <c r="CW794" s="4">
        <v>8.95</v>
      </c>
      <c r="CX794" s="4" t="s">
        <v>846</v>
      </c>
      <c r="DO794" s="4">
        <v>3</v>
      </c>
    </row>
    <row r="795" customHeight="1" spans="1:313">
      <c r="A795" s="3">
        <v>23</v>
      </c>
      <c r="B795" s="4" t="s">
        <v>835</v>
      </c>
      <c r="C795" s="5" t="s">
        <v>862</v>
      </c>
      <c r="D795" s="4" t="s">
        <v>300</v>
      </c>
      <c r="E795" s="4" t="s">
        <v>837</v>
      </c>
      <c r="G795" s="4" t="s">
        <v>863</v>
      </c>
      <c r="J795" s="4">
        <v>60</v>
      </c>
      <c r="N795" s="4" t="s">
        <v>567</v>
      </c>
      <c r="O795" s="4" t="s">
        <v>502</v>
      </c>
      <c r="P795" s="4">
        <v>4</v>
      </c>
      <c r="T795" s="4">
        <v>46</v>
      </c>
      <c r="X795" s="4">
        <v>0.7845</v>
      </c>
      <c r="AA795" s="4" t="s">
        <v>864</v>
      </c>
      <c r="AE795" s="4" t="s">
        <v>865</v>
      </c>
      <c r="AF795" s="4" t="s">
        <v>840</v>
      </c>
      <c r="AG795" s="4" t="s">
        <v>841</v>
      </c>
      <c r="AH795" s="4" t="s">
        <v>848</v>
      </c>
      <c r="AL795" s="4" t="s">
        <v>849</v>
      </c>
      <c r="AM795" s="4">
        <v>6.1</v>
      </c>
      <c r="AQ795" s="4" t="s">
        <v>519</v>
      </c>
      <c r="AR795" s="4">
        <v>16000</v>
      </c>
      <c r="BD795" s="4" t="s">
        <v>845</v>
      </c>
      <c r="BI795" s="4" t="s">
        <v>320</v>
      </c>
      <c r="BN795" s="4">
        <v>1</v>
      </c>
      <c r="BS795" s="4">
        <v>6.7</v>
      </c>
      <c r="BT795" s="4" t="s">
        <v>512</v>
      </c>
      <c r="BU795" s="4">
        <v>550</v>
      </c>
      <c r="CB795" s="4" t="s">
        <v>496</v>
      </c>
      <c r="CC795" s="4">
        <v>7.49216</v>
      </c>
      <c r="CV795" s="4">
        <v>120</v>
      </c>
      <c r="CW795" s="4">
        <v>8.95</v>
      </c>
      <c r="CX795" s="4" t="s">
        <v>314</v>
      </c>
      <c r="DO795" s="4">
        <v>3</v>
      </c>
    </row>
    <row r="796" customHeight="1" spans="1:313">
      <c r="A796" s="3">
        <v>23</v>
      </c>
      <c r="B796" s="4" t="s">
        <v>835</v>
      </c>
      <c r="C796" s="5" t="s">
        <v>862</v>
      </c>
      <c r="D796" s="4" t="s">
        <v>300</v>
      </c>
      <c r="E796" s="4" t="s">
        <v>837</v>
      </c>
      <c r="G796" s="4" t="s">
        <v>863</v>
      </c>
      <c r="J796" s="4">
        <v>60</v>
      </c>
      <c r="N796" s="4" t="s">
        <v>567</v>
      </c>
      <c r="O796" s="4" t="s">
        <v>502</v>
      </c>
      <c r="P796" s="4">
        <v>4</v>
      </c>
      <c r="T796" s="4">
        <v>46</v>
      </c>
      <c r="X796" s="4">
        <v>0.7845</v>
      </c>
      <c r="AA796" s="4" t="s">
        <v>864</v>
      </c>
      <c r="AE796" s="4" t="s">
        <v>865</v>
      </c>
      <c r="AF796" s="4" t="s">
        <v>840</v>
      </c>
      <c r="AG796" s="4" t="s">
        <v>841</v>
      </c>
      <c r="AH796" s="4" t="s">
        <v>842</v>
      </c>
      <c r="AL796" s="4" t="s">
        <v>843</v>
      </c>
      <c r="AM796" s="4">
        <v>5.6</v>
      </c>
      <c r="AQ796" s="4" t="s">
        <v>844</v>
      </c>
      <c r="AR796" s="4">
        <v>4000</v>
      </c>
      <c r="BD796" s="4" t="s">
        <v>845</v>
      </c>
      <c r="BI796" s="4" t="s">
        <v>320</v>
      </c>
      <c r="BN796" s="4">
        <v>1</v>
      </c>
      <c r="BS796" s="4">
        <v>5.5</v>
      </c>
      <c r="BT796" s="4">
        <v>5.5</v>
      </c>
      <c r="BU796" s="4">
        <v>550</v>
      </c>
      <c r="CB796" s="4" t="s">
        <v>463</v>
      </c>
      <c r="CC796" s="4">
        <v>6.538</v>
      </c>
      <c r="CV796" s="4">
        <v>10</v>
      </c>
      <c r="CX796" s="4" t="s">
        <v>846</v>
      </c>
      <c r="DO796" s="4">
        <v>3</v>
      </c>
      <c r="KZ796" s="1" t="s">
        <v>14</v>
      </c>
      <c r="LA796" s="1" t="s">
        <v>856</v>
      </c>
    </row>
    <row r="797" customHeight="1" spans="1:313">
      <c r="A797" s="3">
        <v>23</v>
      </c>
      <c r="B797" s="4" t="s">
        <v>835</v>
      </c>
      <c r="C797" s="5" t="s">
        <v>862</v>
      </c>
      <c r="D797" s="4" t="s">
        <v>300</v>
      </c>
      <c r="E797" s="4" t="s">
        <v>837</v>
      </c>
      <c r="G797" s="4" t="s">
        <v>863</v>
      </c>
      <c r="J797" s="4">
        <v>60</v>
      </c>
      <c r="N797" s="4" t="s">
        <v>567</v>
      </c>
      <c r="O797" s="4" t="s">
        <v>502</v>
      </c>
      <c r="P797" s="4">
        <v>4</v>
      </c>
      <c r="T797" s="4">
        <v>46</v>
      </c>
      <c r="X797" s="4">
        <v>0.7845</v>
      </c>
      <c r="AA797" s="4" t="s">
        <v>864</v>
      </c>
      <c r="AE797" s="4" t="s">
        <v>865</v>
      </c>
      <c r="AF797" s="4" t="s">
        <v>840</v>
      </c>
      <c r="AG797" s="4" t="s">
        <v>841</v>
      </c>
      <c r="AH797" s="4" t="s">
        <v>848</v>
      </c>
      <c r="AL797" s="4" t="s">
        <v>849</v>
      </c>
      <c r="AM797" s="4">
        <v>6.1</v>
      </c>
      <c r="AQ797" s="4" t="s">
        <v>519</v>
      </c>
      <c r="AR797" s="4">
        <v>16000</v>
      </c>
      <c r="BD797" s="4" t="s">
        <v>845</v>
      </c>
      <c r="BI797" s="4" t="s">
        <v>320</v>
      </c>
      <c r="BN797" s="4">
        <v>1</v>
      </c>
      <c r="BS797" s="4">
        <v>5.5</v>
      </c>
      <c r="BT797" s="4">
        <v>5.5</v>
      </c>
      <c r="BU797" s="4">
        <v>550</v>
      </c>
      <c r="CB797" s="4" t="s">
        <v>496</v>
      </c>
      <c r="CC797" s="4">
        <v>7.49216</v>
      </c>
      <c r="CV797" s="4">
        <v>120</v>
      </c>
      <c r="CX797" s="4" t="s">
        <v>314</v>
      </c>
      <c r="DO797" s="4">
        <v>3</v>
      </c>
      <c r="KZ797" s="1" t="s">
        <v>424</v>
      </c>
      <c r="LA797" s="1" t="s">
        <v>856</v>
      </c>
    </row>
    <row r="798" customHeight="1" spans="1:313">
      <c r="A798" s="3">
        <v>23</v>
      </c>
      <c r="B798" s="4" t="s">
        <v>835</v>
      </c>
      <c r="C798" s="5" t="s">
        <v>862</v>
      </c>
      <c r="D798" s="4" t="s">
        <v>300</v>
      </c>
      <c r="E798" s="4" t="s">
        <v>837</v>
      </c>
      <c r="G798" s="4" t="s">
        <v>863</v>
      </c>
      <c r="J798" s="4">
        <v>60</v>
      </c>
      <c r="N798" s="4" t="s">
        <v>567</v>
      </c>
      <c r="O798" s="4" t="s">
        <v>502</v>
      </c>
      <c r="P798" s="4">
        <v>4</v>
      </c>
      <c r="T798" s="4">
        <v>46</v>
      </c>
      <c r="X798" s="4">
        <v>0.7845</v>
      </c>
      <c r="AA798" s="4" t="s">
        <v>864</v>
      </c>
      <c r="AE798" s="4" t="s">
        <v>865</v>
      </c>
      <c r="AF798" s="4" t="s">
        <v>840</v>
      </c>
      <c r="AG798" s="4" t="s">
        <v>841</v>
      </c>
      <c r="AH798" s="4" t="s">
        <v>842</v>
      </c>
      <c r="AL798" s="4" t="s">
        <v>843</v>
      </c>
      <c r="AM798" s="4">
        <v>5.6</v>
      </c>
      <c r="AQ798" s="4" t="s">
        <v>844</v>
      </c>
      <c r="AR798" s="4">
        <v>4000</v>
      </c>
      <c r="BD798" s="4" t="s">
        <v>845</v>
      </c>
      <c r="BI798" s="4" t="s">
        <v>320</v>
      </c>
      <c r="BN798" s="4">
        <v>1</v>
      </c>
      <c r="BS798" s="4">
        <v>5.5</v>
      </c>
      <c r="BT798" s="4">
        <v>5.5</v>
      </c>
      <c r="BU798" s="4">
        <v>250</v>
      </c>
      <c r="BV798" s="4">
        <v>120</v>
      </c>
      <c r="CB798" s="4" t="s">
        <v>463</v>
      </c>
      <c r="CC798" s="4" t="s">
        <v>850</v>
      </c>
      <c r="DB798" s="4" t="s">
        <v>430</v>
      </c>
      <c r="DD798" s="4">
        <v>28.27</v>
      </c>
      <c r="DE798" s="4">
        <v>31.1</v>
      </c>
      <c r="DO798" s="4">
        <v>3</v>
      </c>
      <c r="HX798" s="29">
        <v>28.27</v>
      </c>
      <c r="HY798" s="1">
        <v>1.79</v>
      </c>
    </row>
    <row r="799" customHeight="1" spans="1:313">
      <c r="A799" s="3">
        <v>23</v>
      </c>
      <c r="B799" s="4" t="s">
        <v>835</v>
      </c>
      <c r="C799" s="5" t="s">
        <v>862</v>
      </c>
      <c r="D799" s="4" t="s">
        <v>300</v>
      </c>
      <c r="E799" s="4" t="s">
        <v>837</v>
      </c>
      <c r="G799" s="4" t="s">
        <v>863</v>
      </c>
      <c r="J799" s="4">
        <v>60</v>
      </c>
      <c r="N799" s="4" t="s">
        <v>567</v>
      </c>
      <c r="O799" s="4" t="s">
        <v>502</v>
      </c>
      <c r="P799" s="4">
        <v>4</v>
      </c>
      <c r="T799" s="4">
        <v>46</v>
      </c>
      <c r="X799" s="4">
        <v>0.7845</v>
      </c>
      <c r="AA799" s="4" t="s">
        <v>864</v>
      </c>
      <c r="AE799" s="4" t="s">
        <v>865</v>
      </c>
      <c r="AF799" s="4" t="s">
        <v>840</v>
      </c>
      <c r="AG799" s="4" t="s">
        <v>841</v>
      </c>
      <c r="AH799" s="4" t="s">
        <v>848</v>
      </c>
      <c r="AL799" s="4" t="s">
        <v>849</v>
      </c>
      <c r="AM799" s="4">
        <v>6.1</v>
      </c>
      <c r="AQ799" s="4" t="s">
        <v>519</v>
      </c>
      <c r="AR799" s="4">
        <v>16000</v>
      </c>
      <c r="BD799" s="4" t="s">
        <v>845</v>
      </c>
      <c r="BI799" s="4" t="s">
        <v>320</v>
      </c>
      <c r="BN799" s="4">
        <v>1</v>
      </c>
      <c r="BS799" s="4">
        <v>5.5</v>
      </c>
      <c r="BT799" s="4">
        <v>5.5</v>
      </c>
      <c r="BU799" s="4">
        <v>250</v>
      </c>
      <c r="BV799" s="4">
        <v>120</v>
      </c>
      <c r="CB799" s="4" t="s">
        <v>496</v>
      </c>
      <c r="CC799" s="4" t="s">
        <v>851</v>
      </c>
      <c r="DB799" s="4" t="s">
        <v>430</v>
      </c>
      <c r="DD799" s="4">
        <v>74.2</v>
      </c>
      <c r="DE799" s="4">
        <v>79.1</v>
      </c>
      <c r="DO799" s="4">
        <v>3</v>
      </c>
      <c r="FP799" s="1">
        <v>74.2</v>
      </c>
      <c r="FQ799" s="36">
        <v>4.48</v>
      </c>
    </row>
    <row r="800" customHeight="1" spans="1:313">
      <c r="A800" s="3">
        <v>23</v>
      </c>
      <c r="B800" s="4" t="s">
        <v>835</v>
      </c>
      <c r="C800" s="5" t="s">
        <v>862</v>
      </c>
      <c r="D800" s="4" t="s">
        <v>300</v>
      </c>
      <c r="E800" s="4" t="s">
        <v>837</v>
      </c>
      <c r="G800" s="4" t="s">
        <v>863</v>
      </c>
      <c r="J800" s="4">
        <v>60</v>
      </c>
      <c r="N800" s="4" t="s">
        <v>567</v>
      </c>
      <c r="O800" s="4" t="s">
        <v>502</v>
      </c>
      <c r="P800" s="4">
        <v>4</v>
      </c>
      <c r="T800" s="4">
        <v>46</v>
      </c>
      <c r="X800" s="4">
        <v>0.7845</v>
      </c>
      <c r="AA800" s="4" t="s">
        <v>864</v>
      </c>
      <c r="AE800" s="4" t="s">
        <v>865</v>
      </c>
      <c r="AF800" s="4" t="s">
        <v>840</v>
      </c>
      <c r="AG800" s="4" t="s">
        <v>841</v>
      </c>
      <c r="AH800" s="4" t="s">
        <v>842</v>
      </c>
      <c r="AL800" s="4" t="s">
        <v>843</v>
      </c>
      <c r="AM800" s="4">
        <v>5.6</v>
      </c>
      <c r="AQ800" s="4" t="s">
        <v>844</v>
      </c>
      <c r="AR800" s="4">
        <v>4000</v>
      </c>
      <c r="BD800" s="4" t="s">
        <v>845</v>
      </c>
      <c r="BI800" s="4" t="s">
        <v>320</v>
      </c>
      <c r="BN800" s="4">
        <v>1</v>
      </c>
      <c r="BR800" s="4">
        <v>0.001</v>
      </c>
      <c r="BS800" s="4">
        <v>3.5</v>
      </c>
      <c r="BU800" s="4">
        <v>250</v>
      </c>
      <c r="BV800" s="4">
        <v>120</v>
      </c>
      <c r="CB800" s="4" t="s">
        <v>463</v>
      </c>
      <c r="CC800" s="4">
        <v>6.538</v>
      </c>
      <c r="DO800" s="4">
        <v>3</v>
      </c>
      <c r="IB800" s="4">
        <v>8.79</v>
      </c>
      <c r="IE800" s="4">
        <v>8.79</v>
      </c>
    </row>
    <row r="801" customHeight="1" spans="1:239">
      <c r="A801" s="3">
        <v>23</v>
      </c>
      <c r="B801" s="4" t="s">
        <v>835</v>
      </c>
      <c r="C801" s="5" t="s">
        <v>862</v>
      </c>
      <c r="D801" s="4" t="s">
        <v>300</v>
      </c>
      <c r="E801" s="4" t="s">
        <v>837</v>
      </c>
      <c r="G801" s="4" t="s">
        <v>863</v>
      </c>
      <c r="J801" s="4">
        <v>60</v>
      </c>
      <c r="N801" s="4" t="s">
        <v>567</v>
      </c>
      <c r="O801" s="4" t="s">
        <v>502</v>
      </c>
      <c r="P801" s="4">
        <v>4</v>
      </c>
      <c r="T801" s="4">
        <v>46</v>
      </c>
      <c r="X801" s="4">
        <v>0.7845</v>
      </c>
      <c r="AA801" s="4" t="s">
        <v>864</v>
      </c>
      <c r="AE801" s="4" t="s">
        <v>865</v>
      </c>
      <c r="AF801" s="4" t="s">
        <v>840</v>
      </c>
      <c r="AG801" s="4" t="s">
        <v>841</v>
      </c>
      <c r="AH801" s="4" t="s">
        <v>842</v>
      </c>
      <c r="AL801" s="4" t="s">
        <v>843</v>
      </c>
      <c r="AM801" s="4">
        <v>5.6</v>
      </c>
      <c r="AQ801" s="4" t="s">
        <v>844</v>
      </c>
      <c r="AR801" s="4">
        <v>4000</v>
      </c>
      <c r="BD801" s="4" t="s">
        <v>845</v>
      </c>
      <c r="BI801" s="4" t="s">
        <v>320</v>
      </c>
      <c r="BN801" s="4">
        <v>1</v>
      </c>
      <c r="BR801" s="4">
        <v>0.001</v>
      </c>
      <c r="BS801" s="4">
        <v>4.5</v>
      </c>
      <c r="BU801" s="4">
        <v>250</v>
      </c>
      <c r="BV801" s="4">
        <v>120</v>
      </c>
      <c r="CB801" s="4" t="s">
        <v>463</v>
      </c>
      <c r="CC801" s="4">
        <v>6.538</v>
      </c>
      <c r="DO801" s="4">
        <v>3</v>
      </c>
      <c r="IB801" s="4">
        <v>54.85</v>
      </c>
      <c r="IE801" s="4">
        <v>54.85</v>
      </c>
    </row>
    <row r="802" customHeight="1" spans="1:239">
      <c r="A802" s="3">
        <v>23</v>
      </c>
      <c r="B802" s="4" t="s">
        <v>835</v>
      </c>
      <c r="C802" s="5" t="s">
        <v>862</v>
      </c>
      <c r="D802" s="4" t="s">
        <v>300</v>
      </c>
      <c r="E802" s="4" t="s">
        <v>837</v>
      </c>
      <c r="G802" s="4" t="s">
        <v>863</v>
      </c>
      <c r="J802" s="4">
        <v>60</v>
      </c>
      <c r="N802" s="4" t="s">
        <v>567</v>
      </c>
      <c r="O802" s="4" t="s">
        <v>502</v>
      </c>
      <c r="P802" s="4">
        <v>4</v>
      </c>
      <c r="T802" s="4">
        <v>46</v>
      </c>
      <c r="X802" s="4">
        <v>0.7845</v>
      </c>
      <c r="AA802" s="4" t="s">
        <v>864</v>
      </c>
      <c r="AE802" s="4" t="s">
        <v>865</v>
      </c>
      <c r="AF802" s="4" t="s">
        <v>840</v>
      </c>
      <c r="AG802" s="4" t="s">
        <v>841</v>
      </c>
      <c r="AH802" s="4" t="s">
        <v>842</v>
      </c>
      <c r="AL802" s="4" t="s">
        <v>843</v>
      </c>
      <c r="AM802" s="4">
        <v>5.6</v>
      </c>
      <c r="AQ802" s="4" t="s">
        <v>844</v>
      </c>
      <c r="AR802" s="4">
        <v>4000</v>
      </c>
      <c r="BD802" s="4" t="s">
        <v>845</v>
      </c>
      <c r="BI802" s="4" t="s">
        <v>320</v>
      </c>
      <c r="BN802" s="4">
        <v>1</v>
      </c>
      <c r="BR802" s="4">
        <v>0.001</v>
      </c>
      <c r="BS802" s="4">
        <v>5.5</v>
      </c>
      <c r="BU802" s="4">
        <v>250</v>
      </c>
      <c r="BV802" s="4">
        <v>120</v>
      </c>
      <c r="CB802" s="4" t="s">
        <v>463</v>
      </c>
      <c r="CC802" s="4">
        <v>6.538</v>
      </c>
      <c r="DO802" s="4">
        <v>3</v>
      </c>
      <c r="IB802" s="4">
        <v>84.55</v>
      </c>
      <c r="IE802" s="4">
        <v>84.55</v>
      </c>
    </row>
    <row r="803" customHeight="1" spans="1:239">
      <c r="A803" s="3">
        <v>23</v>
      </c>
      <c r="B803" s="4" t="s">
        <v>835</v>
      </c>
      <c r="C803" s="5" t="s">
        <v>862</v>
      </c>
      <c r="D803" s="4" t="s">
        <v>300</v>
      </c>
      <c r="E803" s="4" t="s">
        <v>837</v>
      </c>
      <c r="G803" s="4" t="s">
        <v>863</v>
      </c>
      <c r="J803" s="4">
        <v>60</v>
      </c>
      <c r="N803" s="4" t="s">
        <v>567</v>
      </c>
      <c r="O803" s="4" t="s">
        <v>502</v>
      </c>
      <c r="P803" s="4">
        <v>4</v>
      </c>
      <c r="T803" s="4">
        <v>46</v>
      </c>
      <c r="X803" s="4">
        <v>0.7845</v>
      </c>
      <c r="AA803" s="4" t="s">
        <v>864</v>
      </c>
      <c r="AE803" s="4" t="s">
        <v>865</v>
      </c>
      <c r="AF803" s="4" t="s">
        <v>840</v>
      </c>
      <c r="AG803" s="4" t="s">
        <v>841</v>
      </c>
      <c r="AH803" s="4" t="s">
        <v>842</v>
      </c>
      <c r="AL803" s="4" t="s">
        <v>843</v>
      </c>
      <c r="AM803" s="4">
        <v>5.6</v>
      </c>
      <c r="AQ803" s="4" t="s">
        <v>844</v>
      </c>
      <c r="AR803" s="4">
        <v>4000</v>
      </c>
      <c r="BD803" s="4" t="s">
        <v>845</v>
      </c>
      <c r="BI803" s="4" t="s">
        <v>320</v>
      </c>
      <c r="BN803" s="4">
        <v>1</v>
      </c>
      <c r="BR803" s="4">
        <v>0.001</v>
      </c>
      <c r="BS803" s="4">
        <v>6.5</v>
      </c>
      <c r="BU803" s="4">
        <v>250</v>
      </c>
      <c r="BV803" s="4">
        <v>120</v>
      </c>
      <c r="CB803" s="4" t="s">
        <v>463</v>
      </c>
      <c r="CC803" s="4">
        <v>6.538</v>
      </c>
      <c r="DO803" s="4">
        <v>3</v>
      </c>
      <c r="IB803" s="4">
        <v>94.85</v>
      </c>
      <c r="IE803" s="4">
        <v>94.85</v>
      </c>
    </row>
    <row r="804" customHeight="1" spans="1:239">
      <c r="A804" s="3">
        <v>23</v>
      </c>
      <c r="B804" s="4" t="s">
        <v>835</v>
      </c>
      <c r="C804" s="5" t="s">
        <v>862</v>
      </c>
      <c r="D804" s="4" t="s">
        <v>300</v>
      </c>
      <c r="E804" s="4" t="s">
        <v>837</v>
      </c>
      <c r="G804" s="4" t="s">
        <v>863</v>
      </c>
      <c r="J804" s="4">
        <v>60</v>
      </c>
      <c r="N804" s="4" t="s">
        <v>567</v>
      </c>
      <c r="O804" s="4" t="s">
        <v>502</v>
      </c>
      <c r="P804" s="4">
        <v>4</v>
      </c>
      <c r="T804" s="4">
        <v>46</v>
      </c>
      <c r="X804" s="4">
        <v>0.7845</v>
      </c>
      <c r="AA804" s="4" t="s">
        <v>864</v>
      </c>
      <c r="AE804" s="4" t="s">
        <v>865</v>
      </c>
      <c r="AF804" s="4" t="s">
        <v>840</v>
      </c>
      <c r="AG804" s="4" t="s">
        <v>841</v>
      </c>
      <c r="AH804" s="4" t="s">
        <v>842</v>
      </c>
      <c r="AL804" s="4" t="s">
        <v>843</v>
      </c>
      <c r="AM804" s="4">
        <v>5.6</v>
      </c>
      <c r="AQ804" s="4" t="s">
        <v>844</v>
      </c>
      <c r="AR804" s="4">
        <v>4000</v>
      </c>
      <c r="BD804" s="4" t="s">
        <v>845</v>
      </c>
      <c r="BI804" s="4" t="s">
        <v>320</v>
      </c>
      <c r="BN804" s="4">
        <v>1</v>
      </c>
      <c r="BR804" s="4">
        <v>0.001</v>
      </c>
      <c r="BS804" s="4">
        <v>7.5</v>
      </c>
      <c r="BU804" s="4">
        <v>250</v>
      </c>
      <c r="BV804" s="4">
        <v>120</v>
      </c>
      <c r="CB804" s="4" t="s">
        <v>463</v>
      </c>
      <c r="CC804" s="4">
        <v>6.538</v>
      </c>
      <c r="DO804" s="4">
        <v>3</v>
      </c>
      <c r="IB804" s="4">
        <v>92.27</v>
      </c>
      <c r="IE804" s="4">
        <v>92.27</v>
      </c>
    </row>
    <row r="805" customHeight="1" spans="1:239">
      <c r="A805" s="3">
        <v>23</v>
      </c>
      <c r="B805" s="4" t="s">
        <v>835</v>
      </c>
      <c r="C805" s="5" t="s">
        <v>862</v>
      </c>
      <c r="D805" s="4" t="s">
        <v>300</v>
      </c>
      <c r="E805" s="4" t="s">
        <v>837</v>
      </c>
      <c r="G805" s="4" t="s">
        <v>863</v>
      </c>
      <c r="J805" s="4">
        <v>60</v>
      </c>
      <c r="N805" s="4" t="s">
        <v>567</v>
      </c>
      <c r="O805" s="4" t="s">
        <v>502</v>
      </c>
      <c r="P805" s="4">
        <v>4</v>
      </c>
      <c r="T805" s="4">
        <v>46</v>
      </c>
      <c r="X805" s="4">
        <v>0.7845</v>
      </c>
      <c r="AA805" s="4" t="s">
        <v>864</v>
      </c>
      <c r="AE805" s="4" t="s">
        <v>865</v>
      </c>
      <c r="AF805" s="4" t="s">
        <v>840</v>
      </c>
      <c r="AG805" s="4" t="s">
        <v>841</v>
      </c>
      <c r="AH805" s="4" t="s">
        <v>842</v>
      </c>
      <c r="AL805" s="4" t="s">
        <v>843</v>
      </c>
      <c r="AM805" s="4">
        <v>5.6</v>
      </c>
      <c r="AQ805" s="4" t="s">
        <v>844</v>
      </c>
      <c r="AR805" s="4">
        <v>4000</v>
      </c>
      <c r="BD805" s="4" t="s">
        <v>845</v>
      </c>
      <c r="BI805" s="4" t="s">
        <v>320</v>
      </c>
      <c r="BN805" s="4">
        <v>1</v>
      </c>
      <c r="BR805" s="4">
        <v>0.001</v>
      </c>
      <c r="BS805" s="4">
        <v>8.5</v>
      </c>
      <c r="BU805" s="4">
        <v>250</v>
      </c>
      <c r="BV805" s="4">
        <v>120</v>
      </c>
      <c r="CB805" s="4" t="s">
        <v>463</v>
      </c>
      <c r="CC805" s="4">
        <v>6.538</v>
      </c>
      <c r="DO805" s="4">
        <v>3</v>
      </c>
      <c r="IB805" s="4">
        <v>98.48</v>
      </c>
      <c r="IE805" s="4">
        <v>98.48</v>
      </c>
    </row>
    <row r="806" customHeight="1" spans="1:239">
      <c r="A806" s="3">
        <v>23</v>
      </c>
      <c r="B806" s="4" t="s">
        <v>835</v>
      </c>
      <c r="C806" s="5" t="s">
        <v>862</v>
      </c>
      <c r="D806" s="4" t="s">
        <v>300</v>
      </c>
      <c r="E806" s="4" t="s">
        <v>837</v>
      </c>
      <c r="G806" s="4" t="s">
        <v>863</v>
      </c>
      <c r="J806" s="4">
        <v>60</v>
      </c>
      <c r="N806" s="4" t="s">
        <v>567</v>
      </c>
      <c r="O806" s="4" t="s">
        <v>502</v>
      </c>
      <c r="P806" s="4">
        <v>4</v>
      </c>
      <c r="T806" s="4">
        <v>46</v>
      </c>
      <c r="X806" s="4">
        <v>0.7845</v>
      </c>
      <c r="AA806" s="4" t="s">
        <v>864</v>
      </c>
      <c r="AE806" s="4" t="s">
        <v>865</v>
      </c>
      <c r="AF806" s="4" t="s">
        <v>840</v>
      </c>
      <c r="AG806" s="4" t="s">
        <v>841</v>
      </c>
      <c r="AH806" s="4" t="s">
        <v>848</v>
      </c>
      <c r="AL806" s="4" t="s">
        <v>849</v>
      </c>
      <c r="AM806" s="4">
        <v>6.1</v>
      </c>
      <c r="AQ806" s="4" t="s">
        <v>519</v>
      </c>
      <c r="AR806" s="4">
        <v>16000</v>
      </c>
      <c r="BD806" s="4" t="s">
        <v>845</v>
      </c>
      <c r="BI806" s="4" t="s">
        <v>320</v>
      </c>
      <c r="BN806" s="4">
        <v>1</v>
      </c>
      <c r="BR806" s="4">
        <v>0.001</v>
      </c>
      <c r="BS806" s="4">
        <v>5.5</v>
      </c>
      <c r="BU806" s="4">
        <v>250</v>
      </c>
      <c r="BV806" s="4">
        <v>120</v>
      </c>
      <c r="CB806" s="4" t="s">
        <v>496</v>
      </c>
      <c r="CC806" s="4">
        <v>7.49216</v>
      </c>
      <c r="DO806" s="4">
        <v>3</v>
      </c>
      <c r="FE806" s="4">
        <v>98.41</v>
      </c>
      <c r="FH806" s="4">
        <v>98.41</v>
      </c>
    </row>
    <row r="807" customHeight="1" spans="1:239">
      <c r="A807" s="3">
        <v>23</v>
      </c>
      <c r="B807" s="4" t="s">
        <v>835</v>
      </c>
      <c r="C807" s="5" t="s">
        <v>862</v>
      </c>
      <c r="D807" s="4" t="s">
        <v>300</v>
      </c>
      <c r="E807" s="4" t="s">
        <v>837</v>
      </c>
      <c r="G807" s="4" t="s">
        <v>863</v>
      </c>
      <c r="J807" s="4">
        <v>60</v>
      </c>
      <c r="N807" s="4" t="s">
        <v>567</v>
      </c>
      <c r="O807" s="4" t="s">
        <v>502</v>
      </c>
      <c r="P807" s="4">
        <v>4</v>
      </c>
      <c r="T807" s="4">
        <v>46</v>
      </c>
      <c r="X807" s="4">
        <v>0.7845</v>
      </c>
      <c r="AA807" s="4" t="s">
        <v>864</v>
      </c>
      <c r="AE807" s="4" t="s">
        <v>865</v>
      </c>
      <c r="AF807" s="4" t="s">
        <v>840</v>
      </c>
      <c r="AG807" s="4" t="s">
        <v>841</v>
      </c>
      <c r="AH807" s="4" t="s">
        <v>848</v>
      </c>
      <c r="AL807" s="4" t="s">
        <v>849</v>
      </c>
      <c r="AM807" s="4">
        <v>6.1</v>
      </c>
      <c r="AQ807" s="4" t="s">
        <v>519</v>
      </c>
      <c r="AR807" s="4">
        <v>16000</v>
      </c>
      <c r="BD807" s="4" t="s">
        <v>845</v>
      </c>
      <c r="BI807" s="4" t="s">
        <v>320</v>
      </c>
      <c r="BN807" s="4">
        <v>1</v>
      </c>
      <c r="BR807" s="4">
        <v>0.001</v>
      </c>
      <c r="BS807" s="4">
        <v>6.5</v>
      </c>
      <c r="BU807" s="4">
        <v>250</v>
      </c>
      <c r="BV807" s="4">
        <v>120</v>
      </c>
      <c r="CB807" s="4" t="s">
        <v>496</v>
      </c>
      <c r="CC807" s="4">
        <v>7.49216</v>
      </c>
      <c r="DO807" s="4">
        <v>3</v>
      </c>
      <c r="FE807" s="4">
        <v>96.19</v>
      </c>
      <c r="FH807" s="4">
        <v>96.19</v>
      </c>
    </row>
    <row r="808" customHeight="1" spans="1:239">
      <c r="A808" s="3">
        <v>23</v>
      </c>
      <c r="B808" s="4" t="s">
        <v>835</v>
      </c>
      <c r="C808" s="5" t="s">
        <v>862</v>
      </c>
      <c r="D808" s="4" t="s">
        <v>300</v>
      </c>
      <c r="E808" s="4" t="s">
        <v>837</v>
      </c>
      <c r="G808" s="4" t="s">
        <v>863</v>
      </c>
      <c r="J808" s="4">
        <v>60</v>
      </c>
      <c r="N808" s="4" t="s">
        <v>567</v>
      </c>
      <c r="O808" s="4" t="s">
        <v>502</v>
      </c>
      <c r="P808" s="4">
        <v>4</v>
      </c>
      <c r="T808" s="4">
        <v>46</v>
      </c>
      <c r="X808" s="4">
        <v>0.7845</v>
      </c>
      <c r="AA808" s="4" t="s">
        <v>864</v>
      </c>
      <c r="AE808" s="4" t="s">
        <v>865</v>
      </c>
      <c r="AF808" s="4" t="s">
        <v>840</v>
      </c>
      <c r="AG808" s="4" t="s">
        <v>841</v>
      </c>
      <c r="AH808" s="4" t="s">
        <v>848</v>
      </c>
      <c r="AL808" s="4" t="s">
        <v>849</v>
      </c>
      <c r="AM808" s="4">
        <v>6.1</v>
      </c>
      <c r="AQ808" s="4" t="s">
        <v>519</v>
      </c>
      <c r="AR808" s="4">
        <v>16000</v>
      </c>
      <c r="BD808" s="4" t="s">
        <v>845</v>
      </c>
      <c r="BI808" s="4" t="s">
        <v>320</v>
      </c>
      <c r="BN808" s="4">
        <v>1</v>
      </c>
      <c r="BR808" s="4">
        <v>0.001</v>
      </c>
      <c r="BS808" s="4">
        <v>7.5</v>
      </c>
      <c r="BU808" s="4">
        <v>250</v>
      </c>
      <c r="BV808" s="4">
        <v>120</v>
      </c>
      <c r="CB808" s="4" t="s">
        <v>496</v>
      </c>
      <c r="CC808" s="4">
        <v>7.49216</v>
      </c>
      <c r="DO808" s="4">
        <v>3</v>
      </c>
      <c r="FE808" s="4">
        <v>89.84</v>
      </c>
      <c r="FH808" s="4">
        <v>89.84</v>
      </c>
    </row>
    <row r="809" customHeight="1" spans="1:239">
      <c r="A809" s="3">
        <v>23</v>
      </c>
      <c r="B809" s="4" t="s">
        <v>835</v>
      </c>
      <c r="C809" s="5" t="s">
        <v>862</v>
      </c>
      <c r="D809" s="4" t="s">
        <v>300</v>
      </c>
      <c r="E809" s="4" t="s">
        <v>837</v>
      </c>
      <c r="G809" s="4" t="s">
        <v>863</v>
      </c>
      <c r="J809" s="4">
        <v>60</v>
      </c>
      <c r="N809" s="4" t="s">
        <v>567</v>
      </c>
      <c r="O809" s="4" t="s">
        <v>502</v>
      </c>
      <c r="P809" s="4">
        <v>4</v>
      </c>
      <c r="T809" s="4">
        <v>46</v>
      </c>
      <c r="X809" s="4">
        <v>0.7845</v>
      </c>
      <c r="AA809" s="4" t="s">
        <v>864</v>
      </c>
      <c r="AE809" s="4" t="s">
        <v>865</v>
      </c>
      <c r="AF809" s="4" t="s">
        <v>840</v>
      </c>
      <c r="AG809" s="4" t="s">
        <v>841</v>
      </c>
      <c r="AH809" s="4" t="s">
        <v>848</v>
      </c>
      <c r="AL809" s="4" t="s">
        <v>849</v>
      </c>
      <c r="AM809" s="4">
        <v>6.1</v>
      </c>
      <c r="AQ809" s="4" t="s">
        <v>519</v>
      </c>
      <c r="AR809" s="4">
        <v>16000</v>
      </c>
      <c r="BD809" s="4" t="s">
        <v>845</v>
      </c>
      <c r="BI809" s="4" t="s">
        <v>320</v>
      </c>
      <c r="BN809" s="4">
        <v>1</v>
      </c>
      <c r="BR809" s="4">
        <v>0.001</v>
      </c>
      <c r="BS809" s="4">
        <v>8.5</v>
      </c>
      <c r="BU809" s="4">
        <v>250</v>
      </c>
      <c r="BV809" s="4">
        <v>120</v>
      </c>
      <c r="CB809" s="4" t="s">
        <v>496</v>
      </c>
      <c r="CC809" s="4">
        <v>7.49216</v>
      </c>
      <c r="DO809" s="4">
        <v>3</v>
      </c>
      <c r="FE809" s="4">
        <v>69.52</v>
      </c>
      <c r="FH809" s="4">
        <v>69.52</v>
      </c>
    </row>
    <row r="810" customHeight="1" spans="1:239">
      <c r="A810" s="3">
        <v>23</v>
      </c>
      <c r="B810" s="4" t="s">
        <v>835</v>
      </c>
      <c r="C810" s="5" t="s">
        <v>862</v>
      </c>
      <c r="D810" s="4" t="s">
        <v>300</v>
      </c>
      <c r="E810" s="4" t="s">
        <v>837</v>
      </c>
      <c r="G810" s="4" t="s">
        <v>863</v>
      </c>
      <c r="J810" s="4">
        <v>60</v>
      </c>
      <c r="N810" s="4" t="s">
        <v>567</v>
      </c>
      <c r="O810" s="4" t="s">
        <v>502</v>
      </c>
      <c r="P810" s="4">
        <v>4</v>
      </c>
      <c r="T810" s="4">
        <v>46</v>
      </c>
      <c r="X810" s="4">
        <v>0.7845</v>
      </c>
      <c r="AA810" s="4" t="s">
        <v>864</v>
      </c>
      <c r="AE810" s="4" t="s">
        <v>865</v>
      </c>
      <c r="AF810" s="4" t="s">
        <v>840</v>
      </c>
      <c r="AG810" s="4" t="s">
        <v>841</v>
      </c>
      <c r="AH810" s="4" t="s">
        <v>848</v>
      </c>
      <c r="AL810" s="4" t="s">
        <v>849</v>
      </c>
      <c r="AM810" s="4">
        <v>6.1</v>
      </c>
      <c r="AQ810" s="4" t="s">
        <v>519</v>
      </c>
      <c r="AR810" s="4">
        <v>16000</v>
      </c>
      <c r="BD810" s="4" t="s">
        <v>845</v>
      </c>
      <c r="BI810" s="4" t="s">
        <v>320</v>
      </c>
      <c r="BN810" s="4">
        <v>1</v>
      </c>
      <c r="BR810" s="4">
        <v>0.001</v>
      </c>
      <c r="BS810" s="4">
        <v>9.5</v>
      </c>
      <c r="BU810" s="4">
        <v>250</v>
      </c>
      <c r="BV810" s="4">
        <v>120</v>
      </c>
      <c r="CB810" s="4" t="s">
        <v>496</v>
      </c>
      <c r="CC810" s="4">
        <v>7.49216</v>
      </c>
      <c r="DO810" s="4">
        <v>3</v>
      </c>
      <c r="FE810" s="4">
        <v>47.62</v>
      </c>
      <c r="FH810" s="4">
        <v>47.62</v>
      </c>
    </row>
    <row r="811" customHeight="1" spans="1:239">
      <c r="A811" s="3">
        <v>23</v>
      </c>
      <c r="B811" s="4" t="s">
        <v>835</v>
      </c>
      <c r="C811" s="5" t="s">
        <v>862</v>
      </c>
      <c r="D811" s="4" t="s">
        <v>300</v>
      </c>
      <c r="E811" s="4" t="s">
        <v>837</v>
      </c>
      <c r="G811" s="4" t="s">
        <v>863</v>
      </c>
      <c r="J811" s="4">
        <v>60</v>
      </c>
      <c r="N811" s="4" t="s">
        <v>567</v>
      </c>
      <c r="O811" s="4" t="s">
        <v>502</v>
      </c>
      <c r="P811" s="4">
        <v>4</v>
      </c>
      <c r="T811" s="4">
        <v>46</v>
      </c>
      <c r="X811" s="4">
        <v>0.7845</v>
      </c>
      <c r="AA811" s="4" t="s">
        <v>864</v>
      </c>
      <c r="AE811" s="4" t="s">
        <v>865</v>
      </c>
      <c r="AF811" s="4" t="s">
        <v>840</v>
      </c>
      <c r="AG811" s="4" t="s">
        <v>841</v>
      </c>
      <c r="AH811" s="4" t="s">
        <v>842</v>
      </c>
      <c r="AL811" s="4" t="s">
        <v>843</v>
      </c>
      <c r="AM811" s="4">
        <v>5.6</v>
      </c>
      <c r="AQ811" s="4" t="s">
        <v>844</v>
      </c>
      <c r="AR811" s="4">
        <v>4000</v>
      </c>
      <c r="BD811" s="4" t="s">
        <v>845</v>
      </c>
      <c r="BI811" s="4" t="s">
        <v>320</v>
      </c>
      <c r="BN811" s="4">
        <v>1</v>
      </c>
      <c r="BR811" s="4">
        <v>0.01</v>
      </c>
      <c r="BS811" s="4">
        <v>3.5</v>
      </c>
      <c r="BU811" s="4">
        <v>250</v>
      </c>
      <c r="BV811" s="4">
        <v>120</v>
      </c>
      <c r="CB811" s="4" t="s">
        <v>463</v>
      </c>
      <c r="CC811" s="4">
        <v>6.538</v>
      </c>
      <c r="DO811" s="4">
        <v>3</v>
      </c>
      <c r="IB811" s="4">
        <v>10.3</v>
      </c>
      <c r="IE811" s="4">
        <v>10.3</v>
      </c>
    </row>
    <row r="812" customHeight="1" spans="1:239">
      <c r="A812" s="3">
        <v>23</v>
      </c>
      <c r="B812" s="4" t="s">
        <v>835</v>
      </c>
      <c r="C812" s="5" t="s">
        <v>862</v>
      </c>
      <c r="D812" s="4" t="s">
        <v>300</v>
      </c>
      <c r="E812" s="4" t="s">
        <v>837</v>
      </c>
      <c r="G812" s="4" t="s">
        <v>863</v>
      </c>
      <c r="J812" s="4">
        <v>60</v>
      </c>
      <c r="N812" s="4" t="s">
        <v>567</v>
      </c>
      <c r="O812" s="4" t="s">
        <v>502</v>
      </c>
      <c r="P812" s="4">
        <v>4</v>
      </c>
      <c r="T812" s="4">
        <v>46</v>
      </c>
      <c r="X812" s="4">
        <v>0.7845</v>
      </c>
      <c r="AA812" s="4" t="s">
        <v>864</v>
      </c>
      <c r="AE812" s="4" t="s">
        <v>865</v>
      </c>
      <c r="AF812" s="4" t="s">
        <v>840</v>
      </c>
      <c r="AG812" s="4" t="s">
        <v>841</v>
      </c>
      <c r="AH812" s="4" t="s">
        <v>842</v>
      </c>
      <c r="AL812" s="4" t="s">
        <v>843</v>
      </c>
      <c r="AM812" s="4">
        <v>5.6</v>
      </c>
      <c r="AQ812" s="4" t="s">
        <v>844</v>
      </c>
      <c r="AR812" s="4">
        <v>4000</v>
      </c>
      <c r="BD812" s="4" t="s">
        <v>845</v>
      </c>
      <c r="BI812" s="4" t="s">
        <v>320</v>
      </c>
      <c r="BN812" s="4">
        <v>1</v>
      </c>
      <c r="BR812" s="4">
        <v>0.01</v>
      </c>
      <c r="BS812" s="4">
        <v>4.5</v>
      </c>
      <c r="BU812" s="4">
        <v>250</v>
      </c>
      <c r="BV812" s="4">
        <v>120</v>
      </c>
      <c r="CB812" s="4" t="s">
        <v>463</v>
      </c>
      <c r="CC812" s="4">
        <v>6.538</v>
      </c>
      <c r="DO812" s="4">
        <v>3</v>
      </c>
      <c r="IB812" s="4">
        <v>49.7</v>
      </c>
      <c r="IE812" s="4">
        <v>49.7</v>
      </c>
    </row>
    <row r="813" customHeight="1" spans="1:239">
      <c r="A813" s="3">
        <v>23</v>
      </c>
      <c r="B813" s="4" t="s">
        <v>835</v>
      </c>
      <c r="C813" s="5" t="s">
        <v>862</v>
      </c>
      <c r="D813" s="4" t="s">
        <v>300</v>
      </c>
      <c r="E813" s="4" t="s">
        <v>837</v>
      </c>
      <c r="G813" s="4" t="s">
        <v>863</v>
      </c>
      <c r="J813" s="4">
        <v>60</v>
      </c>
      <c r="N813" s="4" t="s">
        <v>567</v>
      </c>
      <c r="O813" s="4" t="s">
        <v>502</v>
      </c>
      <c r="P813" s="4">
        <v>4</v>
      </c>
      <c r="T813" s="4">
        <v>46</v>
      </c>
      <c r="X813" s="4">
        <v>0.7845</v>
      </c>
      <c r="AA813" s="4" t="s">
        <v>864</v>
      </c>
      <c r="AE813" s="4" t="s">
        <v>865</v>
      </c>
      <c r="AF813" s="4" t="s">
        <v>840</v>
      </c>
      <c r="AG813" s="4" t="s">
        <v>841</v>
      </c>
      <c r="AH813" s="4" t="s">
        <v>842</v>
      </c>
      <c r="AL813" s="4" t="s">
        <v>843</v>
      </c>
      <c r="AM813" s="4">
        <v>5.6</v>
      </c>
      <c r="AQ813" s="4" t="s">
        <v>844</v>
      </c>
      <c r="AR813" s="4">
        <v>4000</v>
      </c>
      <c r="BD813" s="4" t="s">
        <v>845</v>
      </c>
      <c r="BI813" s="4" t="s">
        <v>320</v>
      </c>
      <c r="BN813" s="4">
        <v>1</v>
      </c>
      <c r="BR813" s="4">
        <v>0.01</v>
      </c>
      <c r="BS813" s="4">
        <v>5.5</v>
      </c>
      <c r="BU813" s="4">
        <v>250</v>
      </c>
      <c r="BV813" s="4">
        <v>120</v>
      </c>
      <c r="CB813" s="4" t="s">
        <v>463</v>
      </c>
      <c r="CC813" s="4">
        <v>6.538</v>
      </c>
      <c r="DO813" s="4">
        <v>3</v>
      </c>
      <c r="IB813" s="4">
        <v>77.27</v>
      </c>
      <c r="IE813" s="4">
        <v>77.27</v>
      </c>
    </row>
    <row r="814" customHeight="1" spans="1:239">
      <c r="A814" s="3">
        <v>23</v>
      </c>
      <c r="B814" s="4" t="s">
        <v>835</v>
      </c>
      <c r="C814" s="5" t="s">
        <v>862</v>
      </c>
      <c r="D814" s="4" t="s">
        <v>300</v>
      </c>
      <c r="E814" s="4" t="s">
        <v>837</v>
      </c>
      <c r="G814" s="4" t="s">
        <v>863</v>
      </c>
      <c r="J814" s="4">
        <v>60</v>
      </c>
      <c r="N814" s="4" t="s">
        <v>567</v>
      </c>
      <c r="O814" s="4" t="s">
        <v>502</v>
      </c>
      <c r="P814" s="4">
        <v>4</v>
      </c>
      <c r="T814" s="4">
        <v>46</v>
      </c>
      <c r="X814" s="4">
        <v>0.7845</v>
      </c>
      <c r="AA814" s="4" t="s">
        <v>864</v>
      </c>
      <c r="AE814" s="4" t="s">
        <v>865</v>
      </c>
      <c r="AF814" s="4" t="s">
        <v>840</v>
      </c>
      <c r="AG814" s="4" t="s">
        <v>841</v>
      </c>
      <c r="AH814" s="4" t="s">
        <v>842</v>
      </c>
      <c r="AL814" s="4" t="s">
        <v>843</v>
      </c>
      <c r="AM814" s="4">
        <v>5.6</v>
      </c>
      <c r="AQ814" s="4" t="s">
        <v>844</v>
      </c>
      <c r="AR814" s="4">
        <v>4000</v>
      </c>
      <c r="BD814" s="4" t="s">
        <v>845</v>
      </c>
      <c r="BI814" s="4" t="s">
        <v>320</v>
      </c>
      <c r="BN814" s="4">
        <v>1</v>
      </c>
      <c r="BR814" s="4">
        <v>0.01</v>
      </c>
      <c r="BS814" s="4">
        <v>6.5</v>
      </c>
      <c r="BU814" s="4">
        <v>250</v>
      </c>
      <c r="BV814" s="4">
        <v>120</v>
      </c>
      <c r="CB814" s="4" t="s">
        <v>463</v>
      </c>
      <c r="CC814" s="4">
        <v>6.538</v>
      </c>
      <c r="DO814" s="4">
        <v>3</v>
      </c>
      <c r="IB814" s="4">
        <v>94.55</v>
      </c>
      <c r="IE814" s="4">
        <v>94.55</v>
      </c>
    </row>
    <row r="815" customHeight="1" spans="1:239">
      <c r="A815" s="3">
        <v>23</v>
      </c>
      <c r="B815" s="4" t="s">
        <v>835</v>
      </c>
      <c r="C815" s="5" t="s">
        <v>862</v>
      </c>
      <c r="D815" s="4" t="s">
        <v>300</v>
      </c>
      <c r="E815" s="4" t="s">
        <v>837</v>
      </c>
      <c r="G815" s="4" t="s">
        <v>863</v>
      </c>
      <c r="J815" s="4">
        <v>60</v>
      </c>
      <c r="N815" s="4" t="s">
        <v>567</v>
      </c>
      <c r="O815" s="4" t="s">
        <v>502</v>
      </c>
      <c r="P815" s="4">
        <v>4</v>
      </c>
      <c r="T815" s="4">
        <v>46</v>
      </c>
      <c r="X815" s="4">
        <v>0.7845</v>
      </c>
      <c r="AA815" s="4" t="s">
        <v>864</v>
      </c>
      <c r="AE815" s="4" t="s">
        <v>865</v>
      </c>
      <c r="AF815" s="4" t="s">
        <v>840</v>
      </c>
      <c r="AG815" s="4" t="s">
        <v>841</v>
      </c>
      <c r="AH815" s="4" t="s">
        <v>842</v>
      </c>
      <c r="AL815" s="4" t="s">
        <v>843</v>
      </c>
      <c r="AM815" s="4">
        <v>5.6</v>
      </c>
      <c r="AQ815" s="4" t="s">
        <v>844</v>
      </c>
      <c r="AR815" s="4">
        <v>4000</v>
      </c>
      <c r="BD815" s="4" t="s">
        <v>845</v>
      </c>
      <c r="BI815" s="4" t="s">
        <v>320</v>
      </c>
      <c r="BN815" s="4">
        <v>1</v>
      </c>
      <c r="BR815" s="4">
        <v>0.01</v>
      </c>
      <c r="BS815" s="4">
        <v>7.5</v>
      </c>
      <c r="BU815" s="4">
        <v>250</v>
      </c>
      <c r="BV815" s="4">
        <v>120</v>
      </c>
      <c r="CB815" s="4" t="s">
        <v>463</v>
      </c>
      <c r="CC815" s="4">
        <v>6.538</v>
      </c>
      <c r="DO815" s="4">
        <v>3</v>
      </c>
      <c r="IB815" s="4">
        <v>96.67</v>
      </c>
      <c r="IE815" s="4">
        <v>96.67</v>
      </c>
    </row>
    <row r="816" customHeight="1" spans="1:239">
      <c r="A816" s="3">
        <v>23</v>
      </c>
      <c r="B816" s="4" t="s">
        <v>835</v>
      </c>
      <c r="C816" s="5" t="s">
        <v>862</v>
      </c>
      <c r="D816" s="4" t="s">
        <v>300</v>
      </c>
      <c r="E816" s="4" t="s">
        <v>837</v>
      </c>
      <c r="G816" s="4" t="s">
        <v>863</v>
      </c>
      <c r="J816" s="4">
        <v>60</v>
      </c>
      <c r="N816" s="4" t="s">
        <v>567</v>
      </c>
      <c r="O816" s="4" t="s">
        <v>502</v>
      </c>
      <c r="P816" s="4">
        <v>4</v>
      </c>
      <c r="T816" s="4">
        <v>46</v>
      </c>
      <c r="X816" s="4">
        <v>0.7845</v>
      </c>
      <c r="AA816" s="4" t="s">
        <v>864</v>
      </c>
      <c r="AE816" s="4" t="s">
        <v>865</v>
      </c>
      <c r="AF816" s="4" t="s">
        <v>840</v>
      </c>
      <c r="AG816" s="4" t="s">
        <v>841</v>
      </c>
      <c r="AH816" s="4" t="s">
        <v>842</v>
      </c>
      <c r="AL816" s="4" t="s">
        <v>843</v>
      </c>
      <c r="AM816" s="4">
        <v>5.6</v>
      </c>
      <c r="AQ816" s="4" t="s">
        <v>844</v>
      </c>
      <c r="AR816" s="4">
        <v>4000</v>
      </c>
      <c r="BD816" s="4" t="s">
        <v>845</v>
      </c>
      <c r="BI816" s="4" t="s">
        <v>320</v>
      </c>
      <c r="BN816" s="4">
        <v>1</v>
      </c>
      <c r="BR816" s="4">
        <v>0.01</v>
      </c>
      <c r="BS816" s="4">
        <v>8.5</v>
      </c>
      <c r="BU816" s="4">
        <v>250</v>
      </c>
      <c r="BV816" s="4">
        <v>120</v>
      </c>
      <c r="CB816" s="4" t="s">
        <v>463</v>
      </c>
      <c r="CC816" s="4">
        <v>6.538</v>
      </c>
      <c r="DO816" s="4">
        <v>3</v>
      </c>
      <c r="IB816" s="4">
        <v>98.48</v>
      </c>
      <c r="IE816" s="4">
        <v>98.48</v>
      </c>
    </row>
    <row r="817" customHeight="1" spans="1:239">
      <c r="A817" s="3">
        <v>23</v>
      </c>
      <c r="B817" s="4" t="s">
        <v>835</v>
      </c>
      <c r="C817" s="5" t="s">
        <v>862</v>
      </c>
      <c r="D817" s="4" t="s">
        <v>300</v>
      </c>
      <c r="E817" s="4" t="s">
        <v>837</v>
      </c>
      <c r="G817" s="4" t="s">
        <v>863</v>
      </c>
      <c r="J817" s="4">
        <v>60</v>
      </c>
      <c r="N817" s="4" t="s">
        <v>567</v>
      </c>
      <c r="O817" s="4" t="s">
        <v>502</v>
      </c>
      <c r="P817" s="4">
        <v>4</v>
      </c>
      <c r="T817" s="4">
        <v>46</v>
      </c>
      <c r="X817" s="4">
        <v>0.7845</v>
      </c>
      <c r="AA817" s="4" t="s">
        <v>864</v>
      </c>
      <c r="AE817" s="4" t="s">
        <v>865</v>
      </c>
      <c r="AF817" s="4" t="s">
        <v>840</v>
      </c>
      <c r="AG817" s="4" t="s">
        <v>841</v>
      </c>
      <c r="AH817" s="4" t="s">
        <v>848</v>
      </c>
      <c r="AL817" s="4" t="s">
        <v>849</v>
      </c>
      <c r="AM817" s="4">
        <v>6.1</v>
      </c>
      <c r="AQ817" s="4" t="s">
        <v>519</v>
      </c>
      <c r="AR817" s="4">
        <v>16000</v>
      </c>
      <c r="BD817" s="4" t="s">
        <v>845</v>
      </c>
      <c r="BI817" s="4" t="s">
        <v>320</v>
      </c>
      <c r="BN817" s="4">
        <v>1</v>
      </c>
      <c r="BR817" s="4">
        <v>0.01</v>
      </c>
      <c r="BS817" s="4">
        <v>5.5</v>
      </c>
      <c r="BU817" s="4">
        <v>250</v>
      </c>
      <c r="BV817" s="4">
        <v>120</v>
      </c>
      <c r="CB817" s="4" t="s">
        <v>496</v>
      </c>
      <c r="CC817" s="4">
        <v>7.49216</v>
      </c>
      <c r="DO817" s="4">
        <v>3</v>
      </c>
      <c r="FE817" s="4">
        <v>98.73</v>
      </c>
      <c r="FH817" s="4">
        <v>98.73</v>
      </c>
    </row>
    <row r="818" customHeight="1" spans="1:239">
      <c r="A818" s="3">
        <v>23</v>
      </c>
      <c r="B818" s="4" t="s">
        <v>835</v>
      </c>
      <c r="C818" s="5" t="s">
        <v>862</v>
      </c>
      <c r="D818" s="4" t="s">
        <v>300</v>
      </c>
      <c r="E818" s="4" t="s">
        <v>837</v>
      </c>
      <c r="G818" s="4" t="s">
        <v>863</v>
      </c>
      <c r="J818" s="4">
        <v>60</v>
      </c>
      <c r="N818" s="4" t="s">
        <v>567</v>
      </c>
      <c r="O818" s="4" t="s">
        <v>502</v>
      </c>
      <c r="P818" s="4">
        <v>4</v>
      </c>
      <c r="T818" s="4">
        <v>46</v>
      </c>
      <c r="X818" s="4">
        <v>0.7845</v>
      </c>
      <c r="AA818" s="4" t="s">
        <v>864</v>
      </c>
      <c r="AE818" s="4" t="s">
        <v>865</v>
      </c>
      <c r="AF818" s="4" t="s">
        <v>840</v>
      </c>
      <c r="AG818" s="4" t="s">
        <v>841</v>
      </c>
      <c r="AH818" s="4" t="s">
        <v>848</v>
      </c>
      <c r="AL818" s="4" t="s">
        <v>849</v>
      </c>
      <c r="AM818" s="4">
        <v>6.1</v>
      </c>
      <c r="AQ818" s="4" t="s">
        <v>519</v>
      </c>
      <c r="AR818" s="4">
        <v>16000</v>
      </c>
      <c r="BD818" s="4" t="s">
        <v>845</v>
      </c>
      <c r="BI818" s="4" t="s">
        <v>320</v>
      </c>
      <c r="BN818" s="4">
        <v>1</v>
      </c>
      <c r="BR818" s="4">
        <v>0.01</v>
      </c>
      <c r="BS818" s="4">
        <v>6.5</v>
      </c>
      <c r="BU818" s="4">
        <v>250</v>
      </c>
      <c r="BV818" s="4">
        <v>120</v>
      </c>
      <c r="CB818" s="4" t="s">
        <v>496</v>
      </c>
      <c r="CC818" s="4">
        <v>7.49216</v>
      </c>
      <c r="DO818" s="4">
        <v>3</v>
      </c>
      <c r="FE818" s="4">
        <v>96.51</v>
      </c>
      <c r="FH818" s="4">
        <v>96.51</v>
      </c>
    </row>
    <row r="819" customHeight="1" spans="1:239">
      <c r="A819" s="3">
        <v>23</v>
      </c>
      <c r="B819" s="4" t="s">
        <v>835</v>
      </c>
      <c r="C819" s="5" t="s">
        <v>862</v>
      </c>
      <c r="D819" s="4" t="s">
        <v>300</v>
      </c>
      <c r="E819" s="4" t="s">
        <v>837</v>
      </c>
      <c r="G819" s="4" t="s">
        <v>863</v>
      </c>
      <c r="J819" s="4">
        <v>60</v>
      </c>
      <c r="N819" s="4" t="s">
        <v>567</v>
      </c>
      <c r="O819" s="4" t="s">
        <v>502</v>
      </c>
      <c r="P819" s="4">
        <v>4</v>
      </c>
      <c r="T819" s="4">
        <v>46</v>
      </c>
      <c r="X819" s="4">
        <v>0.7845</v>
      </c>
      <c r="AA819" s="4" t="s">
        <v>864</v>
      </c>
      <c r="AE819" s="4" t="s">
        <v>865</v>
      </c>
      <c r="AF819" s="4" t="s">
        <v>840</v>
      </c>
      <c r="AG819" s="4" t="s">
        <v>841</v>
      </c>
      <c r="AH819" s="4" t="s">
        <v>848</v>
      </c>
      <c r="AL819" s="4" t="s">
        <v>849</v>
      </c>
      <c r="AM819" s="4">
        <v>6.1</v>
      </c>
      <c r="AQ819" s="4" t="s">
        <v>519</v>
      </c>
      <c r="AR819" s="4">
        <v>16000</v>
      </c>
      <c r="BD819" s="4" t="s">
        <v>845</v>
      </c>
      <c r="BI819" s="4" t="s">
        <v>320</v>
      </c>
      <c r="BN819" s="4">
        <v>1</v>
      </c>
      <c r="BR819" s="4">
        <v>0.01</v>
      </c>
      <c r="BS819" s="4">
        <v>7.5</v>
      </c>
      <c r="BU819" s="4">
        <v>250</v>
      </c>
      <c r="BV819" s="4">
        <v>120</v>
      </c>
      <c r="CB819" s="4" t="s">
        <v>496</v>
      </c>
      <c r="CC819" s="4">
        <v>7.49216</v>
      </c>
      <c r="DO819" s="4">
        <v>3</v>
      </c>
      <c r="FE819" s="4">
        <v>92.06</v>
      </c>
      <c r="FH819" s="4">
        <v>92.06</v>
      </c>
    </row>
    <row r="820" customHeight="1" spans="1:239">
      <c r="A820" s="3">
        <v>23</v>
      </c>
      <c r="B820" s="4" t="s">
        <v>835</v>
      </c>
      <c r="C820" s="5" t="s">
        <v>862</v>
      </c>
      <c r="D820" s="4" t="s">
        <v>300</v>
      </c>
      <c r="E820" s="4" t="s">
        <v>837</v>
      </c>
      <c r="G820" s="4" t="s">
        <v>863</v>
      </c>
      <c r="J820" s="4">
        <v>60</v>
      </c>
      <c r="N820" s="4" t="s">
        <v>567</v>
      </c>
      <c r="O820" s="4" t="s">
        <v>502</v>
      </c>
      <c r="P820" s="4">
        <v>4</v>
      </c>
      <c r="T820" s="4">
        <v>46</v>
      </c>
      <c r="X820" s="4">
        <v>0.7845</v>
      </c>
      <c r="AA820" s="4" t="s">
        <v>864</v>
      </c>
      <c r="AE820" s="4" t="s">
        <v>865</v>
      </c>
      <c r="AF820" s="4" t="s">
        <v>840</v>
      </c>
      <c r="AG820" s="4" t="s">
        <v>841</v>
      </c>
      <c r="AH820" s="4" t="s">
        <v>848</v>
      </c>
      <c r="AL820" s="4" t="s">
        <v>849</v>
      </c>
      <c r="AM820" s="4">
        <v>6.1</v>
      </c>
      <c r="AQ820" s="4" t="s">
        <v>519</v>
      </c>
      <c r="AR820" s="4">
        <v>16000</v>
      </c>
      <c r="BD820" s="4" t="s">
        <v>845</v>
      </c>
      <c r="BI820" s="4" t="s">
        <v>320</v>
      </c>
      <c r="BN820" s="4">
        <v>1</v>
      </c>
      <c r="BR820" s="4">
        <v>0.01</v>
      </c>
      <c r="BS820" s="4">
        <v>8.5</v>
      </c>
      <c r="BU820" s="4">
        <v>250</v>
      </c>
      <c r="BV820" s="4">
        <v>120</v>
      </c>
      <c r="CB820" s="4" t="s">
        <v>496</v>
      </c>
      <c r="CC820" s="4">
        <v>7.49216</v>
      </c>
      <c r="DO820" s="4">
        <v>3</v>
      </c>
      <c r="FE820" s="4">
        <v>72.7</v>
      </c>
      <c r="FH820" s="4">
        <v>72.7</v>
      </c>
    </row>
    <row r="821" customHeight="1" spans="1:239">
      <c r="A821" s="3">
        <v>23</v>
      </c>
      <c r="B821" s="4" t="s">
        <v>835</v>
      </c>
      <c r="C821" s="5" t="s">
        <v>862</v>
      </c>
      <c r="D821" s="4" t="s">
        <v>300</v>
      </c>
      <c r="E821" s="4" t="s">
        <v>837</v>
      </c>
      <c r="G821" s="4" t="s">
        <v>863</v>
      </c>
      <c r="J821" s="4">
        <v>60</v>
      </c>
      <c r="N821" s="4" t="s">
        <v>567</v>
      </c>
      <c r="O821" s="4" t="s">
        <v>502</v>
      </c>
      <c r="P821" s="4">
        <v>4</v>
      </c>
      <c r="T821" s="4">
        <v>46</v>
      </c>
      <c r="X821" s="4">
        <v>0.7845</v>
      </c>
      <c r="AA821" s="4" t="s">
        <v>864</v>
      </c>
      <c r="AE821" s="4" t="s">
        <v>865</v>
      </c>
      <c r="AF821" s="4" t="s">
        <v>840</v>
      </c>
      <c r="AG821" s="4" t="s">
        <v>841</v>
      </c>
      <c r="AH821" s="4" t="s">
        <v>848</v>
      </c>
      <c r="AL821" s="4" t="s">
        <v>849</v>
      </c>
      <c r="AM821" s="4">
        <v>6.1</v>
      </c>
      <c r="AQ821" s="4" t="s">
        <v>519</v>
      </c>
      <c r="AR821" s="4">
        <v>16000</v>
      </c>
      <c r="BD821" s="4" t="s">
        <v>845</v>
      </c>
      <c r="BI821" s="4" t="s">
        <v>320</v>
      </c>
      <c r="BN821" s="4">
        <v>1</v>
      </c>
      <c r="BR821" s="4">
        <v>0.01</v>
      </c>
      <c r="BS821" s="4">
        <v>9.5</v>
      </c>
      <c r="BU821" s="4">
        <v>250</v>
      </c>
      <c r="BV821" s="4">
        <v>120</v>
      </c>
      <c r="CB821" s="4" t="s">
        <v>496</v>
      </c>
      <c r="CC821" s="4">
        <v>7.49216</v>
      </c>
      <c r="DO821" s="4">
        <v>3</v>
      </c>
      <c r="FE821" s="4">
        <v>54.29</v>
      </c>
      <c r="FH821" s="4">
        <v>54.29</v>
      </c>
    </row>
    <row r="822" customHeight="1" spans="1:239">
      <c r="A822" s="3">
        <v>23</v>
      </c>
      <c r="B822" s="4" t="s">
        <v>835</v>
      </c>
      <c r="C822" s="5" t="s">
        <v>862</v>
      </c>
      <c r="D822" s="4" t="s">
        <v>300</v>
      </c>
      <c r="E822" s="4" t="s">
        <v>837</v>
      </c>
      <c r="G822" s="4" t="s">
        <v>863</v>
      </c>
      <c r="J822" s="4">
        <v>60</v>
      </c>
      <c r="N822" s="4" t="s">
        <v>567</v>
      </c>
      <c r="O822" s="4" t="s">
        <v>502</v>
      </c>
      <c r="P822" s="4">
        <v>4</v>
      </c>
      <c r="T822" s="4">
        <v>46</v>
      </c>
      <c r="X822" s="4">
        <v>0.7845</v>
      </c>
      <c r="AA822" s="4" t="s">
        <v>864</v>
      </c>
      <c r="AE822" s="4" t="s">
        <v>865</v>
      </c>
      <c r="AF822" s="4" t="s">
        <v>840</v>
      </c>
      <c r="AG822" s="4" t="s">
        <v>841</v>
      </c>
      <c r="AH822" s="4" t="s">
        <v>842</v>
      </c>
      <c r="AL822" s="4" t="s">
        <v>843</v>
      </c>
      <c r="AM822" s="4">
        <v>5.6</v>
      </c>
      <c r="AQ822" s="4" t="s">
        <v>844</v>
      </c>
      <c r="AR822" s="4">
        <v>4000</v>
      </c>
      <c r="BD822" s="4" t="s">
        <v>845</v>
      </c>
      <c r="BI822" s="4" t="s">
        <v>320</v>
      </c>
      <c r="BN822" s="4">
        <v>1</v>
      </c>
      <c r="BR822" s="4">
        <v>0.01</v>
      </c>
      <c r="BS822" s="4">
        <v>3.5</v>
      </c>
      <c r="BU822" s="4">
        <v>250</v>
      </c>
      <c r="BV822" s="4">
        <v>120</v>
      </c>
      <c r="CB822" s="4" t="s">
        <v>463</v>
      </c>
      <c r="CC822" s="4">
        <v>6.538</v>
      </c>
      <c r="DO822" s="4">
        <v>3</v>
      </c>
      <c r="IB822" s="4">
        <v>4.54</v>
      </c>
      <c r="IE822" s="4">
        <v>4.54</v>
      </c>
    </row>
    <row r="823" customHeight="1" spans="1:239">
      <c r="A823" s="3">
        <v>23</v>
      </c>
      <c r="B823" s="4" t="s">
        <v>835</v>
      </c>
      <c r="C823" s="5" t="s">
        <v>862</v>
      </c>
      <c r="D823" s="4" t="s">
        <v>300</v>
      </c>
      <c r="E823" s="4" t="s">
        <v>837</v>
      </c>
      <c r="G823" s="4" t="s">
        <v>863</v>
      </c>
      <c r="J823" s="4">
        <v>60</v>
      </c>
      <c r="N823" s="4" t="s">
        <v>567</v>
      </c>
      <c r="O823" s="4" t="s">
        <v>502</v>
      </c>
      <c r="P823" s="4">
        <v>4</v>
      </c>
      <c r="T823" s="4">
        <v>46</v>
      </c>
      <c r="X823" s="4">
        <v>0.7845</v>
      </c>
      <c r="AA823" s="4" t="s">
        <v>864</v>
      </c>
      <c r="AE823" s="4" t="s">
        <v>865</v>
      </c>
      <c r="AF823" s="4" t="s">
        <v>840</v>
      </c>
      <c r="AG823" s="4" t="s">
        <v>841</v>
      </c>
      <c r="AH823" s="4" t="s">
        <v>842</v>
      </c>
      <c r="AL823" s="4" t="s">
        <v>843</v>
      </c>
      <c r="AM823" s="4">
        <v>5.6</v>
      </c>
      <c r="AQ823" s="4" t="s">
        <v>844</v>
      </c>
      <c r="AR823" s="4">
        <v>4000</v>
      </c>
      <c r="BD823" s="4" t="s">
        <v>845</v>
      </c>
      <c r="BI823" s="4" t="s">
        <v>320</v>
      </c>
      <c r="BN823" s="4">
        <v>1</v>
      </c>
      <c r="BR823" s="4">
        <v>0.01</v>
      </c>
      <c r="BS823" s="4">
        <v>4.5</v>
      </c>
      <c r="BU823" s="4">
        <v>250</v>
      </c>
      <c r="BV823" s="4">
        <v>120</v>
      </c>
      <c r="CB823" s="4" t="s">
        <v>463</v>
      </c>
      <c r="CC823" s="4">
        <v>6.538</v>
      </c>
      <c r="DO823" s="4">
        <v>3</v>
      </c>
      <c r="IB823" s="4">
        <v>51.52</v>
      </c>
      <c r="IE823" s="4">
        <v>51.52</v>
      </c>
    </row>
    <row r="824" customHeight="1" spans="1:239">
      <c r="A824" s="3">
        <v>23</v>
      </c>
      <c r="B824" s="4" t="s">
        <v>835</v>
      </c>
      <c r="C824" s="5" t="s">
        <v>862</v>
      </c>
      <c r="D824" s="4" t="s">
        <v>300</v>
      </c>
      <c r="E824" s="4" t="s">
        <v>837</v>
      </c>
      <c r="G824" s="4" t="s">
        <v>863</v>
      </c>
      <c r="J824" s="4">
        <v>60</v>
      </c>
      <c r="N824" s="4" t="s">
        <v>567</v>
      </c>
      <c r="O824" s="4" t="s">
        <v>502</v>
      </c>
      <c r="P824" s="4">
        <v>4</v>
      </c>
      <c r="T824" s="4">
        <v>46</v>
      </c>
      <c r="X824" s="4">
        <v>0.7845</v>
      </c>
      <c r="AA824" s="4" t="s">
        <v>864</v>
      </c>
      <c r="AE824" s="4" t="s">
        <v>865</v>
      </c>
      <c r="AF824" s="4" t="s">
        <v>840</v>
      </c>
      <c r="AG824" s="4" t="s">
        <v>841</v>
      </c>
      <c r="AH824" s="4" t="s">
        <v>842</v>
      </c>
      <c r="AL824" s="4" t="s">
        <v>843</v>
      </c>
      <c r="AM824" s="4">
        <v>5.6</v>
      </c>
      <c r="AQ824" s="4" t="s">
        <v>844</v>
      </c>
      <c r="AR824" s="4">
        <v>4000</v>
      </c>
      <c r="BD824" s="4" t="s">
        <v>845</v>
      </c>
      <c r="BI824" s="4" t="s">
        <v>320</v>
      </c>
      <c r="BN824" s="4">
        <v>1</v>
      </c>
      <c r="BR824" s="4">
        <v>0.01</v>
      </c>
      <c r="BS824" s="4">
        <v>5.5</v>
      </c>
      <c r="BU824" s="4">
        <v>250</v>
      </c>
      <c r="BV824" s="4">
        <v>120</v>
      </c>
      <c r="CB824" s="4" t="s">
        <v>463</v>
      </c>
      <c r="CC824" s="4">
        <v>6.538</v>
      </c>
      <c r="DO824" s="4">
        <v>3</v>
      </c>
      <c r="IB824" s="4">
        <v>83.33</v>
      </c>
      <c r="IE824" s="4">
        <v>83.33</v>
      </c>
    </row>
    <row r="825" customHeight="1" spans="1:239">
      <c r="A825" s="3">
        <v>23</v>
      </c>
      <c r="B825" s="4" t="s">
        <v>835</v>
      </c>
      <c r="C825" s="5" t="s">
        <v>862</v>
      </c>
      <c r="D825" s="4" t="s">
        <v>300</v>
      </c>
      <c r="E825" s="4" t="s">
        <v>837</v>
      </c>
      <c r="G825" s="4" t="s">
        <v>863</v>
      </c>
      <c r="J825" s="4">
        <v>60</v>
      </c>
      <c r="N825" s="4" t="s">
        <v>567</v>
      </c>
      <c r="O825" s="4" t="s">
        <v>502</v>
      </c>
      <c r="P825" s="4">
        <v>4</v>
      </c>
      <c r="T825" s="4">
        <v>46</v>
      </c>
      <c r="X825" s="4">
        <v>0.7845</v>
      </c>
      <c r="AA825" s="4" t="s">
        <v>864</v>
      </c>
      <c r="AE825" s="4" t="s">
        <v>865</v>
      </c>
      <c r="AF825" s="4" t="s">
        <v>840</v>
      </c>
      <c r="AG825" s="4" t="s">
        <v>841</v>
      </c>
      <c r="AH825" s="4" t="s">
        <v>842</v>
      </c>
      <c r="AL825" s="4" t="s">
        <v>843</v>
      </c>
      <c r="AM825" s="4">
        <v>5.6</v>
      </c>
      <c r="AQ825" s="4" t="s">
        <v>844</v>
      </c>
      <c r="AR825" s="4">
        <v>4000</v>
      </c>
      <c r="BD825" s="4" t="s">
        <v>845</v>
      </c>
      <c r="BI825" s="4" t="s">
        <v>320</v>
      </c>
      <c r="BN825" s="4">
        <v>1</v>
      </c>
      <c r="BR825" s="4">
        <v>0.01</v>
      </c>
      <c r="BS825" s="4">
        <v>6.5</v>
      </c>
      <c r="BU825" s="4">
        <v>250</v>
      </c>
      <c r="BV825" s="4">
        <v>120</v>
      </c>
      <c r="CB825" s="4" t="s">
        <v>463</v>
      </c>
      <c r="CC825" s="4">
        <v>6.538</v>
      </c>
      <c r="DO825" s="4">
        <v>3</v>
      </c>
      <c r="IB825" s="4">
        <v>93.33</v>
      </c>
      <c r="IE825" s="4">
        <v>93.33</v>
      </c>
    </row>
    <row r="826" customHeight="1" spans="1:239">
      <c r="A826" s="3">
        <v>23</v>
      </c>
      <c r="B826" s="4" t="s">
        <v>835</v>
      </c>
      <c r="C826" s="5" t="s">
        <v>862</v>
      </c>
      <c r="D826" s="4" t="s">
        <v>300</v>
      </c>
      <c r="E826" s="4" t="s">
        <v>837</v>
      </c>
      <c r="G826" s="4" t="s">
        <v>863</v>
      </c>
      <c r="J826" s="4">
        <v>60</v>
      </c>
      <c r="N826" s="4" t="s">
        <v>567</v>
      </c>
      <c r="O826" s="4" t="s">
        <v>502</v>
      </c>
      <c r="P826" s="4">
        <v>4</v>
      </c>
      <c r="T826" s="4">
        <v>46</v>
      </c>
      <c r="X826" s="4">
        <v>0.7845</v>
      </c>
      <c r="AA826" s="4" t="s">
        <v>864</v>
      </c>
      <c r="AE826" s="4" t="s">
        <v>865</v>
      </c>
      <c r="AF826" s="4" t="s">
        <v>840</v>
      </c>
      <c r="AG826" s="4" t="s">
        <v>841</v>
      </c>
      <c r="AH826" s="4" t="s">
        <v>842</v>
      </c>
      <c r="AL826" s="4" t="s">
        <v>843</v>
      </c>
      <c r="AM826" s="4">
        <v>5.6</v>
      </c>
      <c r="AQ826" s="4" t="s">
        <v>844</v>
      </c>
      <c r="AR826" s="4">
        <v>4000</v>
      </c>
      <c r="BD826" s="4" t="s">
        <v>845</v>
      </c>
      <c r="BI826" s="4" t="s">
        <v>320</v>
      </c>
      <c r="BN826" s="4">
        <v>1</v>
      </c>
      <c r="BR826" s="4">
        <v>0.01</v>
      </c>
      <c r="BS826" s="4">
        <v>7.5</v>
      </c>
      <c r="BU826" s="4">
        <v>250</v>
      </c>
      <c r="BV826" s="4">
        <v>120</v>
      </c>
      <c r="CB826" s="4" t="s">
        <v>463</v>
      </c>
      <c r="CC826" s="4">
        <v>6.538</v>
      </c>
      <c r="DO826" s="4">
        <v>3</v>
      </c>
      <c r="IB826" s="4">
        <v>95.76</v>
      </c>
      <c r="IE826" s="4">
        <v>95.76</v>
      </c>
    </row>
    <row r="827" customHeight="1" spans="1:239">
      <c r="A827" s="3">
        <v>23</v>
      </c>
      <c r="B827" s="4" t="s">
        <v>835</v>
      </c>
      <c r="C827" s="5" t="s">
        <v>862</v>
      </c>
      <c r="D827" s="4" t="s">
        <v>300</v>
      </c>
      <c r="E827" s="4" t="s">
        <v>837</v>
      </c>
      <c r="G827" s="4" t="s">
        <v>863</v>
      </c>
      <c r="J827" s="4">
        <v>60</v>
      </c>
      <c r="N827" s="4" t="s">
        <v>567</v>
      </c>
      <c r="O827" s="4" t="s">
        <v>502</v>
      </c>
      <c r="P827" s="4">
        <v>4</v>
      </c>
      <c r="T827" s="4">
        <v>46</v>
      </c>
      <c r="X827" s="4">
        <v>0.7845</v>
      </c>
      <c r="AA827" s="4" t="s">
        <v>864</v>
      </c>
      <c r="AE827" s="4" t="s">
        <v>865</v>
      </c>
      <c r="AF827" s="4" t="s">
        <v>840</v>
      </c>
      <c r="AG827" s="4" t="s">
        <v>841</v>
      </c>
      <c r="AH827" s="4" t="s">
        <v>842</v>
      </c>
      <c r="AL827" s="4" t="s">
        <v>843</v>
      </c>
      <c r="AM827" s="4">
        <v>5.6</v>
      </c>
      <c r="AQ827" s="4" t="s">
        <v>844</v>
      </c>
      <c r="AR827" s="4">
        <v>4000</v>
      </c>
      <c r="BD827" s="4" t="s">
        <v>845</v>
      </c>
      <c r="BI827" s="4" t="s">
        <v>320</v>
      </c>
      <c r="BN827" s="4">
        <v>1</v>
      </c>
      <c r="BR827" s="4">
        <v>0.01</v>
      </c>
      <c r="BS827" s="4">
        <v>8.5</v>
      </c>
      <c r="BU827" s="4">
        <v>250</v>
      </c>
      <c r="BV827" s="4">
        <v>120</v>
      </c>
      <c r="CB827" s="4" t="s">
        <v>463</v>
      </c>
      <c r="CC827" s="4">
        <v>6.538</v>
      </c>
      <c r="DO827" s="4">
        <v>3</v>
      </c>
      <c r="IB827" s="4">
        <v>98.18</v>
      </c>
      <c r="IE827" s="4">
        <v>98.18</v>
      </c>
    </row>
    <row r="828" customHeight="1" spans="1:239">
      <c r="A828" s="3">
        <v>23</v>
      </c>
      <c r="B828" s="4" t="s">
        <v>835</v>
      </c>
      <c r="C828" s="5" t="s">
        <v>862</v>
      </c>
      <c r="D828" s="4" t="s">
        <v>300</v>
      </c>
      <c r="E828" s="4" t="s">
        <v>837</v>
      </c>
      <c r="G828" s="4" t="s">
        <v>863</v>
      </c>
      <c r="J828" s="4">
        <v>60</v>
      </c>
      <c r="N828" s="4" t="s">
        <v>567</v>
      </c>
      <c r="O828" s="4" t="s">
        <v>502</v>
      </c>
      <c r="P828" s="4">
        <v>4</v>
      </c>
      <c r="T828" s="4">
        <v>46</v>
      </c>
      <c r="X828" s="4">
        <v>0.7845</v>
      </c>
      <c r="AA828" s="4" t="s">
        <v>864</v>
      </c>
      <c r="AE828" s="4" t="s">
        <v>865</v>
      </c>
      <c r="AF828" s="4" t="s">
        <v>840</v>
      </c>
      <c r="AG828" s="4" t="s">
        <v>841</v>
      </c>
      <c r="AH828" s="4" t="s">
        <v>848</v>
      </c>
      <c r="AL828" s="4" t="s">
        <v>849</v>
      </c>
      <c r="AM828" s="4">
        <v>6.1</v>
      </c>
      <c r="AQ828" s="4" t="s">
        <v>519</v>
      </c>
      <c r="AR828" s="4">
        <v>16000</v>
      </c>
      <c r="BD828" s="4" t="s">
        <v>845</v>
      </c>
      <c r="BI828" s="4" t="s">
        <v>320</v>
      </c>
      <c r="BN828" s="4">
        <v>1</v>
      </c>
      <c r="BR828" s="4">
        <v>0.01</v>
      </c>
      <c r="BS828" s="4">
        <v>5.5</v>
      </c>
      <c r="BU828" s="4">
        <v>250</v>
      </c>
      <c r="BV828" s="4">
        <v>120</v>
      </c>
      <c r="CB828" s="4" t="s">
        <v>496</v>
      </c>
      <c r="CC828" s="4">
        <v>7.49216</v>
      </c>
      <c r="DO828" s="4">
        <v>3</v>
      </c>
      <c r="FE828" s="4">
        <v>99.05</v>
      </c>
      <c r="FH828" s="4">
        <v>99.05</v>
      </c>
    </row>
    <row r="829" customHeight="1" spans="1:239">
      <c r="A829" s="3">
        <v>23</v>
      </c>
      <c r="B829" s="4" t="s">
        <v>835</v>
      </c>
      <c r="C829" s="5" t="s">
        <v>862</v>
      </c>
      <c r="D829" s="4" t="s">
        <v>300</v>
      </c>
      <c r="E829" s="4" t="s">
        <v>837</v>
      </c>
      <c r="G829" s="4" t="s">
        <v>863</v>
      </c>
      <c r="J829" s="4">
        <v>60</v>
      </c>
      <c r="N829" s="4" t="s">
        <v>567</v>
      </c>
      <c r="O829" s="4" t="s">
        <v>502</v>
      </c>
      <c r="P829" s="4">
        <v>4</v>
      </c>
      <c r="T829" s="4">
        <v>46</v>
      </c>
      <c r="X829" s="4">
        <v>0.7845</v>
      </c>
      <c r="AA829" s="4" t="s">
        <v>864</v>
      </c>
      <c r="AE829" s="4" t="s">
        <v>865</v>
      </c>
      <c r="AF829" s="4" t="s">
        <v>840</v>
      </c>
      <c r="AG829" s="4" t="s">
        <v>841</v>
      </c>
      <c r="AH829" s="4" t="s">
        <v>848</v>
      </c>
      <c r="AL829" s="4" t="s">
        <v>849</v>
      </c>
      <c r="AM829" s="4">
        <v>6.1</v>
      </c>
      <c r="AQ829" s="4" t="s">
        <v>519</v>
      </c>
      <c r="AR829" s="4">
        <v>16000</v>
      </c>
      <c r="BD829" s="4" t="s">
        <v>845</v>
      </c>
      <c r="BI829" s="4" t="s">
        <v>320</v>
      </c>
      <c r="BN829" s="4">
        <v>1</v>
      </c>
      <c r="BR829" s="4">
        <v>0.01</v>
      </c>
      <c r="BS829" s="4">
        <v>6.5</v>
      </c>
      <c r="BU829" s="4">
        <v>250</v>
      </c>
      <c r="BV829" s="4">
        <v>120</v>
      </c>
      <c r="CB829" s="4" t="s">
        <v>496</v>
      </c>
      <c r="CC829" s="4">
        <v>7.49216</v>
      </c>
      <c r="DO829" s="4">
        <v>3</v>
      </c>
      <c r="FE829" s="4">
        <v>93.65</v>
      </c>
      <c r="FH829" s="4">
        <v>93.65</v>
      </c>
    </row>
    <row r="830" customHeight="1" spans="1:239">
      <c r="A830" s="3">
        <v>23</v>
      </c>
      <c r="B830" s="4" t="s">
        <v>835</v>
      </c>
      <c r="C830" s="5" t="s">
        <v>862</v>
      </c>
      <c r="D830" s="4" t="s">
        <v>300</v>
      </c>
      <c r="E830" s="4" t="s">
        <v>837</v>
      </c>
      <c r="G830" s="4" t="s">
        <v>863</v>
      </c>
      <c r="J830" s="4">
        <v>60</v>
      </c>
      <c r="N830" s="4" t="s">
        <v>567</v>
      </c>
      <c r="O830" s="4" t="s">
        <v>502</v>
      </c>
      <c r="P830" s="4">
        <v>4</v>
      </c>
      <c r="T830" s="4">
        <v>46</v>
      </c>
      <c r="X830" s="4">
        <v>0.7845</v>
      </c>
      <c r="AA830" s="4" t="s">
        <v>864</v>
      </c>
      <c r="AE830" s="4" t="s">
        <v>865</v>
      </c>
      <c r="AF830" s="4" t="s">
        <v>840</v>
      </c>
      <c r="AG830" s="4" t="s">
        <v>841</v>
      </c>
      <c r="AH830" s="4" t="s">
        <v>848</v>
      </c>
      <c r="AL830" s="4" t="s">
        <v>849</v>
      </c>
      <c r="AM830" s="4">
        <v>6.1</v>
      </c>
      <c r="AQ830" s="4" t="s">
        <v>519</v>
      </c>
      <c r="AR830" s="4">
        <v>16000</v>
      </c>
      <c r="BD830" s="4" t="s">
        <v>845</v>
      </c>
      <c r="BI830" s="4" t="s">
        <v>320</v>
      </c>
      <c r="BN830" s="4">
        <v>1</v>
      </c>
      <c r="BR830" s="4">
        <v>0.01</v>
      </c>
      <c r="BS830" s="4">
        <v>7.5</v>
      </c>
      <c r="BU830" s="4">
        <v>250</v>
      </c>
      <c r="BV830" s="4">
        <v>120</v>
      </c>
      <c r="CB830" s="4" t="s">
        <v>496</v>
      </c>
      <c r="CC830" s="4">
        <v>7.49216</v>
      </c>
      <c r="DO830" s="4">
        <v>3</v>
      </c>
      <c r="FE830" s="4">
        <v>90.48</v>
      </c>
      <c r="FH830" s="4">
        <v>90.48</v>
      </c>
    </row>
    <row r="831" customHeight="1" spans="1:239">
      <c r="A831" s="3">
        <v>23</v>
      </c>
      <c r="B831" s="4" t="s">
        <v>835</v>
      </c>
      <c r="C831" s="5" t="s">
        <v>862</v>
      </c>
      <c r="D831" s="4" t="s">
        <v>300</v>
      </c>
      <c r="E831" s="4" t="s">
        <v>837</v>
      </c>
      <c r="G831" s="4" t="s">
        <v>863</v>
      </c>
      <c r="J831" s="4">
        <v>60</v>
      </c>
      <c r="N831" s="4" t="s">
        <v>567</v>
      </c>
      <c r="O831" s="4" t="s">
        <v>502</v>
      </c>
      <c r="P831" s="4">
        <v>4</v>
      </c>
      <c r="T831" s="4">
        <v>46</v>
      </c>
      <c r="X831" s="4">
        <v>0.7845</v>
      </c>
      <c r="AA831" s="4" t="s">
        <v>864</v>
      </c>
      <c r="AE831" s="4" t="s">
        <v>865</v>
      </c>
      <c r="AF831" s="4" t="s">
        <v>840</v>
      </c>
      <c r="AG831" s="4" t="s">
        <v>841</v>
      </c>
      <c r="AH831" s="4" t="s">
        <v>848</v>
      </c>
      <c r="AL831" s="4" t="s">
        <v>849</v>
      </c>
      <c r="AM831" s="4">
        <v>6.1</v>
      </c>
      <c r="AQ831" s="4" t="s">
        <v>519</v>
      </c>
      <c r="AR831" s="4">
        <v>16000</v>
      </c>
      <c r="BD831" s="4" t="s">
        <v>845</v>
      </c>
      <c r="BI831" s="4" t="s">
        <v>320</v>
      </c>
      <c r="BN831" s="4">
        <v>1</v>
      </c>
      <c r="BR831" s="4">
        <v>0.01</v>
      </c>
      <c r="BS831" s="4">
        <v>8.5</v>
      </c>
      <c r="BU831" s="4">
        <v>250</v>
      </c>
      <c r="BV831" s="4">
        <v>120</v>
      </c>
      <c r="CB831" s="4" t="s">
        <v>496</v>
      </c>
      <c r="CC831" s="4">
        <v>7.49216</v>
      </c>
      <c r="DO831" s="4">
        <v>3</v>
      </c>
      <c r="FE831" s="4">
        <v>72.7</v>
      </c>
      <c r="FH831" s="4">
        <v>72.7</v>
      </c>
    </row>
    <row r="832" customHeight="1" spans="1:239">
      <c r="A832" s="3">
        <v>23</v>
      </c>
      <c r="B832" s="4" t="s">
        <v>835</v>
      </c>
      <c r="C832" s="5" t="s">
        <v>862</v>
      </c>
      <c r="D832" s="4" t="s">
        <v>300</v>
      </c>
      <c r="E832" s="4" t="s">
        <v>837</v>
      </c>
      <c r="G832" s="4" t="s">
        <v>863</v>
      </c>
      <c r="J832" s="4">
        <v>60</v>
      </c>
      <c r="N832" s="4" t="s">
        <v>567</v>
      </c>
      <c r="O832" s="4" t="s">
        <v>502</v>
      </c>
      <c r="P832" s="4">
        <v>4</v>
      </c>
      <c r="T832" s="4">
        <v>46</v>
      </c>
      <c r="X832" s="4">
        <v>0.7845</v>
      </c>
      <c r="AA832" s="4" t="s">
        <v>864</v>
      </c>
      <c r="AE832" s="4" t="s">
        <v>865</v>
      </c>
      <c r="AF832" s="4" t="s">
        <v>840</v>
      </c>
      <c r="AG832" s="4" t="s">
        <v>841</v>
      </c>
      <c r="AH832" s="4" t="s">
        <v>848</v>
      </c>
      <c r="AL832" s="4" t="s">
        <v>849</v>
      </c>
      <c r="AM832" s="4">
        <v>6.1</v>
      </c>
      <c r="AQ832" s="4" t="s">
        <v>519</v>
      </c>
      <c r="AR832" s="4">
        <v>16000</v>
      </c>
      <c r="BD832" s="4" t="s">
        <v>845</v>
      </c>
      <c r="BI832" s="4" t="s">
        <v>320</v>
      </c>
      <c r="BN832" s="4">
        <v>1</v>
      </c>
      <c r="BR832" s="4">
        <v>0.01</v>
      </c>
      <c r="BS832" s="4">
        <v>9.5</v>
      </c>
      <c r="BU832" s="4">
        <v>250</v>
      </c>
      <c r="BV832" s="4">
        <v>120</v>
      </c>
      <c r="CB832" s="4" t="s">
        <v>496</v>
      </c>
      <c r="CC832" s="4">
        <v>7.49216</v>
      </c>
      <c r="DO832" s="4">
        <v>3</v>
      </c>
      <c r="FE832" s="4">
        <v>44.13</v>
      </c>
      <c r="FH832" s="4">
        <v>44.13</v>
      </c>
    </row>
    <row r="833" customHeight="1" spans="1:164">
      <c r="A833" s="28">
        <v>24</v>
      </c>
      <c r="B833" s="4" t="s">
        <v>866</v>
      </c>
      <c r="C833" s="5" t="s">
        <v>867</v>
      </c>
      <c r="D833" s="4" t="s">
        <v>300</v>
      </c>
      <c r="E833" s="4" t="s">
        <v>868</v>
      </c>
      <c r="N833" s="4" t="s">
        <v>658</v>
      </c>
      <c r="O833" s="4" t="s">
        <v>343</v>
      </c>
      <c r="P833" s="4">
        <v>2</v>
      </c>
      <c r="Q833" s="4" t="s">
        <v>539</v>
      </c>
      <c r="T833" s="4" t="s">
        <v>869</v>
      </c>
      <c r="AC833" s="4" t="s">
        <v>870</v>
      </c>
      <c r="AD833" s="4" t="s">
        <v>871</v>
      </c>
      <c r="BI833" s="4" t="s">
        <v>309</v>
      </c>
      <c r="BN833" s="4">
        <v>5</v>
      </c>
      <c r="BS833" s="4">
        <v>7</v>
      </c>
      <c r="BT833" s="4">
        <v>7</v>
      </c>
      <c r="BV833" s="4">
        <v>1440</v>
      </c>
      <c r="BW833" s="4">
        <v>20</v>
      </c>
      <c r="CB833" s="4" t="s">
        <v>496</v>
      </c>
      <c r="CC833" s="4" t="s">
        <v>872</v>
      </c>
      <c r="DB833" s="4" t="s">
        <v>312</v>
      </c>
      <c r="DD833" s="4">
        <v>56.94</v>
      </c>
      <c r="DO833" s="4">
        <v>3</v>
      </c>
      <c r="FA833" s="4">
        <v>56.94</v>
      </c>
    </row>
    <row r="834" customHeight="1" spans="1:164">
      <c r="A834" s="28">
        <v>24</v>
      </c>
      <c r="B834" s="4" t="s">
        <v>866</v>
      </c>
      <c r="C834" s="5" t="s">
        <v>867</v>
      </c>
      <c r="D834" s="4" t="s">
        <v>300</v>
      </c>
      <c r="E834" s="4" t="s">
        <v>868</v>
      </c>
      <c r="N834" s="4" t="s">
        <v>658</v>
      </c>
      <c r="O834" s="4" t="s">
        <v>343</v>
      </c>
      <c r="P834" s="4">
        <v>2</v>
      </c>
      <c r="Q834" s="4" t="s">
        <v>539</v>
      </c>
      <c r="T834" s="4" t="s">
        <v>869</v>
      </c>
      <c r="AC834" s="4" t="s">
        <v>870</v>
      </c>
      <c r="AD834" s="4" t="s">
        <v>871</v>
      </c>
      <c r="BI834" s="4" t="s">
        <v>309</v>
      </c>
      <c r="BN834" s="4">
        <v>5</v>
      </c>
      <c r="BS834" s="4">
        <v>7</v>
      </c>
      <c r="BT834" s="4">
        <v>7</v>
      </c>
      <c r="BV834" s="4">
        <v>1440</v>
      </c>
      <c r="BW834" s="4">
        <v>20</v>
      </c>
      <c r="CB834" s="4" t="s">
        <v>496</v>
      </c>
      <c r="CC834" s="4">
        <v>29888.64</v>
      </c>
      <c r="CR834" s="4" t="s">
        <v>512</v>
      </c>
      <c r="CU834" s="4">
        <v>0</v>
      </c>
      <c r="DO834" s="4">
        <v>3</v>
      </c>
      <c r="FA834" s="4">
        <v>26.22</v>
      </c>
      <c r="FH834" s="1">
        <v>87.5</v>
      </c>
    </row>
    <row r="835" customHeight="1" spans="1:164">
      <c r="A835" s="28">
        <v>24</v>
      </c>
      <c r="B835" s="4" t="s">
        <v>866</v>
      </c>
      <c r="C835" s="5" t="s">
        <v>867</v>
      </c>
      <c r="D835" s="4" t="s">
        <v>300</v>
      </c>
      <c r="E835" s="4" t="s">
        <v>868</v>
      </c>
      <c r="N835" s="4" t="s">
        <v>658</v>
      </c>
      <c r="O835" s="4" t="s">
        <v>343</v>
      </c>
      <c r="P835" s="4">
        <v>2</v>
      </c>
      <c r="Q835" s="4" t="s">
        <v>539</v>
      </c>
      <c r="T835" s="4" t="s">
        <v>869</v>
      </c>
      <c r="AC835" s="4" t="s">
        <v>870</v>
      </c>
      <c r="AD835" s="4" t="s">
        <v>871</v>
      </c>
      <c r="BI835" s="4" t="s">
        <v>309</v>
      </c>
      <c r="BN835" s="4">
        <v>5</v>
      </c>
      <c r="BS835" s="4">
        <v>7</v>
      </c>
      <c r="BT835" s="4">
        <v>7</v>
      </c>
      <c r="BV835" s="4">
        <v>1440</v>
      </c>
      <c r="BW835" s="4">
        <v>20</v>
      </c>
      <c r="CB835" s="4" t="s">
        <v>496</v>
      </c>
      <c r="CC835" s="4">
        <v>29888.64</v>
      </c>
      <c r="CR835" s="4" t="s">
        <v>539</v>
      </c>
      <c r="CU835" s="4">
        <v>400</v>
      </c>
      <c r="DO835" s="4">
        <v>3</v>
      </c>
      <c r="FA835" s="4">
        <v>25.92</v>
      </c>
      <c r="FH835" s="1">
        <v>86.5</v>
      </c>
    </row>
    <row r="836" customHeight="1" spans="1:164">
      <c r="A836" s="28">
        <v>24</v>
      </c>
      <c r="B836" s="4" t="s">
        <v>866</v>
      </c>
      <c r="C836" s="5" t="s">
        <v>867</v>
      </c>
      <c r="D836" s="4" t="s">
        <v>300</v>
      </c>
      <c r="E836" s="4" t="s">
        <v>868</v>
      </c>
      <c r="N836" s="4" t="s">
        <v>658</v>
      </c>
      <c r="O836" s="4" t="s">
        <v>343</v>
      </c>
      <c r="P836" s="4">
        <v>2</v>
      </c>
      <c r="Q836" s="4" t="s">
        <v>539</v>
      </c>
      <c r="T836" s="4" t="s">
        <v>869</v>
      </c>
      <c r="AC836" s="4" t="s">
        <v>870</v>
      </c>
      <c r="AD836" s="4" t="s">
        <v>871</v>
      </c>
      <c r="BI836" s="4" t="s">
        <v>309</v>
      </c>
      <c r="BN836" s="4">
        <v>5</v>
      </c>
      <c r="BS836" s="4">
        <v>7</v>
      </c>
      <c r="BT836" s="4">
        <v>7</v>
      </c>
      <c r="BV836" s="4">
        <v>1440</v>
      </c>
      <c r="BW836" s="4">
        <v>20</v>
      </c>
      <c r="CB836" s="4" t="s">
        <v>496</v>
      </c>
      <c r="CC836" s="4">
        <v>29888.64</v>
      </c>
      <c r="CR836" s="4" t="s">
        <v>873</v>
      </c>
      <c r="CU836" s="4">
        <v>400</v>
      </c>
      <c r="DO836" s="4">
        <v>3</v>
      </c>
      <c r="FA836" s="4">
        <v>25.85</v>
      </c>
      <c r="FH836" s="1">
        <v>86.25</v>
      </c>
    </row>
    <row r="837" customHeight="1" spans="1:164">
      <c r="A837" s="28">
        <v>24</v>
      </c>
      <c r="B837" s="4" t="s">
        <v>866</v>
      </c>
      <c r="C837" s="5" t="s">
        <v>867</v>
      </c>
      <c r="D837" s="4" t="s">
        <v>300</v>
      </c>
      <c r="E837" s="4" t="s">
        <v>868</v>
      </c>
      <c r="N837" s="4" t="s">
        <v>658</v>
      </c>
      <c r="O837" s="4" t="s">
        <v>343</v>
      </c>
      <c r="P837" s="4">
        <v>2</v>
      </c>
      <c r="Q837" s="4" t="s">
        <v>539</v>
      </c>
      <c r="T837" s="4" t="s">
        <v>869</v>
      </c>
      <c r="AC837" s="4" t="s">
        <v>870</v>
      </c>
      <c r="AD837" s="4" t="s">
        <v>871</v>
      </c>
      <c r="BI837" s="4" t="s">
        <v>309</v>
      </c>
      <c r="BN837" s="4">
        <v>5</v>
      </c>
      <c r="BS837" s="4">
        <v>7</v>
      </c>
      <c r="BT837" s="4">
        <v>7</v>
      </c>
      <c r="BV837" s="4">
        <v>1440</v>
      </c>
      <c r="BW837" s="4">
        <v>20</v>
      </c>
      <c r="CB837" s="4" t="s">
        <v>496</v>
      </c>
      <c r="CC837" s="4">
        <v>29888.64</v>
      </c>
      <c r="CR837" s="4" t="s">
        <v>541</v>
      </c>
      <c r="CU837" s="4">
        <v>400</v>
      </c>
      <c r="DO837" s="4">
        <v>3</v>
      </c>
      <c r="FA837" s="4">
        <v>25.62</v>
      </c>
      <c r="FH837" s="1">
        <v>85.5</v>
      </c>
    </row>
    <row r="838" customHeight="1" spans="1:164">
      <c r="A838" s="28">
        <v>24</v>
      </c>
      <c r="B838" s="4" t="s">
        <v>866</v>
      </c>
      <c r="C838" s="5" t="s">
        <v>867</v>
      </c>
      <c r="D838" s="4" t="s">
        <v>300</v>
      </c>
      <c r="E838" s="4" t="s">
        <v>868</v>
      </c>
      <c r="N838" s="4" t="s">
        <v>658</v>
      </c>
      <c r="O838" s="4" t="s">
        <v>343</v>
      </c>
      <c r="P838" s="4">
        <v>2</v>
      </c>
      <c r="Q838" s="4" t="s">
        <v>539</v>
      </c>
      <c r="T838" s="4" t="s">
        <v>869</v>
      </c>
      <c r="AC838" s="4" t="s">
        <v>870</v>
      </c>
      <c r="AD838" s="4" t="s">
        <v>871</v>
      </c>
      <c r="BI838" s="4" t="s">
        <v>309</v>
      </c>
      <c r="BN838" s="4">
        <v>5</v>
      </c>
      <c r="BS838" s="4">
        <v>7</v>
      </c>
      <c r="BT838" s="4">
        <v>7</v>
      </c>
      <c r="BV838" s="4">
        <v>1440</v>
      </c>
      <c r="BW838" s="4">
        <v>20</v>
      </c>
      <c r="CB838" s="4" t="s">
        <v>496</v>
      </c>
      <c r="CC838" s="4">
        <v>29888.64</v>
      </c>
      <c r="CR838" s="4" t="s">
        <v>542</v>
      </c>
      <c r="CU838" s="4">
        <v>400</v>
      </c>
      <c r="DO838" s="4">
        <v>3</v>
      </c>
      <c r="FA838" s="4">
        <v>24.8</v>
      </c>
      <c r="FH838" s="1">
        <v>82.75</v>
      </c>
    </row>
    <row r="839" customHeight="1" spans="1:164">
      <c r="A839" s="28">
        <v>24</v>
      </c>
      <c r="B839" s="4" t="s">
        <v>866</v>
      </c>
      <c r="C839" s="5" t="s">
        <v>867</v>
      </c>
      <c r="D839" s="4" t="s">
        <v>300</v>
      </c>
      <c r="E839" s="4" t="s">
        <v>868</v>
      </c>
      <c r="N839" s="4" t="s">
        <v>658</v>
      </c>
      <c r="O839" s="4" t="s">
        <v>343</v>
      </c>
      <c r="P839" s="4">
        <v>2</v>
      </c>
      <c r="Q839" s="4" t="s">
        <v>539</v>
      </c>
      <c r="T839" s="4" t="s">
        <v>869</v>
      </c>
      <c r="AC839" s="4" t="s">
        <v>870</v>
      </c>
      <c r="AD839" s="4" t="s">
        <v>871</v>
      </c>
      <c r="BI839" s="4" t="s">
        <v>309</v>
      </c>
      <c r="BN839" s="4">
        <v>5</v>
      </c>
      <c r="BS839" s="4">
        <v>7</v>
      </c>
      <c r="BT839" s="4">
        <v>7</v>
      </c>
      <c r="BV839" s="4">
        <v>1440</v>
      </c>
      <c r="BW839" s="4">
        <v>20</v>
      </c>
      <c r="CB839" s="4" t="s">
        <v>496</v>
      </c>
      <c r="CC839" s="4">
        <v>29888.64</v>
      </c>
      <c r="CR839" s="4" t="s">
        <v>829</v>
      </c>
      <c r="CU839" s="4">
        <v>400</v>
      </c>
      <c r="DO839" s="4">
        <v>3</v>
      </c>
      <c r="FA839" s="4">
        <v>22.63</v>
      </c>
      <c r="FH839" s="1">
        <v>75.5</v>
      </c>
    </row>
    <row r="840" customHeight="1" spans="1:164">
      <c r="A840" s="28">
        <v>24</v>
      </c>
      <c r="B840" s="4" t="s">
        <v>866</v>
      </c>
      <c r="C840" s="5" t="s">
        <v>867</v>
      </c>
      <c r="D840" s="4" t="s">
        <v>300</v>
      </c>
      <c r="E840" s="4" t="s">
        <v>868</v>
      </c>
      <c r="N840" s="4" t="s">
        <v>658</v>
      </c>
      <c r="O840" s="4" t="s">
        <v>343</v>
      </c>
      <c r="P840" s="4">
        <v>2</v>
      </c>
      <c r="Q840" s="4" t="s">
        <v>539</v>
      </c>
      <c r="T840" s="4" t="s">
        <v>869</v>
      </c>
      <c r="AC840" s="4" t="s">
        <v>870</v>
      </c>
      <c r="AD840" s="4" t="s">
        <v>871</v>
      </c>
      <c r="BI840" s="4" t="s">
        <v>309</v>
      </c>
      <c r="BN840" s="4">
        <v>5</v>
      </c>
      <c r="BS840" s="4">
        <v>7</v>
      </c>
      <c r="BT840" s="4">
        <v>7</v>
      </c>
      <c r="BV840" s="4">
        <v>1440</v>
      </c>
      <c r="BW840" s="4">
        <v>20</v>
      </c>
      <c r="CB840" s="4" t="s">
        <v>496</v>
      </c>
      <c r="CC840" s="4">
        <v>29888.64</v>
      </c>
      <c r="CR840" s="4" t="s">
        <v>539</v>
      </c>
      <c r="CU840" s="4">
        <v>800</v>
      </c>
      <c r="DO840" s="4">
        <v>3</v>
      </c>
      <c r="FA840" s="4">
        <v>25.32</v>
      </c>
      <c r="FH840" s="1">
        <v>84.5</v>
      </c>
    </row>
    <row r="841" customHeight="1" spans="1:164">
      <c r="A841" s="28">
        <v>24</v>
      </c>
      <c r="B841" s="4" t="s">
        <v>866</v>
      </c>
      <c r="C841" s="5" t="s">
        <v>867</v>
      </c>
      <c r="D841" s="4" t="s">
        <v>300</v>
      </c>
      <c r="E841" s="4" t="s">
        <v>868</v>
      </c>
      <c r="N841" s="4" t="s">
        <v>658</v>
      </c>
      <c r="O841" s="4" t="s">
        <v>343</v>
      </c>
      <c r="P841" s="4">
        <v>2</v>
      </c>
      <c r="Q841" s="4" t="s">
        <v>539</v>
      </c>
      <c r="T841" s="4" t="s">
        <v>869</v>
      </c>
      <c r="AC841" s="4" t="s">
        <v>870</v>
      </c>
      <c r="AD841" s="4" t="s">
        <v>871</v>
      </c>
      <c r="BI841" s="4" t="s">
        <v>309</v>
      </c>
      <c r="BN841" s="4">
        <v>5</v>
      </c>
      <c r="BS841" s="4">
        <v>7</v>
      </c>
      <c r="BT841" s="4">
        <v>7</v>
      </c>
      <c r="BV841" s="4">
        <v>1440</v>
      </c>
      <c r="BW841" s="4">
        <v>20</v>
      </c>
      <c r="CB841" s="4" t="s">
        <v>496</v>
      </c>
      <c r="CC841" s="4">
        <v>29888.64</v>
      </c>
      <c r="CR841" s="4" t="s">
        <v>873</v>
      </c>
      <c r="CU841" s="4">
        <v>800</v>
      </c>
      <c r="DO841" s="4">
        <v>3</v>
      </c>
      <c r="FA841" s="4">
        <v>25.32</v>
      </c>
      <c r="FH841" s="1">
        <v>84.5</v>
      </c>
    </row>
    <row r="842" customHeight="1" spans="1:164">
      <c r="A842" s="28">
        <v>24</v>
      </c>
      <c r="B842" s="4" t="s">
        <v>866</v>
      </c>
      <c r="C842" s="5" t="s">
        <v>867</v>
      </c>
      <c r="D842" s="4" t="s">
        <v>300</v>
      </c>
      <c r="E842" s="4" t="s">
        <v>868</v>
      </c>
      <c r="N842" s="4" t="s">
        <v>658</v>
      </c>
      <c r="O842" s="4" t="s">
        <v>343</v>
      </c>
      <c r="P842" s="4">
        <v>2</v>
      </c>
      <c r="Q842" s="4" t="s">
        <v>539</v>
      </c>
      <c r="T842" s="4" t="s">
        <v>869</v>
      </c>
      <c r="AC842" s="4" t="s">
        <v>870</v>
      </c>
      <c r="AD842" s="4" t="s">
        <v>871</v>
      </c>
      <c r="BI842" s="4" t="s">
        <v>309</v>
      </c>
      <c r="BN842" s="4">
        <v>5</v>
      </c>
      <c r="BS842" s="4">
        <v>7</v>
      </c>
      <c r="BT842" s="4">
        <v>7</v>
      </c>
      <c r="BV842" s="4">
        <v>1440</v>
      </c>
      <c r="BW842" s="4">
        <v>20</v>
      </c>
      <c r="CB842" s="4" t="s">
        <v>496</v>
      </c>
      <c r="CC842" s="4">
        <v>29888.64</v>
      </c>
      <c r="CR842" s="4" t="s">
        <v>541</v>
      </c>
      <c r="CU842" s="4">
        <v>800</v>
      </c>
      <c r="DO842" s="4">
        <v>3</v>
      </c>
      <c r="FA842" s="4">
        <v>25.1</v>
      </c>
      <c r="FH842" s="1">
        <v>3.75</v>
      </c>
    </row>
    <row r="843" customHeight="1" spans="1:164">
      <c r="A843" s="28">
        <v>24</v>
      </c>
      <c r="B843" s="4" t="s">
        <v>866</v>
      </c>
      <c r="C843" s="5" t="s">
        <v>867</v>
      </c>
      <c r="D843" s="4" t="s">
        <v>300</v>
      </c>
      <c r="E843" s="4" t="s">
        <v>868</v>
      </c>
      <c r="N843" s="4" t="s">
        <v>658</v>
      </c>
      <c r="O843" s="4" t="s">
        <v>343</v>
      </c>
      <c r="P843" s="4">
        <v>2</v>
      </c>
      <c r="Q843" s="4" t="s">
        <v>539</v>
      </c>
      <c r="T843" s="4" t="s">
        <v>869</v>
      </c>
      <c r="AC843" s="4" t="s">
        <v>870</v>
      </c>
      <c r="AD843" s="4" t="s">
        <v>871</v>
      </c>
      <c r="BI843" s="4" t="s">
        <v>309</v>
      </c>
      <c r="BN843" s="4">
        <v>5</v>
      </c>
      <c r="BS843" s="4">
        <v>7</v>
      </c>
      <c r="BT843" s="4">
        <v>7</v>
      </c>
      <c r="BV843" s="4">
        <v>1440</v>
      </c>
      <c r="BW843" s="4">
        <v>20</v>
      </c>
      <c r="CB843" s="4" t="s">
        <v>496</v>
      </c>
      <c r="CC843" s="4">
        <v>29888.64</v>
      </c>
      <c r="CR843" s="4" t="s">
        <v>542</v>
      </c>
      <c r="CU843" s="4">
        <v>800</v>
      </c>
      <c r="DO843" s="4">
        <v>3</v>
      </c>
      <c r="FA843" s="4">
        <v>22.93</v>
      </c>
      <c r="FH843" s="1">
        <v>76.5</v>
      </c>
    </row>
    <row r="844" customHeight="1" spans="1:164">
      <c r="A844" s="28">
        <v>24</v>
      </c>
      <c r="B844" s="4" t="s">
        <v>866</v>
      </c>
      <c r="C844" s="5" t="s">
        <v>867</v>
      </c>
      <c r="D844" s="4" t="s">
        <v>300</v>
      </c>
      <c r="E844" s="4" t="s">
        <v>868</v>
      </c>
      <c r="N844" s="4" t="s">
        <v>658</v>
      </c>
      <c r="O844" s="4" t="s">
        <v>343</v>
      </c>
      <c r="P844" s="4">
        <v>2</v>
      </c>
      <c r="Q844" s="4" t="s">
        <v>539</v>
      </c>
      <c r="T844" s="4" t="s">
        <v>869</v>
      </c>
      <c r="AC844" s="4" t="s">
        <v>870</v>
      </c>
      <c r="AD844" s="4" t="s">
        <v>871</v>
      </c>
      <c r="BI844" s="4" t="s">
        <v>309</v>
      </c>
      <c r="BN844" s="4">
        <v>5</v>
      </c>
      <c r="BS844" s="4">
        <v>7</v>
      </c>
      <c r="BT844" s="4">
        <v>7</v>
      </c>
      <c r="BV844" s="4">
        <v>1440</v>
      </c>
      <c r="BW844" s="4">
        <v>20</v>
      </c>
      <c r="CB844" s="4" t="s">
        <v>496</v>
      </c>
      <c r="CC844" s="4">
        <v>29888.64</v>
      </c>
      <c r="CR844" s="4" t="s">
        <v>829</v>
      </c>
      <c r="CU844" s="4">
        <v>800</v>
      </c>
      <c r="DO844" s="4">
        <v>3</v>
      </c>
      <c r="FA844" s="4">
        <v>19.63</v>
      </c>
      <c r="FH844" s="1">
        <v>65.5</v>
      </c>
    </row>
    <row r="845" customHeight="1" spans="1:164">
      <c r="A845" s="28">
        <v>24</v>
      </c>
      <c r="B845" s="4" t="s">
        <v>866</v>
      </c>
      <c r="C845" s="5" t="s">
        <v>867</v>
      </c>
      <c r="D845" s="4" t="s">
        <v>300</v>
      </c>
      <c r="E845" s="4" t="s">
        <v>868</v>
      </c>
      <c r="N845" s="4" t="s">
        <v>658</v>
      </c>
      <c r="O845" s="4" t="s">
        <v>343</v>
      </c>
      <c r="P845" s="4">
        <v>2</v>
      </c>
      <c r="Q845" s="4" t="s">
        <v>539</v>
      </c>
      <c r="T845" s="4" t="s">
        <v>869</v>
      </c>
      <c r="AC845" s="4" t="s">
        <v>870</v>
      </c>
      <c r="AD845" s="4" t="s">
        <v>871</v>
      </c>
      <c r="BI845" s="4" t="s">
        <v>309</v>
      </c>
      <c r="BN845" s="4">
        <v>5</v>
      </c>
      <c r="BS845" s="4">
        <v>7</v>
      </c>
      <c r="BT845" s="4">
        <v>7</v>
      </c>
      <c r="BV845" s="4">
        <v>1440</v>
      </c>
      <c r="BW845" s="4">
        <v>20</v>
      </c>
      <c r="CB845" s="4" t="s">
        <v>496</v>
      </c>
      <c r="CC845" s="4">
        <v>29888.64</v>
      </c>
      <c r="CR845" s="4" t="s">
        <v>539</v>
      </c>
      <c r="CU845" s="4">
        <v>1200</v>
      </c>
      <c r="DO845" s="4">
        <v>3</v>
      </c>
      <c r="FA845" s="4">
        <v>24.5</v>
      </c>
      <c r="FH845" s="1">
        <v>81.75</v>
      </c>
    </row>
    <row r="846" customHeight="1" spans="1:164">
      <c r="A846" s="28">
        <v>24</v>
      </c>
      <c r="B846" s="4" t="s">
        <v>866</v>
      </c>
      <c r="C846" s="5" t="s">
        <v>867</v>
      </c>
      <c r="D846" s="4" t="s">
        <v>300</v>
      </c>
      <c r="E846" s="4" t="s">
        <v>868</v>
      </c>
      <c r="N846" s="4" t="s">
        <v>658</v>
      </c>
      <c r="O846" s="4" t="s">
        <v>343</v>
      </c>
      <c r="P846" s="4">
        <v>2</v>
      </c>
      <c r="Q846" s="4" t="s">
        <v>539</v>
      </c>
      <c r="T846" s="4" t="s">
        <v>869</v>
      </c>
      <c r="AC846" s="4" t="s">
        <v>870</v>
      </c>
      <c r="AD846" s="4" t="s">
        <v>871</v>
      </c>
      <c r="BI846" s="4" t="s">
        <v>309</v>
      </c>
      <c r="BN846" s="4">
        <v>5</v>
      </c>
      <c r="BS846" s="4">
        <v>7</v>
      </c>
      <c r="BT846" s="4">
        <v>7</v>
      </c>
      <c r="BV846" s="4">
        <v>1440</v>
      </c>
      <c r="BW846" s="4">
        <v>20</v>
      </c>
      <c r="CB846" s="4" t="s">
        <v>496</v>
      </c>
      <c r="CC846" s="4">
        <v>29888.64</v>
      </c>
      <c r="CR846" s="4" t="s">
        <v>873</v>
      </c>
      <c r="CU846" s="4">
        <v>1200</v>
      </c>
      <c r="DO846" s="4">
        <v>3</v>
      </c>
      <c r="FA846" s="4">
        <v>24.35</v>
      </c>
      <c r="FH846" s="1">
        <v>81.25</v>
      </c>
    </row>
    <row r="847" customHeight="1" spans="1:164">
      <c r="A847" s="28">
        <v>24</v>
      </c>
      <c r="B847" s="4" t="s">
        <v>866</v>
      </c>
      <c r="C847" s="5" t="s">
        <v>867</v>
      </c>
      <c r="D847" s="4" t="s">
        <v>300</v>
      </c>
      <c r="E847" s="4" t="s">
        <v>868</v>
      </c>
      <c r="N847" s="4" t="s">
        <v>658</v>
      </c>
      <c r="O847" s="4" t="s">
        <v>343</v>
      </c>
      <c r="P847" s="4">
        <v>2</v>
      </c>
      <c r="Q847" s="4" t="s">
        <v>539</v>
      </c>
      <c r="T847" s="4" t="s">
        <v>869</v>
      </c>
      <c r="AC847" s="4" t="s">
        <v>870</v>
      </c>
      <c r="AD847" s="4" t="s">
        <v>871</v>
      </c>
      <c r="BI847" s="4" t="s">
        <v>309</v>
      </c>
      <c r="BN847" s="4">
        <v>5</v>
      </c>
      <c r="BS847" s="4">
        <v>7</v>
      </c>
      <c r="BT847" s="4">
        <v>7</v>
      </c>
      <c r="BV847" s="4">
        <v>1440</v>
      </c>
      <c r="BW847" s="4">
        <v>20</v>
      </c>
      <c r="CB847" s="4" t="s">
        <v>496</v>
      </c>
      <c r="CC847" s="4">
        <v>29888.64</v>
      </c>
      <c r="CR847" s="4" t="s">
        <v>541</v>
      </c>
      <c r="CU847" s="4">
        <v>1200</v>
      </c>
      <c r="DO847" s="4">
        <v>3</v>
      </c>
      <c r="FA847" s="4">
        <v>23.97</v>
      </c>
      <c r="FH847" s="1">
        <v>80</v>
      </c>
    </row>
    <row r="848" customHeight="1" spans="1:164">
      <c r="A848" s="28">
        <v>24</v>
      </c>
      <c r="B848" s="4" t="s">
        <v>866</v>
      </c>
      <c r="C848" s="5" t="s">
        <v>867</v>
      </c>
      <c r="D848" s="4" t="s">
        <v>300</v>
      </c>
      <c r="E848" s="4" t="s">
        <v>868</v>
      </c>
      <c r="N848" s="4" t="s">
        <v>658</v>
      </c>
      <c r="O848" s="4" t="s">
        <v>343</v>
      </c>
      <c r="P848" s="4">
        <v>2</v>
      </c>
      <c r="Q848" s="4" t="s">
        <v>539</v>
      </c>
      <c r="T848" s="4" t="s">
        <v>869</v>
      </c>
      <c r="AC848" s="4" t="s">
        <v>870</v>
      </c>
      <c r="AD848" s="4" t="s">
        <v>871</v>
      </c>
      <c r="BI848" s="4" t="s">
        <v>309</v>
      </c>
      <c r="BN848" s="4">
        <v>5</v>
      </c>
      <c r="BS848" s="4">
        <v>7</v>
      </c>
      <c r="BT848" s="4">
        <v>7</v>
      </c>
      <c r="BV848" s="4">
        <v>1440</v>
      </c>
      <c r="BW848" s="4">
        <v>20</v>
      </c>
      <c r="CB848" s="4" t="s">
        <v>496</v>
      </c>
      <c r="CC848" s="4">
        <v>29888.64</v>
      </c>
      <c r="CR848" s="4" t="s">
        <v>542</v>
      </c>
      <c r="CU848" s="4">
        <v>1200</v>
      </c>
      <c r="DO848" s="4">
        <v>3</v>
      </c>
      <c r="FA848" s="4">
        <v>21.58</v>
      </c>
      <c r="FH848" s="1">
        <v>72</v>
      </c>
    </row>
    <row r="849" customHeight="1" spans="1:164">
      <c r="A849" s="28">
        <v>24</v>
      </c>
      <c r="B849" s="4" t="s">
        <v>866</v>
      </c>
      <c r="C849" s="5" t="s">
        <v>867</v>
      </c>
      <c r="D849" s="4" t="s">
        <v>300</v>
      </c>
      <c r="E849" s="4" t="s">
        <v>868</v>
      </c>
      <c r="N849" s="4" t="s">
        <v>658</v>
      </c>
      <c r="O849" s="4" t="s">
        <v>343</v>
      </c>
      <c r="P849" s="4">
        <v>2</v>
      </c>
      <c r="Q849" s="4" t="s">
        <v>539</v>
      </c>
      <c r="T849" s="4" t="s">
        <v>869</v>
      </c>
      <c r="AC849" s="4" t="s">
        <v>870</v>
      </c>
      <c r="AD849" s="4" t="s">
        <v>871</v>
      </c>
      <c r="BI849" s="4" t="s">
        <v>309</v>
      </c>
      <c r="BN849" s="4">
        <v>5</v>
      </c>
      <c r="BS849" s="4">
        <v>7</v>
      </c>
      <c r="BT849" s="4">
        <v>7</v>
      </c>
      <c r="BV849" s="4">
        <v>1440</v>
      </c>
      <c r="BW849" s="4">
        <v>20</v>
      </c>
      <c r="CB849" s="4" t="s">
        <v>496</v>
      </c>
      <c r="CC849" s="4">
        <v>29888.64</v>
      </c>
      <c r="CR849" s="4" t="s">
        <v>829</v>
      </c>
      <c r="CU849" s="4">
        <v>1200</v>
      </c>
      <c r="DO849" s="4">
        <v>3</v>
      </c>
      <c r="FA849" s="4">
        <v>15.43</v>
      </c>
      <c r="FH849" s="1">
        <v>51.5</v>
      </c>
    </row>
    <row r="850" customHeight="1" spans="1:164">
      <c r="A850" s="28">
        <v>24</v>
      </c>
      <c r="B850" s="4" t="s">
        <v>866</v>
      </c>
      <c r="C850" s="5" t="s">
        <v>763</v>
      </c>
      <c r="D850" s="4" t="s">
        <v>300</v>
      </c>
      <c r="E850" s="4" t="s">
        <v>868</v>
      </c>
      <c r="N850" s="4" t="s">
        <v>567</v>
      </c>
      <c r="O850" s="4" t="s">
        <v>343</v>
      </c>
      <c r="P850" s="4">
        <v>2</v>
      </c>
      <c r="Q850" s="4" t="s">
        <v>539</v>
      </c>
      <c r="T850" s="4">
        <v>210</v>
      </c>
      <c r="X850" s="4">
        <v>0.293</v>
      </c>
      <c r="AC850" s="4" t="s">
        <v>870</v>
      </c>
      <c r="AD850" s="4" t="s">
        <v>871</v>
      </c>
      <c r="BI850" s="4" t="s">
        <v>309</v>
      </c>
      <c r="BN850" s="4">
        <v>5</v>
      </c>
      <c r="BS850" s="4">
        <v>7</v>
      </c>
      <c r="BT850" s="4">
        <v>7</v>
      </c>
      <c r="BV850" s="4">
        <v>1440</v>
      </c>
      <c r="BW850" s="4">
        <v>20</v>
      </c>
      <c r="CB850" s="4" t="s">
        <v>496</v>
      </c>
      <c r="CC850" s="4" t="s">
        <v>872</v>
      </c>
      <c r="DB850" s="4" t="s">
        <v>312</v>
      </c>
      <c r="DD850" s="4">
        <v>42.11</v>
      </c>
      <c r="DO850" s="4">
        <v>3</v>
      </c>
      <c r="FA850" s="4">
        <v>42.11</v>
      </c>
    </row>
    <row r="851" customHeight="1" spans="1:164">
      <c r="A851" s="28">
        <v>24</v>
      </c>
      <c r="B851" s="4" t="s">
        <v>866</v>
      </c>
      <c r="C851" s="5" t="s">
        <v>763</v>
      </c>
      <c r="D851" s="4" t="s">
        <v>300</v>
      </c>
      <c r="E851" s="4" t="s">
        <v>868</v>
      </c>
      <c r="N851" s="4" t="s">
        <v>567</v>
      </c>
      <c r="O851" s="4" t="s">
        <v>343</v>
      </c>
      <c r="P851" s="4">
        <v>2</v>
      </c>
      <c r="Q851" s="4" t="s">
        <v>539</v>
      </c>
      <c r="T851" s="4">
        <v>210</v>
      </c>
      <c r="X851" s="4">
        <v>0.293</v>
      </c>
      <c r="AC851" s="4" t="s">
        <v>870</v>
      </c>
      <c r="AD851" s="4" t="s">
        <v>871</v>
      </c>
      <c r="BI851" s="4" t="s">
        <v>309</v>
      </c>
      <c r="BN851" s="4">
        <v>5</v>
      </c>
      <c r="BS851" s="4">
        <v>7</v>
      </c>
      <c r="BT851" s="4">
        <v>7</v>
      </c>
      <c r="BV851" s="4">
        <v>1440</v>
      </c>
      <c r="BW851" s="4">
        <v>20</v>
      </c>
      <c r="CB851" s="4" t="s">
        <v>496</v>
      </c>
      <c r="CC851" s="4">
        <v>22476.48</v>
      </c>
      <c r="CR851" s="4" t="s">
        <v>512</v>
      </c>
      <c r="CU851" s="4">
        <v>0</v>
      </c>
      <c r="DO851" s="4">
        <v>3</v>
      </c>
      <c r="FA851" s="4">
        <v>158.83</v>
      </c>
      <c r="FH851" s="1">
        <v>70.67</v>
      </c>
    </row>
    <row r="852" customHeight="1" spans="1:164">
      <c r="A852" s="28">
        <v>24</v>
      </c>
      <c r="B852" s="4" t="s">
        <v>866</v>
      </c>
      <c r="C852" s="5" t="s">
        <v>763</v>
      </c>
      <c r="D852" s="4" t="s">
        <v>300</v>
      </c>
      <c r="E852" s="4" t="s">
        <v>868</v>
      </c>
      <c r="N852" s="4" t="s">
        <v>567</v>
      </c>
      <c r="O852" s="4" t="s">
        <v>343</v>
      </c>
      <c r="P852" s="4">
        <v>2</v>
      </c>
      <c r="Q852" s="4" t="s">
        <v>539</v>
      </c>
      <c r="T852" s="4">
        <v>210</v>
      </c>
      <c r="X852" s="4">
        <v>0.293</v>
      </c>
      <c r="AC852" s="4" t="s">
        <v>870</v>
      </c>
      <c r="AD852" s="4" t="s">
        <v>871</v>
      </c>
      <c r="BI852" s="4" t="s">
        <v>309</v>
      </c>
      <c r="BN852" s="4">
        <v>5</v>
      </c>
      <c r="BS852" s="4">
        <v>7</v>
      </c>
      <c r="BT852" s="4">
        <v>7</v>
      </c>
      <c r="BV852" s="4">
        <v>1440</v>
      </c>
      <c r="BW852" s="4">
        <v>20</v>
      </c>
      <c r="CB852" s="4" t="s">
        <v>496</v>
      </c>
      <c r="CC852" s="4">
        <v>22476.48</v>
      </c>
      <c r="CR852" s="4" t="s">
        <v>539</v>
      </c>
      <c r="CU852" s="4">
        <v>300</v>
      </c>
      <c r="DO852" s="4">
        <v>3</v>
      </c>
      <c r="FA852" s="4">
        <v>150.59</v>
      </c>
      <c r="FH852" s="1">
        <v>67</v>
      </c>
    </row>
    <row r="853" customHeight="1" spans="1:164">
      <c r="A853" s="28">
        <v>24</v>
      </c>
      <c r="B853" s="4" t="s">
        <v>866</v>
      </c>
      <c r="C853" s="5" t="s">
        <v>763</v>
      </c>
      <c r="D853" s="4" t="s">
        <v>300</v>
      </c>
      <c r="E853" s="4" t="s">
        <v>868</v>
      </c>
      <c r="N853" s="4" t="s">
        <v>567</v>
      </c>
      <c r="O853" s="4" t="s">
        <v>343</v>
      </c>
      <c r="P853" s="4">
        <v>2</v>
      </c>
      <c r="Q853" s="4" t="s">
        <v>539</v>
      </c>
      <c r="T853" s="4">
        <v>210</v>
      </c>
      <c r="X853" s="4">
        <v>0.293</v>
      </c>
      <c r="AC853" s="4" t="s">
        <v>870</v>
      </c>
      <c r="AD853" s="4" t="s">
        <v>871</v>
      </c>
      <c r="BI853" s="4" t="s">
        <v>309</v>
      </c>
      <c r="BN853" s="4">
        <v>5</v>
      </c>
      <c r="BS853" s="4">
        <v>7</v>
      </c>
      <c r="BT853" s="4">
        <v>7</v>
      </c>
      <c r="BV853" s="4">
        <v>1440</v>
      </c>
      <c r="BW853" s="4">
        <v>20</v>
      </c>
      <c r="CB853" s="4" t="s">
        <v>496</v>
      </c>
      <c r="CC853" s="4">
        <v>22476.48</v>
      </c>
      <c r="CR853" s="4" t="s">
        <v>873</v>
      </c>
      <c r="CU853" s="4">
        <v>300</v>
      </c>
      <c r="DO853" s="4">
        <v>3</v>
      </c>
      <c r="FA853" s="4">
        <v>146.1</v>
      </c>
      <c r="FH853" s="1">
        <v>65</v>
      </c>
    </row>
    <row r="854" customHeight="1" spans="1:164">
      <c r="A854" s="28">
        <v>24</v>
      </c>
      <c r="B854" s="4" t="s">
        <v>866</v>
      </c>
      <c r="C854" s="5" t="s">
        <v>763</v>
      </c>
      <c r="D854" s="4" t="s">
        <v>300</v>
      </c>
      <c r="E854" s="4" t="s">
        <v>868</v>
      </c>
      <c r="N854" s="4" t="s">
        <v>567</v>
      </c>
      <c r="O854" s="4" t="s">
        <v>343</v>
      </c>
      <c r="P854" s="4">
        <v>2</v>
      </c>
      <c r="Q854" s="4" t="s">
        <v>539</v>
      </c>
      <c r="T854" s="4">
        <v>210</v>
      </c>
      <c r="X854" s="4">
        <v>0.293</v>
      </c>
      <c r="AC854" s="4" t="s">
        <v>870</v>
      </c>
      <c r="AD854" s="4" t="s">
        <v>871</v>
      </c>
      <c r="BI854" s="4" t="s">
        <v>309</v>
      </c>
      <c r="BN854" s="4">
        <v>5</v>
      </c>
      <c r="BS854" s="4">
        <v>7</v>
      </c>
      <c r="BT854" s="4">
        <v>7</v>
      </c>
      <c r="BV854" s="4">
        <v>1440</v>
      </c>
      <c r="BW854" s="4">
        <v>20</v>
      </c>
      <c r="CB854" s="4" t="s">
        <v>496</v>
      </c>
      <c r="CC854" s="4">
        <v>22476.48</v>
      </c>
      <c r="CR854" s="4" t="s">
        <v>541</v>
      </c>
      <c r="CU854" s="4">
        <v>300</v>
      </c>
      <c r="DO854" s="4">
        <v>3</v>
      </c>
      <c r="FA854" s="4">
        <v>142.35</v>
      </c>
      <c r="FH854" s="1">
        <v>63.33</v>
      </c>
    </row>
    <row r="855" customHeight="1" spans="1:164">
      <c r="A855" s="28">
        <v>24</v>
      </c>
      <c r="B855" s="4" t="s">
        <v>866</v>
      </c>
      <c r="C855" s="5" t="s">
        <v>763</v>
      </c>
      <c r="D855" s="4" t="s">
        <v>300</v>
      </c>
      <c r="E855" s="4" t="s">
        <v>868</v>
      </c>
      <c r="N855" s="4" t="s">
        <v>567</v>
      </c>
      <c r="O855" s="4" t="s">
        <v>343</v>
      </c>
      <c r="P855" s="4">
        <v>2</v>
      </c>
      <c r="Q855" s="4" t="s">
        <v>539</v>
      </c>
      <c r="T855" s="4">
        <v>210</v>
      </c>
      <c r="X855" s="4">
        <v>0.293</v>
      </c>
      <c r="AC855" s="4" t="s">
        <v>870</v>
      </c>
      <c r="AD855" s="4" t="s">
        <v>871</v>
      </c>
      <c r="BI855" s="4" t="s">
        <v>309</v>
      </c>
      <c r="BN855" s="4">
        <v>5</v>
      </c>
      <c r="BS855" s="4">
        <v>7</v>
      </c>
      <c r="BT855" s="4">
        <v>7</v>
      </c>
      <c r="BV855" s="4">
        <v>1440</v>
      </c>
      <c r="BW855" s="4">
        <v>20</v>
      </c>
      <c r="CB855" s="4" t="s">
        <v>496</v>
      </c>
      <c r="CC855" s="4">
        <v>22476.48</v>
      </c>
      <c r="CR855" s="4" t="s">
        <v>542</v>
      </c>
      <c r="CU855" s="4">
        <v>300</v>
      </c>
      <c r="DO855" s="4">
        <v>3</v>
      </c>
      <c r="FA855" s="4">
        <v>118.38</v>
      </c>
      <c r="FH855" s="1">
        <v>52.67</v>
      </c>
    </row>
    <row r="856" customHeight="1" spans="1:164">
      <c r="A856" s="28">
        <v>24</v>
      </c>
      <c r="B856" s="4" t="s">
        <v>866</v>
      </c>
      <c r="C856" s="5" t="s">
        <v>763</v>
      </c>
      <c r="D856" s="4" t="s">
        <v>300</v>
      </c>
      <c r="E856" s="4" t="s">
        <v>868</v>
      </c>
      <c r="N856" s="4" t="s">
        <v>567</v>
      </c>
      <c r="O856" s="4" t="s">
        <v>343</v>
      </c>
      <c r="P856" s="4">
        <v>2</v>
      </c>
      <c r="Q856" s="4" t="s">
        <v>539</v>
      </c>
      <c r="T856" s="4">
        <v>210</v>
      </c>
      <c r="X856" s="4">
        <v>0.293</v>
      </c>
      <c r="AC856" s="4" t="s">
        <v>870</v>
      </c>
      <c r="AD856" s="4" t="s">
        <v>871</v>
      </c>
      <c r="BI856" s="4" t="s">
        <v>309</v>
      </c>
      <c r="BN856" s="4">
        <v>5</v>
      </c>
      <c r="BS856" s="4">
        <v>7</v>
      </c>
      <c r="BT856" s="4">
        <v>7</v>
      </c>
      <c r="BV856" s="4">
        <v>1440</v>
      </c>
      <c r="BW856" s="4">
        <v>20</v>
      </c>
      <c r="CB856" s="4" t="s">
        <v>496</v>
      </c>
      <c r="CC856" s="4">
        <v>22476.48</v>
      </c>
      <c r="CR856" s="4" t="s">
        <v>829</v>
      </c>
      <c r="CU856" s="4">
        <v>300</v>
      </c>
      <c r="DO856" s="4">
        <v>3</v>
      </c>
      <c r="FA856" s="4">
        <v>81.66</v>
      </c>
      <c r="FH856" s="1">
        <v>36.33</v>
      </c>
    </row>
    <row r="857" customHeight="1" spans="1:164">
      <c r="A857" s="28">
        <v>24</v>
      </c>
      <c r="B857" s="4" t="s">
        <v>866</v>
      </c>
      <c r="C857" s="5" t="s">
        <v>763</v>
      </c>
      <c r="D857" s="4" t="s">
        <v>300</v>
      </c>
      <c r="E857" s="4" t="s">
        <v>868</v>
      </c>
      <c r="N857" s="4" t="s">
        <v>567</v>
      </c>
      <c r="O857" s="4" t="s">
        <v>343</v>
      </c>
      <c r="P857" s="4">
        <v>2</v>
      </c>
      <c r="Q857" s="4" t="s">
        <v>539</v>
      </c>
      <c r="T857" s="4">
        <v>210</v>
      </c>
      <c r="X857" s="4">
        <v>0.293</v>
      </c>
      <c r="AC857" s="4" t="s">
        <v>870</v>
      </c>
      <c r="AD857" s="4" t="s">
        <v>871</v>
      </c>
      <c r="BI857" s="4" t="s">
        <v>309</v>
      </c>
      <c r="BN857" s="4">
        <v>5</v>
      </c>
      <c r="BS857" s="4">
        <v>7</v>
      </c>
      <c r="BT857" s="4">
        <v>7</v>
      </c>
      <c r="BV857" s="4">
        <v>1440</v>
      </c>
      <c r="BW857" s="4">
        <v>20</v>
      </c>
      <c r="CB857" s="4" t="s">
        <v>496</v>
      </c>
      <c r="CC857" s="4">
        <v>22476.48</v>
      </c>
      <c r="CR857" s="4" t="s">
        <v>539</v>
      </c>
      <c r="CU857" s="4">
        <v>600</v>
      </c>
      <c r="DO857" s="4">
        <v>3</v>
      </c>
      <c r="FA857" s="4">
        <v>143.85</v>
      </c>
      <c r="FH857" s="1">
        <v>64</v>
      </c>
    </row>
    <row r="858" customHeight="1" spans="1:164">
      <c r="A858" s="28">
        <v>24</v>
      </c>
      <c r="B858" s="4" t="s">
        <v>866</v>
      </c>
      <c r="C858" s="5" t="s">
        <v>763</v>
      </c>
      <c r="D858" s="4" t="s">
        <v>300</v>
      </c>
      <c r="E858" s="4" t="s">
        <v>868</v>
      </c>
      <c r="N858" s="4" t="s">
        <v>567</v>
      </c>
      <c r="O858" s="4" t="s">
        <v>343</v>
      </c>
      <c r="P858" s="4">
        <v>2</v>
      </c>
      <c r="Q858" s="4" t="s">
        <v>539</v>
      </c>
      <c r="T858" s="4">
        <v>210</v>
      </c>
      <c r="X858" s="4">
        <v>0.293</v>
      </c>
      <c r="AC858" s="4" t="s">
        <v>870</v>
      </c>
      <c r="AD858" s="4" t="s">
        <v>871</v>
      </c>
      <c r="BI858" s="4" t="s">
        <v>309</v>
      </c>
      <c r="BN858" s="4">
        <v>5</v>
      </c>
      <c r="BS858" s="4">
        <v>7</v>
      </c>
      <c r="BT858" s="4">
        <v>7</v>
      </c>
      <c r="BV858" s="4">
        <v>1440</v>
      </c>
      <c r="BW858" s="4">
        <v>20</v>
      </c>
      <c r="CB858" s="4" t="s">
        <v>496</v>
      </c>
      <c r="CC858" s="4">
        <v>22476.48</v>
      </c>
      <c r="CR858" s="4" t="s">
        <v>873</v>
      </c>
      <c r="CU858" s="4">
        <v>600</v>
      </c>
      <c r="DO858" s="4">
        <v>3</v>
      </c>
      <c r="FA858" s="4">
        <v>138.6</v>
      </c>
      <c r="FH858" s="1">
        <v>61.67</v>
      </c>
    </row>
    <row r="859" customHeight="1" spans="1:164">
      <c r="A859" s="28">
        <v>24</v>
      </c>
      <c r="B859" s="4" t="s">
        <v>866</v>
      </c>
      <c r="C859" s="5" t="s">
        <v>763</v>
      </c>
      <c r="D859" s="4" t="s">
        <v>300</v>
      </c>
      <c r="E859" s="4" t="s">
        <v>868</v>
      </c>
      <c r="N859" s="4" t="s">
        <v>567</v>
      </c>
      <c r="O859" s="4" t="s">
        <v>343</v>
      </c>
      <c r="P859" s="4">
        <v>2</v>
      </c>
      <c r="Q859" s="4" t="s">
        <v>539</v>
      </c>
      <c r="T859" s="4">
        <v>210</v>
      </c>
      <c r="X859" s="4">
        <v>0.293</v>
      </c>
      <c r="AC859" s="4" t="s">
        <v>870</v>
      </c>
      <c r="AD859" s="4" t="s">
        <v>871</v>
      </c>
      <c r="BI859" s="4" t="s">
        <v>309</v>
      </c>
      <c r="BN859" s="4">
        <v>5</v>
      </c>
      <c r="BS859" s="4">
        <v>7</v>
      </c>
      <c r="BT859" s="4">
        <v>7</v>
      </c>
      <c r="BV859" s="4">
        <v>1440</v>
      </c>
      <c r="BW859" s="4">
        <v>20</v>
      </c>
      <c r="CB859" s="4" t="s">
        <v>496</v>
      </c>
      <c r="CC859" s="4">
        <v>22476.48</v>
      </c>
      <c r="CR859" s="4" t="s">
        <v>541</v>
      </c>
      <c r="CU859" s="4">
        <v>600</v>
      </c>
      <c r="DO859" s="4">
        <v>3</v>
      </c>
      <c r="FA859" s="4">
        <v>135.61</v>
      </c>
      <c r="FH859" s="1">
        <v>60.33</v>
      </c>
    </row>
    <row r="860" customHeight="1" spans="1:164">
      <c r="A860" s="28">
        <v>24</v>
      </c>
      <c r="B860" s="4" t="s">
        <v>866</v>
      </c>
      <c r="C860" s="5" t="s">
        <v>763</v>
      </c>
      <c r="D860" s="4" t="s">
        <v>300</v>
      </c>
      <c r="E860" s="4" t="s">
        <v>868</v>
      </c>
      <c r="N860" s="4" t="s">
        <v>567</v>
      </c>
      <c r="O860" s="4" t="s">
        <v>343</v>
      </c>
      <c r="P860" s="4">
        <v>2</v>
      </c>
      <c r="Q860" s="4" t="s">
        <v>539</v>
      </c>
      <c r="T860" s="4">
        <v>210</v>
      </c>
      <c r="X860" s="4">
        <v>0.293</v>
      </c>
      <c r="AC860" s="4" t="s">
        <v>870</v>
      </c>
      <c r="AD860" s="4" t="s">
        <v>871</v>
      </c>
      <c r="BI860" s="4" t="s">
        <v>309</v>
      </c>
      <c r="BN860" s="4">
        <v>5</v>
      </c>
      <c r="BS860" s="4">
        <v>7</v>
      </c>
      <c r="BT860" s="4">
        <v>7</v>
      </c>
      <c r="BV860" s="4">
        <v>1440</v>
      </c>
      <c r="BW860" s="4">
        <v>20</v>
      </c>
      <c r="CB860" s="4" t="s">
        <v>496</v>
      </c>
      <c r="CC860" s="4">
        <v>22476.48</v>
      </c>
      <c r="CR860" s="4" t="s">
        <v>542</v>
      </c>
      <c r="CU860" s="4">
        <v>600</v>
      </c>
      <c r="DO860" s="4">
        <v>3</v>
      </c>
      <c r="FA860" s="4">
        <v>91.4</v>
      </c>
      <c r="FH860" s="1">
        <v>40.67</v>
      </c>
    </row>
    <row r="861" customHeight="1" spans="1:164">
      <c r="A861" s="28">
        <v>24</v>
      </c>
      <c r="B861" s="4" t="s">
        <v>866</v>
      </c>
      <c r="C861" s="5" t="s">
        <v>763</v>
      </c>
      <c r="D861" s="4" t="s">
        <v>300</v>
      </c>
      <c r="E861" s="4" t="s">
        <v>868</v>
      </c>
      <c r="N861" s="4" t="s">
        <v>567</v>
      </c>
      <c r="O861" s="4" t="s">
        <v>343</v>
      </c>
      <c r="P861" s="4">
        <v>2</v>
      </c>
      <c r="Q861" s="4" t="s">
        <v>539</v>
      </c>
      <c r="T861" s="4">
        <v>210</v>
      </c>
      <c r="X861" s="4">
        <v>0.293</v>
      </c>
      <c r="AC861" s="4" t="s">
        <v>870</v>
      </c>
      <c r="AD861" s="4" t="s">
        <v>871</v>
      </c>
      <c r="BI861" s="4" t="s">
        <v>309</v>
      </c>
      <c r="BN861" s="4">
        <v>5</v>
      </c>
      <c r="BS861" s="4">
        <v>7</v>
      </c>
      <c r="BT861" s="4">
        <v>7</v>
      </c>
      <c r="BV861" s="4">
        <v>1440</v>
      </c>
      <c r="BW861" s="4">
        <v>20</v>
      </c>
      <c r="CB861" s="4" t="s">
        <v>496</v>
      </c>
      <c r="CC861" s="4">
        <v>22476.48</v>
      </c>
      <c r="CR861" s="4" t="s">
        <v>829</v>
      </c>
      <c r="CU861" s="4">
        <v>600</v>
      </c>
      <c r="DO861" s="4">
        <v>3</v>
      </c>
      <c r="FA861" s="4">
        <v>58.44</v>
      </c>
      <c r="FH861" s="1">
        <v>26</v>
      </c>
    </row>
    <row r="862" customHeight="1" spans="1:164">
      <c r="A862" s="28">
        <v>24</v>
      </c>
      <c r="B862" s="4" t="s">
        <v>866</v>
      </c>
      <c r="C862" s="5" t="s">
        <v>763</v>
      </c>
      <c r="D862" s="4" t="s">
        <v>300</v>
      </c>
      <c r="E862" s="4" t="s">
        <v>868</v>
      </c>
      <c r="N862" s="4" t="s">
        <v>567</v>
      </c>
      <c r="O862" s="4" t="s">
        <v>343</v>
      </c>
      <c r="P862" s="4">
        <v>2</v>
      </c>
      <c r="Q862" s="4" t="s">
        <v>539</v>
      </c>
      <c r="T862" s="4">
        <v>210</v>
      </c>
      <c r="X862" s="4">
        <v>0.293</v>
      </c>
      <c r="AC862" s="4" t="s">
        <v>870</v>
      </c>
      <c r="AD862" s="4" t="s">
        <v>871</v>
      </c>
      <c r="BI862" s="4" t="s">
        <v>309</v>
      </c>
      <c r="BN862" s="4">
        <v>5</v>
      </c>
      <c r="BS862" s="4">
        <v>7</v>
      </c>
      <c r="BT862" s="4">
        <v>7</v>
      </c>
      <c r="BV862" s="4">
        <v>1440</v>
      </c>
      <c r="BW862" s="4">
        <v>20</v>
      </c>
      <c r="CB862" s="4" t="s">
        <v>496</v>
      </c>
      <c r="CC862" s="4">
        <v>22476.48</v>
      </c>
      <c r="CR862" s="4" t="s">
        <v>539</v>
      </c>
      <c r="CU862" s="4">
        <v>900</v>
      </c>
      <c r="DO862" s="4">
        <v>3</v>
      </c>
      <c r="FA862" s="4">
        <v>133.36</v>
      </c>
      <c r="FH862" s="1">
        <v>59.33</v>
      </c>
    </row>
    <row r="863" customHeight="1" spans="1:164">
      <c r="A863" s="28">
        <v>24</v>
      </c>
      <c r="B863" s="4" t="s">
        <v>866</v>
      </c>
      <c r="C863" s="5" t="s">
        <v>763</v>
      </c>
      <c r="D863" s="4" t="s">
        <v>300</v>
      </c>
      <c r="E863" s="4" t="s">
        <v>868</v>
      </c>
      <c r="N863" s="4" t="s">
        <v>567</v>
      </c>
      <c r="O863" s="4" t="s">
        <v>343</v>
      </c>
      <c r="P863" s="4">
        <v>2</v>
      </c>
      <c r="Q863" s="4" t="s">
        <v>539</v>
      </c>
      <c r="T863" s="4">
        <v>210</v>
      </c>
      <c r="X863" s="4">
        <v>0.293</v>
      </c>
      <c r="AC863" s="4" t="s">
        <v>870</v>
      </c>
      <c r="AD863" s="4" t="s">
        <v>871</v>
      </c>
      <c r="BI863" s="4" t="s">
        <v>309</v>
      </c>
      <c r="BN863" s="4">
        <v>5</v>
      </c>
      <c r="BS863" s="4">
        <v>7</v>
      </c>
      <c r="BT863" s="4">
        <v>7</v>
      </c>
      <c r="BV863" s="4">
        <v>1440</v>
      </c>
      <c r="BW863" s="4">
        <v>20</v>
      </c>
      <c r="CB863" s="4" t="s">
        <v>496</v>
      </c>
      <c r="CC863" s="4">
        <v>22476.48</v>
      </c>
      <c r="CR863" s="4" t="s">
        <v>873</v>
      </c>
      <c r="CU863" s="4">
        <v>900</v>
      </c>
      <c r="DO863" s="4">
        <v>3</v>
      </c>
      <c r="FA863" s="4">
        <v>130.36</v>
      </c>
      <c r="FH863" s="1">
        <v>58</v>
      </c>
    </row>
    <row r="864" customHeight="1" spans="1:164">
      <c r="A864" s="28">
        <v>24</v>
      </c>
      <c r="B864" s="4" t="s">
        <v>866</v>
      </c>
      <c r="C864" s="5" t="s">
        <v>763</v>
      </c>
      <c r="D864" s="4" t="s">
        <v>300</v>
      </c>
      <c r="E864" s="4" t="s">
        <v>868</v>
      </c>
      <c r="N864" s="4" t="s">
        <v>567</v>
      </c>
      <c r="O864" s="4" t="s">
        <v>343</v>
      </c>
      <c r="P864" s="4">
        <v>2</v>
      </c>
      <c r="Q864" s="4" t="s">
        <v>539</v>
      </c>
      <c r="T864" s="4">
        <v>210</v>
      </c>
      <c r="X864" s="4">
        <v>0.293</v>
      </c>
      <c r="AC864" s="4" t="s">
        <v>870</v>
      </c>
      <c r="AD864" s="4" t="s">
        <v>871</v>
      </c>
      <c r="BI864" s="4" t="s">
        <v>309</v>
      </c>
      <c r="BN864" s="4">
        <v>5</v>
      </c>
      <c r="BS864" s="4">
        <v>7</v>
      </c>
      <c r="BT864" s="4">
        <v>7</v>
      </c>
      <c r="BV864" s="4">
        <v>1440</v>
      </c>
      <c r="BW864" s="4">
        <v>20</v>
      </c>
      <c r="CB864" s="4" t="s">
        <v>496</v>
      </c>
      <c r="CC864" s="4">
        <v>22476.48</v>
      </c>
      <c r="CR864" s="4" t="s">
        <v>541</v>
      </c>
      <c r="CU864" s="4">
        <v>900</v>
      </c>
      <c r="DO864" s="4">
        <v>3</v>
      </c>
      <c r="FA864" s="4">
        <v>124.37</v>
      </c>
      <c r="FH864" s="1">
        <v>55.33</v>
      </c>
    </row>
    <row r="865" customHeight="1" spans="1:164">
      <c r="A865" s="28">
        <v>24</v>
      </c>
      <c r="B865" s="4" t="s">
        <v>866</v>
      </c>
      <c r="C865" s="5" t="s">
        <v>763</v>
      </c>
      <c r="D865" s="4" t="s">
        <v>300</v>
      </c>
      <c r="E865" s="4" t="s">
        <v>868</v>
      </c>
      <c r="N865" s="4" t="s">
        <v>567</v>
      </c>
      <c r="O865" s="4" t="s">
        <v>343</v>
      </c>
      <c r="P865" s="4">
        <v>2</v>
      </c>
      <c r="Q865" s="4" t="s">
        <v>539</v>
      </c>
      <c r="T865" s="4">
        <v>210</v>
      </c>
      <c r="X865" s="4">
        <v>0.293</v>
      </c>
      <c r="AC865" s="4" t="s">
        <v>870</v>
      </c>
      <c r="AD865" s="4" t="s">
        <v>871</v>
      </c>
      <c r="BI865" s="4" t="s">
        <v>309</v>
      </c>
      <c r="BN865" s="4">
        <v>5</v>
      </c>
      <c r="BS865" s="4">
        <v>7</v>
      </c>
      <c r="BT865" s="4">
        <v>7</v>
      </c>
      <c r="BV865" s="4">
        <v>1440</v>
      </c>
      <c r="BW865" s="4">
        <v>20</v>
      </c>
      <c r="CB865" s="4" t="s">
        <v>496</v>
      </c>
      <c r="CC865" s="4">
        <v>22476.48</v>
      </c>
      <c r="CR865" s="4" t="s">
        <v>542</v>
      </c>
      <c r="CU865" s="4">
        <v>900</v>
      </c>
      <c r="DO865" s="4">
        <v>3</v>
      </c>
      <c r="FA865" s="4">
        <v>69.68</v>
      </c>
      <c r="FH865" s="1">
        <v>31</v>
      </c>
    </row>
    <row r="866" customHeight="1" spans="1:164">
      <c r="A866" s="28">
        <v>24</v>
      </c>
      <c r="B866" s="4" t="s">
        <v>866</v>
      </c>
      <c r="C866" s="5" t="s">
        <v>763</v>
      </c>
      <c r="D866" s="4" t="s">
        <v>300</v>
      </c>
      <c r="E866" s="4" t="s">
        <v>868</v>
      </c>
      <c r="N866" s="4" t="s">
        <v>567</v>
      </c>
      <c r="O866" s="4" t="s">
        <v>343</v>
      </c>
      <c r="P866" s="4">
        <v>2</v>
      </c>
      <c r="Q866" s="4" t="s">
        <v>539</v>
      </c>
      <c r="T866" s="4">
        <v>210</v>
      </c>
      <c r="X866" s="4">
        <v>0.293</v>
      </c>
      <c r="AC866" s="4" t="s">
        <v>870</v>
      </c>
      <c r="AD866" s="4" t="s">
        <v>871</v>
      </c>
      <c r="BI866" s="4" t="s">
        <v>309</v>
      </c>
      <c r="BN866" s="4">
        <v>5</v>
      </c>
      <c r="BS866" s="4">
        <v>7</v>
      </c>
      <c r="BT866" s="4">
        <v>7</v>
      </c>
      <c r="BV866" s="4">
        <v>1440</v>
      </c>
      <c r="BW866" s="4">
        <v>20</v>
      </c>
      <c r="CB866" s="4" t="s">
        <v>496</v>
      </c>
      <c r="CC866" s="4">
        <v>22476.48</v>
      </c>
      <c r="CR866" s="4" t="s">
        <v>829</v>
      </c>
      <c r="CU866" s="4">
        <v>900</v>
      </c>
      <c r="DO866" s="4">
        <v>3</v>
      </c>
      <c r="FA866" s="4">
        <v>34.46</v>
      </c>
      <c r="FH866" s="1">
        <v>15.33</v>
      </c>
    </row>
    <row r="867" customHeight="1" spans="1:164">
      <c r="A867" s="28">
        <v>24</v>
      </c>
      <c r="B867" s="4" t="s">
        <v>866</v>
      </c>
      <c r="C867" s="5" t="s">
        <v>836</v>
      </c>
      <c r="D867" s="4" t="s">
        <v>300</v>
      </c>
      <c r="E867" s="4" t="s">
        <v>868</v>
      </c>
      <c r="N867" s="4" t="s">
        <v>567</v>
      </c>
      <c r="O867" s="4" t="s">
        <v>502</v>
      </c>
      <c r="P867" s="4">
        <v>2</v>
      </c>
      <c r="Q867" s="4" t="s">
        <v>539</v>
      </c>
      <c r="T867" s="4">
        <v>280</v>
      </c>
      <c r="AC867" s="4" t="s">
        <v>870</v>
      </c>
      <c r="AD867" s="4" t="s">
        <v>871</v>
      </c>
      <c r="BI867" s="4" t="s">
        <v>309</v>
      </c>
      <c r="BN867" s="4">
        <v>5</v>
      </c>
      <c r="BS867" s="4">
        <v>7</v>
      </c>
      <c r="BT867" s="4">
        <v>7</v>
      </c>
      <c r="BV867" s="4">
        <v>1440</v>
      </c>
      <c r="BW867" s="4">
        <v>20</v>
      </c>
      <c r="CB867" s="4" t="s">
        <v>496</v>
      </c>
      <c r="CC867" s="4" t="s">
        <v>872</v>
      </c>
      <c r="DB867" s="4" t="s">
        <v>312</v>
      </c>
      <c r="DD867" s="4">
        <v>98.3</v>
      </c>
      <c r="DO867" s="4">
        <v>3</v>
      </c>
      <c r="FA867" s="4">
        <v>98.3</v>
      </c>
    </row>
    <row r="868" customHeight="1" spans="1:164">
      <c r="A868" s="28">
        <v>24</v>
      </c>
      <c r="B868" s="4" t="s">
        <v>866</v>
      </c>
      <c r="C868" s="5" t="s">
        <v>836</v>
      </c>
      <c r="D868" s="4" t="s">
        <v>300</v>
      </c>
      <c r="E868" s="4" t="s">
        <v>868</v>
      </c>
      <c r="N868" s="4" t="s">
        <v>567</v>
      </c>
      <c r="O868" s="4" t="s">
        <v>502</v>
      </c>
      <c r="P868" s="4">
        <v>2</v>
      </c>
      <c r="Q868" s="4" t="s">
        <v>539</v>
      </c>
      <c r="T868" s="4">
        <v>280</v>
      </c>
      <c r="AC868" s="4" t="s">
        <v>870</v>
      </c>
      <c r="AD868" s="4" t="s">
        <v>871</v>
      </c>
      <c r="BI868" s="4" t="s">
        <v>309</v>
      </c>
      <c r="BN868" s="4">
        <v>5</v>
      </c>
      <c r="BS868" s="4">
        <v>7</v>
      </c>
      <c r="BT868" s="4">
        <v>7</v>
      </c>
      <c r="BV868" s="4">
        <v>1440</v>
      </c>
      <c r="BW868" s="4">
        <v>20</v>
      </c>
      <c r="CB868" s="4" t="s">
        <v>496</v>
      </c>
      <c r="CC868" s="4">
        <v>44952.96</v>
      </c>
      <c r="CR868" s="4" t="s">
        <v>512</v>
      </c>
      <c r="CU868" s="4">
        <v>0</v>
      </c>
      <c r="DO868" s="4">
        <v>3</v>
      </c>
      <c r="FA868" s="4">
        <v>329.66</v>
      </c>
      <c r="FH868" s="1">
        <v>73.33</v>
      </c>
    </row>
    <row r="869" customHeight="1" spans="1:164">
      <c r="A869" s="28">
        <v>24</v>
      </c>
      <c r="B869" s="4" t="s">
        <v>866</v>
      </c>
      <c r="C869" s="5" t="s">
        <v>836</v>
      </c>
      <c r="D869" s="4" t="s">
        <v>300</v>
      </c>
      <c r="E869" s="4" t="s">
        <v>868</v>
      </c>
      <c r="N869" s="4" t="s">
        <v>567</v>
      </c>
      <c r="O869" s="4" t="s">
        <v>502</v>
      </c>
      <c r="P869" s="4">
        <v>2</v>
      </c>
      <c r="Q869" s="4" t="s">
        <v>539</v>
      </c>
      <c r="T869" s="4">
        <v>280</v>
      </c>
      <c r="AC869" s="4" t="s">
        <v>870</v>
      </c>
      <c r="AD869" s="4" t="s">
        <v>871</v>
      </c>
      <c r="BI869" s="4" t="s">
        <v>309</v>
      </c>
      <c r="BN869" s="4">
        <v>5</v>
      </c>
      <c r="BS869" s="4">
        <v>7</v>
      </c>
      <c r="BT869" s="4">
        <v>7</v>
      </c>
      <c r="BV869" s="4">
        <v>1440</v>
      </c>
      <c r="BW869" s="4">
        <v>20</v>
      </c>
      <c r="CB869" s="4" t="s">
        <v>496</v>
      </c>
      <c r="CC869" s="4">
        <v>44952.96</v>
      </c>
      <c r="CR869" s="4" t="s">
        <v>539</v>
      </c>
      <c r="CU869" s="4">
        <v>600</v>
      </c>
      <c r="DO869" s="4">
        <v>3</v>
      </c>
      <c r="FA869" s="4">
        <v>323.66</v>
      </c>
      <c r="FH869" s="1">
        <v>72</v>
      </c>
    </row>
    <row r="870" customHeight="1" spans="1:164">
      <c r="A870" s="28">
        <v>24</v>
      </c>
      <c r="B870" s="4" t="s">
        <v>866</v>
      </c>
      <c r="C870" s="5" t="s">
        <v>836</v>
      </c>
      <c r="D870" s="4" t="s">
        <v>300</v>
      </c>
      <c r="E870" s="4" t="s">
        <v>868</v>
      </c>
      <c r="N870" s="4" t="s">
        <v>567</v>
      </c>
      <c r="O870" s="4" t="s">
        <v>502</v>
      </c>
      <c r="P870" s="4">
        <v>2</v>
      </c>
      <c r="Q870" s="4" t="s">
        <v>539</v>
      </c>
      <c r="T870" s="4">
        <v>280</v>
      </c>
      <c r="AC870" s="4" t="s">
        <v>870</v>
      </c>
      <c r="AD870" s="4" t="s">
        <v>871</v>
      </c>
      <c r="BI870" s="4" t="s">
        <v>309</v>
      </c>
      <c r="BN870" s="4">
        <v>5</v>
      </c>
      <c r="BS870" s="4">
        <v>7</v>
      </c>
      <c r="BT870" s="4">
        <v>7</v>
      </c>
      <c r="BV870" s="4">
        <v>1440</v>
      </c>
      <c r="BW870" s="4">
        <v>20</v>
      </c>
      <c r="CB870" s="4" t="s">
        <v>496</v>
      </c>
      <c r="CC870" s="4">
        <v>44952.96</v>
      </c>
      <c r="CR870" s="4" t="s">
        <v>873</v>
      </c>
      <c r="CU870" s="4">
        <v>600</v>
      </c>
      <c r="DO870" s="4">
        <v>3</v>
      </c>
      <c r="FA870" s="4">
        <v>317.67</v>
      </c>
      <c r="FH870" s="1">
        <v>70.67</v>
      </c>
    </row>
    <row r="871" customHeight="1" spans="1:164">
      <c r="A871" s="28">
        <v>24</v>
      </c>
      <c r="B871" s="4" t="s">
        <v>866</v>
      </c>
      <c r="C871" s="5" t="s">
        <v>836</v>
      </c>
      <c r="D871" s="4" t="s">
        <v>300</v>
      </c>
      <c r="E871" s="4" t="s">
        <v>868</v>
      </c>
      <c r="N871" s="4" t="s">
        <v>567</v>
      </c>
      <c r="O871" s="4" t="s">
        <v>502</v>
      </c>
      <c r="P871" s="4">
        <v>2</v>
      </c>
      <c r="Q871" s="4" t="s">
        <v>539</v>
      </c>
      <c r="T871" s="4">
        <v>280</v>
      </c>
      <c r="AC871" s="4" t="s">
        <v>870</v>
      </c>
      <c r="AD871" s="4" t="s">
        <v>871</v>
      </c>
      <c r="BI871" s="4" t="s">
        <v>309</v>
      </c>
      <c r="BN871" s="4">
        <v>5</v>
      </c>
      <c r="BS871" s="4">
        <v>7</v>
      </c>
      <c r="BT871" s="4">
        <v>7</v>
      </c>
      <c r="BV871" s="4">
        <v>1440</v>
      </c>
      <c r="BW871" s="4">
        <v>20</v>
      </c>
      <c r="CB871" s="4" t="s">
        <v>496</v>
      </c>
      <c r="CC871" s="4">
        <v>44952.96</v>
      </c>
      <c r="CR871" s="4" t="s">
        <v>541</v>
      </c>
      <c r="CU871" s="4">
        <v>600</v>
      </c>
      <c r="DO871" s="4">
        <v>3</v>
      </c>
      <c r="FA871" s="4">
        <v>310.92</v>
      </c>
      <c r="FH871" s="1">
        <v>69.17</v>
      </c>
    </row>
    <row r="872" customHeight="1" spans="1:164">
      <c r="A872" s="28">
        <v>24</v>
      </c>
      <c r="B872" s="4" t="s">
        <v>866</v>
      </c>
      <c r="C872" s="5" t="s">
        <v>836</v>
      </c>
      <c r="D872" s="4" t="s">
        <v>300</v>
      </c>
      <c r="E872" s="4" t="s">
        <v>868</v>
      </c>
      <c r="N872" s="4" t="s">
        <v>567</v>
      </c>
      <c r="O872" s="4" t="s">
        <v>502</v>
      </c>
      <c r="P872" s="4">
        <v>2</v>
      </c>
      <c r="Q872" s="4" t="s">
        <v>539</v>
      </c>
      <c r="T872" s="4">
        <v>280</v>
      </c>
      <c r="AC872" s="4" t="s">
        <v>870</v>
      </c>
      <c r="AD872" s="4" t="s">
        <v>871</v>
      </c>
      <c r="BI872" s="4" t="s">
        <v>309</v>
      </c>
      <c r="BN872" s="4">
        <v>5</v>
      </c>
      <c r="BS872" s="4">
        <v>7</v>
      </c>
      <c r="BT872" s="4">
        <v>7</v>
      </c>
      <c r="BV872" s="4">
        <v>1440</v>
      </c>
      <c r="BW872" s="4">
        <v>20</v>
      </c>
      <c r="CB872" s="4" t="s">
        <v>496</v>
      </c>
      <c r="CC872" s="4">
        <v>44952.96</v>
      </c>
      <c r="CR872" s="4" t="s">
        <v>542</v>
      </c>
      <c r="CU872" s="4">
        <v>600</v>
      </c>
      <c r="DO872" s="4">
        <v>3</v>
      </c>
      <c r="FA872" s="4">
        <v>295.94</v>
      </c>
      <c r="FH872" s="1">
        <v>65.83</v>
      </c>
    </row>
    <row r="873" customHeight="1" spans="1:164">
      <c r="A873" s="28">
        <v>24</v>
      </c>
      <c r="B873" s="4" t="s">
        <v>866</v>
      </c>
      <c r="C873" s="5" t="s">
        <v>836</v>
      </c>
      <c r="D873" s="4" t="s">
        <v>300</v>
      </c>
      <c r="E873" s="4" t="s">
        <v>868</v>
      </c>
      <c r="N873" s="4" t="s">
        <v>567</v>
      </c>
      <c r="O873" s="4" t="s">
        <v>502</v>
      </c>
      <c r="P873" s="4">
        <v>2</v>
      </c>
      <c r="Q873" s="4" t="s">
        <v>539</v>
      </c>
      <c r="T873" s="4">
        <v>280</v>
      </c>
      <c r="AC873" s="4" t="s">
        <v>870</v>
      </c>
      <c r="AD873" s="4" t="s">
        <v>871</v>
      </c>
      <c r="BI873" s="4" t="s">
        <v>309</v>
      </c>
      <c r="BN873" s="4">
        <v>5</v>
      </c>
      <c r="BS873" s="4">
        <v>7</v>
      </c>
      <c r="BT873" s="4">
        <v>7</v>
      </c>
      <c r="BV873" s="4">
        <v>1440</v>
      </c>
      <c r="BW873" s="4">
        <v>20</v>
      </c>
      <c r="CB873" s="4" t="s">
        <v>496</v>
      </c>
      <c r="CC873" s="4">
        <v>44952.96</v>
      </c>
      <c r="CR873" s="4" t="s">
        <v>829</v>
      </c>
      <c r="CU873" s="4">
        <v>600</v>
      </c>
      <c r="DO873" s="4">
        <v>3</v>
      </c>
      <c r="FA873" s="4">
        <v>251.74</v>
      </c>
      <c r="FH873" s="1">
        <v>56</v>
      </c>
    </row>
    <row r="874" customHeight="1" spans="1:164">
      <c r="A874" s="28">
        <v>24</v>
      </c>
      <c r="B874" s="4" t="s">
        <v>866</v>
      </c>
      <c r="C874" s="5" t="s">
        <v>836</v>
      </c>
      <c r="D874" s="4" t="s">
        <v>300</v>
      </c>
      <c r="E874" s="4" t="s">
        <v>868</v>
      </c>
      <c r="N874" s="4" t="s">
        <v>567</v>
      </c>
      <c r="O874" s="4" t="s">
        <v>502</v>
      </c>
      <c r="P874" s="4">
        <v>2</v>
      </c>
      <c r="Q874" s="4" t="s">
        <v>539</v>
      </c>
      <c r="T874" s="4">
        <v>280</v>
      </c>
      <c r="AC874" s="4" t="s">
        <v>870</v>
      </c>
      <c r="AD874" s="4" t="s">
        <v>871</v>
      </c>
      <c r="BI874" s="4" t="s">
        <v>309</v>
      </c>
      <c r="BN874" s="4">
        <v>5</v>
      </c>
      <c r="BS874" s="4">
        <v>7</v>
      </c>
      <c r="BT874" s="4">
        <v>7</v>
      </c>
      <c r="BV874" s="4">
        <v>1440</v>
      </c>
      <c r="BW874" s="4">
        <v>20</v>
      </c>
      <c r="CB874" s="4" t="s">
        <v>496</v>
      </c>
      <c r="CC874" s="4">
        <v>44952.96</v>
      </c>
      <c r="CR874" s="4" t="s">
        <v>539</v>
      </c>
      <c r="CU874" s="4">
        <v>1200</v>
      </c>
      <c r="DO874" s="4">
        <v>3</v>
      </c>
      <c r="FA874" s="4">
        <v>316.17</v>
      </c>
      <c r="FH874" s="1">
        <v>70.33</v>
      </c>
    </row>
    <row r="875" customHeight="1" spans="1:164">
      <c r="A875" s="28">
        <v>24</v>
      </c>
      <c r="B875" s="4" t="s">
        <v>866</v>
      </c>
      <c r="C875" s="5" t="s">
        <v>836</v>
      </c>
      <c r="D875" s="4" t="s">
        <v>300</v>
      </c>
      <c r="E875" s="4" t="s">
        <v>868</v>
      </c>
      <c r="N875" s="4" t="s">
        <v>567</v>
      </c>
      <c r="O875" s="4" t="s">
        <v>502</v>
      </c>
      <c r="P875" s="4">
        <v>2</v>
      </c>
      <c r="Q875" s="4" t="s">
        <v>539</v>
      </c>
      <c r="T875" s="4">
        <v>280</v>
      </c>
      <c r="AC875" s="4" t="s">
        <v>870</v>
      </c>
      <c r="AD875" s="4" t="s">
        <v>871</v>
      </c>
      <c r="BI875" s="4" t="s">
        <v>309</v>
      </c>
      <c r="BN875" s="4">
        <v>5</v>
      </c>
      <c r="BS875" s="4">
        <v>7</v>
      </c>
      <c r="BT875" s="4">
        <v>7</v>
      </c>
      <c r="BV875" s="4">
        <v>1440</v>
      </c>
      <c r="BW875" s="4">
        <v>20</v>
      </c>
      <c r="CB875" s="4" t="s">
        <v>496</v>
      </c>
      <c r="CC875" s="4">
        <v>44952.96</v>
      </c>
      <c r="CR875" s="4" t="s">
        <v>873</v>
      </c>
      <c r="CU875" s="4">
        <v>1200</v>
      </c>
      <c r="DO875" s="4">
        <v>3</v>
      </c>
      <c r="FA875" s="4">
        <v>310.92</v>
      </c>
      <c r="FH875" s="1">
        <v>69.17</v>
      </c>
    </row>
    <row r="876" customHeight="1" spans="1:164">
      <c r="A876" s="28">
        <v>24</v>
      </c>
      <c r="B876" s="4" t="s">
        <v>866</v>
      </c>
      <c r="C876" s="5" t="s">
        <v>836</v>
      </c>
      <c r="D876" s="4" t="s">
        <v>300</v>
      </c>
      <c r="E876" s="4" t="s">
        <v>868</v>
      </c>
      <c r="N876" s="4" t="s">
        <v>567</v>
      </c>
      <c r="O876" s="4" t="s">
        <v>502</v>
      </c>
      <c r="P876" s="4">
        <v>2</v>
      </c>
      <c r="Q876" s="4" t="s">
        <v>539</v>
      </c>
      <c r="T876" s="4">
        <v>280</v>
      </c>
      <c r="AC876" s="4" t="s">
        <v>870</v>
      </c>
      <c r="AD876" s="4" t="s">
        <v>871</v>
      </c>
      <c r="BI876" s="4" t="s">
        <v>309</v>
      </c>
      <c r="BN876" s="4">
        <v>5</v>
      </c>
      <c r="BS876" s="4">
        <v>7</v>
      </c>
      <c r="BT876" s="4">
        <v>7</v>
      </c>
      <c r="BV876" s="4">
        <v>1440</v>
      </c>
      <c r="BW876" s="4">
        <v>20</v>
      </c>
      <c r="CB876" s="4" t="s">
        <v>496</v>
      </c>
      <c r="CC876" s="4">
        <v>44952.96</v>
      </c>
      <c r="CR876" s="4" t="s">
        <v>541</v>
      </c>
      <c r="CU876" s="4">
        <v>1200</v>
      </c>
      <c r="DO876" s="4">
        <v>3</v>
      </c>
      <c r="FA876" s="4">
        <v>304.18</v>
      </c>
      <c r="FH876" s="1">
        <v>67.67</v>
      </c>
    </row>
    <row r="877" customHeight="1" spans="1:164">
      <c r="A877" s="28">
        <v>24</v>
      </c>
      <c r="B877" s="4" t="s">
        <v>866</v>
      </c>
      <c r="C877" s="5" t="s">
        <v>836</v>
      </c>
      <c r="D877" s="4" t="s">
        <v>300</v>
      </c>
      <c r="E877" s="4" t="s">
        <v>868</v>
      </c>
      <c r="N877" s="4" t="s">
        <v>567</v>
      </c>
      <c r="O877" s="4" t="s">
        <v>502</v>
      </c>
      <c r="P877" s="4">
        <v>2</v>
      </c>
      <c r="Q877" s="4" t="s">
        <v>539</v>
      </c>
      <c r="T877" s="4">
        <v>280</v>
      </c>
      <c r="AC877" s="4" t="s">
        <v>870</v>
      </c>
      <c r="AD877" s="4" t="s">
        <v>871</v>
      </c>
      <c r="BI877" s="4" t="s">
        <v>309</v>
      </c>
      <c r="BN877" s="4">
        <v>5</v>
      </c>
      <c r="BS877" s="4">
        <v>7</v>
      </c>
      <c r="BT877" s="4">
        <v>7</v>
      </c>
      <c r="BV877" s="4">
        <v>1440</v>
      </c>
      <c r="BW877" s="4">
        <v>20</v>
      </c>
      <c r="CB877" s="4" t="s">
        <v>496</v>
      </c>
      <c r="CC877" s="4">
        <v>44952.96</v>
      </c>
      <c r="CR877" s="4" t="s">
        <v>542</v>
      </c>
      <c r="CU877" s="4">
        <v>1200</v>
      </c>
      <c r="DO877" s="4">
        <v>3</v>
      </c>
      <c r="FA877" s="4">
        <v>271.22</v>
      </c>
      <c r="FH877" s="1">
        <v>60.33</v>
      </c>
    </row>
    <row r="878" customHeight="1" spans="1:164">
      <c r="A878" s="28">
        <v>24</v>
      </c>
      <c r="B878" s="4" t="s">
        <v>866</v>
      </c>
      <c r="C878" s="5" t="s">
        <v>836</v>
      </c>
      <c r="D878" s="4" t="s">
        <v>300</v>
      </c>
      <c r="E878" s="4" t="s">
        <v>868</v>
      </c>
      <c r="N878" s="4" t="s">
        <v>567</v>
      </c>
      <c r="O878" s="4" t="s">
        <v>502</v>
      </c>
      <c r="P878" s="4">
        <v>2</v>
      </c>
      <c r="Q878" s="4" t="s">
        <v>539</v>
      </c>
      <c r="T878" s="4">
        <v>280</v>
      </c>
      <c r="AC878" s="4" t="s">
        <v>870</v>
      </c>
      <c r="AD878" s="4" t="s">
        <v>871</v>
      </c>
      <c r="BI878" s="4" t="s">
        <v>309</v>
      </c>
      <c r="BN878" s="4">
        <v>5</v>
      </c>
      <c r="BS878" s="4">
        <v>7</v>
      </c>
      <c r="BT878" s="4">
        <v>7</v>
      </c>
      <c r="BV878" s="4">
        <v>1440</v>
      </c>
      <c r="BW878" s="4">
        <v>20</v>
      </c>
      <c r="CB878" s="4" t="s">
        <v>496</v>
      </c>
      <c r="CC878" s="4">
        <v>44952.96</v>
      </c>
      <c r="CR878" s="4" t="s">
        <v>829</v>
      </c>
      <c r="CU878" s="4">
        <v>1200</v>
      </c>
      <c r="DO878" s="4">
        <v>3</v>
      </c>
      <c r="FA878" s="4">
        <v>203.04</v>
      </c>
      <c r="FH878" s="1">
        <v>45.17</v>
      </c>
    </row>
    <row r="879" customHeight="1" spans="1:164">
      <c r="A879" s="28">
        <v>24</v>
      </c>
      <c r="B879" s="4" t="s">
        <v>866</v>
      </c>
      <c r="C879" s="5" t="s">
        <v>836</v>
      </c>
      <c r="D879" s="4" t="s">
        <v>300</v>
      </c>
      <c r="E879" s="4" t="s">
        <v>868</v>
      </c>
      <c r="N879" s="4" t="s">
        <v>567</v>
      </c>
      <c r="O879" s="4" t="s">
        <v>502</v>
      </c>
      <c r="P879" s="4">
        <v>2</v>
      </c>
      <c r="Q879" s="4" t="s">
        <v>539</v>
      </c>
      <c r="T879" s="4">
        <v>280</v>
      </c>
      <c r="AC879" s="4" t="s">
        <v>870</v>
      </c>
      <c r="AD879" s="4" t="s">
        <v>871</v>
      </c>
      <c r="BI879" s="4" t="s">
        <v>309</v>
      </c>
      <c r="BN879" s="4">
        <v>5</v>
      </c>
      <c r="BS879" s="4">
        <v>7</v>
      </c>
      <c r="BT879" s="4">
        <v>7</v>
      </c>
      <c r="BV879" s="4">
        <v>1440</v>
      </c>
      <c r="BW879" s="4">
        <v>20</v>
      </c>
      <c r="CB879" s="4" t="s">
        <v>496</v>
      </c>
      <c r="CC879" s="4">
        <v>44952.96</v>
      </c>
      <c r="CR879" s="4" t="s">
        <v>539</v>
      </c>
      <c r="CU879" s="4">
        <v>1800</v>
      </c>
      <c r="DO879" s="4">
        <v>3</v>
      </c>
      <c r="FA879" s="4">
        <v>302.68</v>
      </c>
      <c r="FH879" s="1">
        <v>67.33</v>
      </c>
    </row>
    <row r="880" customHeight="1" spans="1:164">
      <c r="A880" s="28">
        <v>24</v>
      </c>
      <c r="B880" s="4" t="s">
        <v>866</v>
      </c>
      <c r="C880" s="5" t="s">
        <v>836</v>
      </c>
      <c r="D880" s="4" t="s">
        <v>300</v>
      </c>
      <c r="E880" s="4" t="s">
        <v>868</v>
      </c>
      <c r="N880" s="4" t="s">
        <v>567</v>
      </c>
      <c r="O880" s="4" t="s">
        <v>502</v>
      </c>
      <c r="P880" s="4">
        <v>2</v>
      </c>
      <c r="Q880" s="4" t="s">
        <v>539</v>
      </c>
      <c r="T880" s="4">
        <v>280</v>
      </c>
      <c r="AC880" s="4" t="s">
        <v>870</v>
      </c>
      <c r="AD880" s="4" t="s">
        <v>871</v>
      </c>
      <c r="BI880" s="4" t="s">
        <v>309</v>
      </c>
      <c r="BN880" s="4">
        <v>5</v>
      </c>
      <c r="BS880" s="4">
        <v>7</v>
      </c>
      <c r="BT880" s="4">
        <v>7</v>
      </c>
      <c r="BV880" s="4">
        <v>1440</v>
      </c>
      <c r="BW880" s="4">
        <v>20</v>
      </c>
      <c r="CB880" s="4" t="s">
        <v>496</v>
      </c>
      <c r="CC880" s="4">
        <v>44952.96</v>
      </c>
      <c r="CR880" s="4" t="s">
        <v>873</v>
      </c>
      <c r="CU880" s="4">
        <v>1800</v>
      </c>
      <c r="DO880" s="4">
        <v>3</v>
      </c>
      <c r="FA880" s="4">
        <v>296.69</v>
      </c>
      <c r="FH880" s="1">
        <v>66</v>
      </c>
    </row>
    <row r="881" customHeight="1" spans="1:164">
      <c r="A881" s="28">
        <v>24</v>
      </c>
      <c r="B881" s="4" t="s">
        <v>866</v>
      </c>
      <c r="C881" s="5" t="s">
        <v>836</v>
      </c>
      <c r="D881" s="4" t="s">
        <v>300</v>
      </c>
      <c r="E881" s="4" t="s">
        <v>868</v>
      </c>
      <c r="N881" s="4" t="s">
        <v>567</v>
      </c>
      <c r="O881" s="4" t="s">
        <v>502</v>
      </c>
      <c r="P881" s="4">
        <v>2</v>
      </c>
      <c r="Q881" s="4" t="s">
        <v>539</v>
      </c>
      <c r="T881" s="4">
        <v>280</v>
      </c>
      <c r="AC881" s="4" t="s">
        <v>870</v>
      </c>
      <c r="AD881" s="4" t="s">
        <v>871</v>
      </c>
      <c r="BI881" s="4" t="s">
        <v>309</v>
      </c>
      <c r="BN881" s="4">
        <v>5</v>
      </c>
      <c r="BS881" s="4">
        <v>7</v>
      </c>
      <c r="BT881" s="4">
        <v>7</v>
      </c>
      <c r="BV881" s="4">
        <v>1440</v>
      </c>
      <c r="BW881" s="4">
        <v>20</v>
      </c>
      <c r="CB881" s="4" t="s">
        <v>496</v>
      </c>
      <c r="CC881" s="4">
        <v>44952.96</v>
      </c>
      <c r="CR881" s="4" t="s">
        <v>541</v>
      </c>
      <c r="CU881" s="4">
        <v>1800</v>
      </c>
      <c r="DO881" s="4">
        <v>3</v>
      </c>
      <c r="FA881" s="4">
        <v>288.45</v>
      </c>
      <c r="FH881" s="1">
        <v>64.17</v>
      </c>
    </row>
    <row r="882" customHeight="1" spans="1:164">
      <c r="A882" s="28">
        <v>24</v>
      </c>
      <c r="B882" s="4" t="s">
        <v>866</v>
      </c>
      <c r="C882" s="5" t="s">
        <v>836</v>
      </c>
      <c r="D882" s="4" t="s">
        <v>300</v>
      </c>
      <c r="E882" s="4" t="s">
        <v>868</v>
      </c>
      <c r="N882" s="4" t="s">
        <v>567</v>
      </c>
      <c r="O882" s="4" t="s">
        <v>502</v>
      </c>
      <c r="P882" s="4">
        <v>2</v>
      </c>
      <c r="Q882" s="4" t="s">
        <v>539</v>
      </c>
      <c r="T882" s="4">
        <v>280</v>
      </c>
      <c r="AC882" s="4" t="s">
        <v>870</v>
      </c>
      <c r="AD882" s="4" t="s">
        <v>871</v>
      </c>
      <c r="BI882" s="4" t="s">
        <v>309</v>
      </c>
      <c r="BN882" s="4">
        <v>5</v>
      </c>
      <c r="BS882" s="4">
        <v>7</v>
      </c>
      <c r="BT882" s="4">
        <v>7</v>
      </c>
      <c r="BV882" s="4">
        <v>1440</v>
      </c>
      <c r="BW882" s="4">
        <v>20</v>
      </c>
      <c r="CB882" s="4" t="s">
        <v>496</v>
      </c>
      <c r="CC882" s="4">
        <v>44952.96</v>
      </c>
      <c r="CR882" s="4" t="s">
        <v>542</v>
      </c>
      <c r="CU882" s="4">
        <v>1800</v>
      </c>
      <c r="DO882" s="4">
        <v>3</v>
      </c>
      <c r="FA882" s="4">
        <v>245.74</v>
      </c>
      <c r="FH882" s="1">
        <v>54.67</v>
      </c>
    </row>
    <row r="883" customHeight="1" spans="1:164">
      <c r="A883" s="28">
        <v>24</v>
      </c>
      <c r="B883" s="4" t="s">
        <v>866</v>
      </c>
      <c r="C883" s="5" t="s">
        <v>836</v>
      </c>
      <c r="D883" s="4" t="s">
        <v>300</v>
      </c>
      <c r="E883" s="4" t="s">
        <v>868</v>
      </c>
      <c r="N883" s="4" t="s">
        <v>567</v>
      </c>
      <c r="O883" s="4" t="s">
        <v>502</v>
      </c>
      <c r="P883" s="4">
        <v>2</v>
      </c>
      <c r="Q883" s="4" t="s">
        <v>539</v>
      </c>
      <c r="T883" s="4">
        <v>280</v>
      </c>
      <c r="AC883" s="4" t="s">
        <v>870</v>
      </c>
      <c r="AD883" s="4" t="s">
        <v>871</v>
      </c>
      <c r="BI883" s="4" t="s">
        <v>309</v>
      </c>
      <c r="BN883" s="4">
        <v>5</v>
      </c>
      <c r="BS883" s="4">
        <v>7</v>
      </c>
      <c r="BT883" s="4">
        <v>7</v>
      </c>
      <c r="BV883" s="4">
        <v>1440</v>
      </c>
      <c r="BW883" s="4">
        <v>20</v>
      </c>
      <c r="CB883" s="4" t="s">
        <v>496</v>
      </c>
      <c r="CC883" s="4">
        <v>44952.96</v>
      </c>
      <c r="CR883" s="4" t="s">
        <v>829</v>
      </c>
      <c r="CU883" s="4">
        <v>1800</v>
      </c>
      <c r="DO883" s="4">
        <v>3</v>
      </c>
      <c r="FA883" s="4">
        <v>154.34</v>
      </c>
      <c r="FH883" s="1">
        <v>34.33</v>
      </c>
    </row>
    <row r="884" customHeight="1" spans="1:164">
      <c r="A884" s="28">
        <v>24</v>
      </c>
      <c r="B884" s="4" t="s">
        <v>866</v>
      </c>
      <c r="C884" s="5" t="s">
        <v>874</v>
      </c>
      <c r="D884" s="4" t="s">
        <v>300</v>
      </c>
      <c r="E884" s="4" t="s">
        <v>868</v>
      </c>
      <c r="N884" s="4" t="s">
        <v>14</v>
      </c>
      <c r="O884" s="4" t="s">
        <v>343</v>
      </c>
      <c r="P884" s="4">
        <v>2</v>
      </c>
      <c r="Q884" s="4" t="s">
        <v>539</v>
      </c>
      <c r="T884" s="4">
        <v>200</v>
      </c>
      <c r="AC884" s="4" t="s">
        <v>870</v>
      </c>
      <c r="AD884" s="4" t="s">
        <v>871</v>
      </c>
      <c r="BI884" s="4" t="s">
        <v>309</v>
      </c>
      <c r="BN884" s="4">
        <v>5</v>
      </c>
      <c r="BS884" s="4">
        <v>7</v>
      </c>
      <c r="BT884" s="4">
        <v>7</v>
      </c>
      <c r="BV884" s="4">
        <v>1440</v>
      </c>
      <c r="BW884" s="4">
        <v>20</v>
      </c>
      <c r="CB884" s="4" t="s">
        <v>496</v>
      </c>
      <c r="CC884" s="4" t="s">
        <v>872</v>
      </c>
      <c r="DB884" s="4" t="s">
        <v>312</v>
      </c>
      <c r="DD884" s="4">
        <v>42.63</v>
      </c>
      <c r="DO884" s="4">
        <v>3</v>
      </c>
      <c r="FA884" s="4">
        <v>42.63</v>
      </c>
    </row>
    <row r="885" customHeight="1" spans="1:164">
      <c r="A885" s="28">
        <v>24</v>
      </c>
      <c r="B885" s="4" t="s">
        <v>866</v>
      </c>
      <c r="C885" s="5" t="s">
        <v>874</v>
      </c>
      <c r="D885" s="4" t="s">
        <v>300</v>
      </c>
      <c r="E885" s="4" t="s">
        <v>868</v>
      </c>
      <c r="N885" s="4" t="s">
        <v>14</v>
      </c>
      <c r="O885" s="4" t="s">
        <v>343</v>
      </c>
      <c r="P885" s="4">
        <v>2</v>
      </c>
      <c r="Q885" s="4" t="s">
        <v>539</v>
      </c>
      <c r="T885" s="4">
        <v>200</v>
      </c>
      <c r="AC885" s="4" t="s">
        <v>870</v>
      </c>
      <c r="AD885" s="4" t="s">
        <v>871</v>
      </c>
      <c r="BI885" s="4" t="s">
        <v>309</v>
      </c>
      <c r="BN885" s="4">
        <v>5</v>
      </c>
      <c r="BS885" s="4">
        <v>7</v>
      </c>
      <c r="BT885" s="4">
        <v>7</v>
      </c>
      <c r="BV885" s="4">
        <v>1440</v>
      </c>
      <c r="BW885" s="4">
        <v>20</v>
      </c>
      <c r="CB885" s="4" t="s">
        <v>496</v>
      </c>
      <c r="CC885" s="4">
        <v>22476.48</v>
      </c>
      <c r="CR885" s="4" t="s">
        <v>512</v>
      </c>
      <c r="CU885" s="4">
        <v>0</v>
      </c>
      <c r="DO885" s="4">
        <v>3</v>
      </c>
      <c r="FA885" s="4">
        <v>153.59</v>
      </c>
      <c r="FH885" s="1">
        <v>68.33</v>
      </c>
    </row>
    <row r="886" customHeight="1" spans="1:164">
      <c r="A886" s="28">
        <v>24</v>
      </c>
      <c r="B886" s="4" t="s">
        <v>866</v>
      </c>
      <c r="C886" s="5" t="s">
        <v>874</v>
      </c>
      <c r="D886" s="4" t="s">
        <v>300</v>
      </c>
      <c r="E886" s="4" t="s">
        <v>868</v>
      </c>
      <c r="N886" s="4" t="s">
        <v>14</v>
      </c>
      <c r="O886" s="4" t="s">
        <v>343</v>
      </c>
      <c r="P886" s="4">
        <v>2</v>
      </c>
      <c r="Q886" s="4" t="s">
        <v>539</v>
      </c>
      <c r="T886" s="4">
        <v>200</v>
      </c>
      <c r="AC886" s="4" t="s">
        <v>870</v>
      </c>
      <c r="AD886" s="4" t="s">
        <v>871</v>
      </c>
      <c r="BI886" s="4" t="s">
        <v>309</v>
      </c>
      <c r="BN886" s="4">
        <v>5</v>
      </c>
      <c r="BS886" s="4">
        <v>7</v>
      </c>
      <c r="BT886" s="4">
        <v>7</v>
      </c>
      <c r="BV886" s="4">
        <v>1440</v>
      </c>
      <c r="BW886" s="4">
        <v>20</v>
      </c>
      <c r="CB886" s="4" t="s">
        <v>496</v>
      </c>
      <c r="CC886" s="4">
        <v>22476.48</v>
      </c>
      <c r="CR886" s="4" t="s">
        <v>539</v>
      </c>
      <c r="CU886" s="4">
        <v>300</v>
      </c>
      <c r="DO886" s="4">
        <v>3</v>
      </c>
      <c r="FA886" s="4">
        <v>142.35</v>
      </c>
      <c r="FH886" s="1">
        <v>63.66</v>
      </c>
    </row>
    <row r="887" customHeight="1" spans="1:164">
      <c r="A887" s="28">
        <v>24</v>
      </c>
      <c r="B887" s="4" t="s">
        <v>866</v>
      </c>
      <c r="C887" s="5" t="s">
        <v>874</v>
      </c>
      <c r="D887" s="4" t="s">
        <v>300</v>
      </c>
      <c r="E887" s="4" t="s">
        <v>868</v>
      </c>
      <c r="N887" s="4" t="s">
        <v>14</v>
      </c>
      <c r="O887" s="4" t="s">
        <v>343</v>
      </c>
      <c r="P887" s="4">
        <v>2</v>
      </c>
      <c r="Q887" s="4" t="s">
        <v>539</v>
      </c>
      <c r="T887" s="4">
        <v>200</v>
      </c>
      <c r="AC887" s="4" t="s">
        <v>870</v>
      </c>
      <c r="AD887" s="4" t="s">
        <v>871</v>
      </c>
      <c r="BI887" s="4" t="s">
        <v>309</v>
      </c>
      <c r="BN887" s="4">
        <v>5</v>
      </c>
      <c r="BS887" s="4">
        <v>7</v>
      </c>
      <c r="BT887" s="4">
        <v>7</v>
      </c>
      <c r="BV887" s="4">
        <v>1440</v>
      </c>
      <c r="BW887" s="4">
        <v>20</v>
      </c>
      <c r="CB887" s="4" t="s">
        <v>496</v>
      </c>
      <c r="CC887" s="4">
        <v>22476.48</v>
      </c>
      <c r="CR887" s="4" t="s">
        <v>873</v>
      </c>
      <c r="CU887" s="4">
        <v>300</v>
      </c>
      <c r="DO887" s="4">
        <v>3</v>
      </c>
      <c r="FA887" s="4">
        <v>137.11</v>
      </c>
      <c r="FH887" s="1">
        <v>61</v>
      </c>
    </row>
    <row r="888" customHeight="1" spans="1:164">
      <c r="A888" s="28">
        <v>24</v>
      </c>
      <c r="B888" s="4" t="s">
        <v>866</v>
      </c>
      <c r="C888" s="5" t="s">
        <v>874</v>
      </c>
      <c r="D888" s="4" t="s">
        <v>300</v>
      </c>
      <c r="E888" s="4" t="s">
        <v>868</v>
      </c>
      <c r="N888" s="4" t="s">
        <v>14</v>
      </c>
      <c r="O888" s="4" t="s">
        <v>343</v>
      </c>
      <c r="P888" s="4">
        <v>2</v>
      </c>
      <c r="Q888" s="4" t="s">
        <v>539</v>
      </c>
      <c r="T888" s="4">
        <v>200</v>
      </c>
      <c r="AC888" s="4" t="s">
        <v>870</v>
      </c>
      <c r="AD888" s="4" t="s">
        <v>871</v>
      </c>
      <c r="BI888" s="4" t="s">
        <v>309</v>
      </c>
      <c r="BN888" s="4">
        <v>5</v>
      </c>
      <c r="BS888" s="4">
        <v>7</v>
      </c>
      <c r="BT888" s="4">
        <v>7</v>
      </c>
      <c r="BV888" s="4">
        <v>1440</v>
      </c>
      <c r="BW888" s="4">
        <v>20</v>
      </c>
      <c r="CB888" s="4" t="s">
        <v>496</v>
      </c>
      <c r="CC888" s="4">
        <v>22476.48</v>
      </c>
      <c r="CR888" s="4" t="s">
        <v>541</v>
      </c>
      <c r="CU888" s="4">
        <v>300</v>
      </c>
      <c r="DO888" s="4">
        <v>3</v>
      </c>
      <c r="FA888" s="4">
        <v>133.36</v>
      </c>
      <c r="FH888" s="1">
        <v>59.33</v>
      </c>
    </row>
    <row r="889" customHeight="1" spans="1:164">
      <c r="A889" s="28">
        <v>24</v>
      </c>
      <c r="B889" s="4" t="s">
        <v>866</v>
      </c>
      <c r="C889" s="5" t="s">
        <v>874</v>
      </c>
      <c r="D889" s="4" t="s">
        <v>300</v>
      </c>
      <c r="E889" s="4" t="s">
        <v>868</v>
      </c>
      <c r="N889" s="4" t="s">
        <v>14</v>
      </c>
      <c r="O889" s="4" t="s">
        <v>343</v>
      </c>
      <c r="P889" s="4">
        <v>2</v>
      </c>
      <c r="Q889" s="4" t="s">
        <v>539</v>
      </c>
      <c r="T889" s="4">
        <v>200</v>
      </c>
      <c r="AC889" s="4" t="s">
        <v>870</v>
      </c>
      <c r="AD889" s="4" t="s">
        <v>871</v>
      </c>
      <c r="BI889" s="4" t="s">
        <v>309</v>
      </c>
      <c r="BN889" s="4">
        <v>5</v>
      </c>
      <c r="BS889" s="4">
        <v>7</v>
      </c>
      <c r="BT889" s="4">
        <v>7</v>
      </c>
      <c r="BV889" s="4">
        <v>1440</v>
      </c>
      <c r="BW889" s="4">
        <v>20</v>
      </c>
      <c r="CB889" s="4" t="s">
        <v>496</v>
      </c>
      <c r="CC889" s="4">
        <v>22476.48</v>
      </c>
      <c r="CR889" s="4" t="s">
        <v>542</v>
      </c>
      <c r="CU889" s="4">
        <v>300</v>
      </c>
      <c r="DO889" s="4">
        <v>3</v>
      </c>
      <c r="FA889" s="4">
        <v>109.39</v>
      </c>
      <c r="FH889" s="1">
        <v>48.67</v>
      </c>
    </row>
    <row r="890" customHeight="1" spans="1:164">
      <c r="A890" s="28">
        <v>24</v>
      </c>
      <c r="B890" s="4" t="s">
        <v>866</v>
      </c>
      <c r="C890" s="5" t="s">
        <v>874</v>
      </c>
      <c r="D890" s="4" t="s">
        <v>300</v>
      </c>
      <c r="E890" s="4" t="s">
        <v>868</v>
      </c>
      <c r="N890" s="4" t="s">
        <v>14</v>
      </c>
      <c r="O890" s="4" t="s">
        <v>343</v>
      </c>
      <c r="P890" s="4">
        <v>2</v>
      </c>
      <c r="Q890" s="4" t="s">
        <v>539</v>
      </c>
      <c r="T890" s="4">
        <v>200</v>
      </c>
      <c r="AC890" s="4" t="s">
        <v>870</v>
      </c>
      <c r="AD890" s="4" t="s">
        <v>871</v>
      </c>
      <c r="BI890" s="4" t="s">
        <v>309</v>
      </c>
      <c r="BN890" s="4">
        <v>5</v>
      </c>
      <c r="BS890" s="4">
        <v>7</v>
      </c>
      <c r="BT890" s="4">
        <v>7</v>
      </c>
      <c r="BV890" s="4">
        <v>1440</v>
      </c>
      <c r="BW890" s="4">
        <v>20</v>
      </c>
      <c r="CB890" s="4" t="s">
        <v>496</v>
      </c>
      <c r="CC890" s="4">
        <v>22476.48</v>
      </c>
      <c r="CR890" s="4" t="s">
        <v>829</v>
      </c>
      <c r="CU890" s="4">
        <v>300</v>
      </c>
      <c r="DO890" s="4">
        <v>3</v>
      </c>
      <c r="FA890" s="4">
        <v>70.43</v>
      </c>
      <c r="FH890" s="1">
        <v>31.33</v>
      </c>
    </row>
    <row r="891" customHeight="1" spans="1:164">
      <c r="A891" s="28">
        <v>24</v>
      </c>
      <c r="B891" s="4" t="s">
        <v>866</v>
      </c>
      <c r="C891" s="5" t="s">
        <v>874</v>
      </c>
      <c r="D891" s="4" t="s">
        <v>300</v>
      </c>
      <c r="E891" s="4" t="s">
        <v>868</v>
      </c>
      <c r="N891" s="4" t="s">
        <v>14</v>
      </c>
      <c r="O891" s="4" t="s">
        <v>343</v>
      </c>
      <c r="P891" s="4">
        <v>2</v>
      </c>
      <c r="Q891" s="4" t="s">
        <v>539</v>
      </c>
      <c r="T891" s="4">
        <v>200</v>
      </c>
      <c r="AC891" s="4" t="s">
        <v>870</v>
      </c>
      <c r="AD891" s="4" t="s">
        <v>871</v>
      </c>
      <c r="BI891" s="4" t="s">
        <v>309</v>
      </c>
      <c r="BN891" s="4">
        <v>5</v>
      </c>
      <c r="BS891" s="4">
        <v>7</v>
      </c>
      <c r="BT891" s="4">
        <v>7</v>
      </c>
      <c r="BV891" s="4">
        <v>1440</v>
      </c>
      <c r="BW891" s="4">
        <v>20</v>
      </c>
      <c r="CB891" s="4" t="s">
        <v>496</v>
      </c>
      <c r="CC891" s="4">
        <v>22476.48</v>
      </c>
      <c r="CR891" s="4" t="s">
        <v>539</v>
      </c>
      <c r="CU891" s="4">
        <v>600</v>
      </c>
      <c r="DO891" s="4">
        <v>3</v>
      </c>
      <c r="FA891" s="4">
        <v>134.11</v>
      </c>
      <c r="FH891" s="1">
        <v>59.67</v>
      </c>
    </row>
    <row r="892" customHeight="1" spans="1:164">
      <c r="A892" s="28">
        <v>24</v>
      </c>
      <c r="B892" s="4" t="s">
        <v>866</v>
      </c>
      <c r="C892" s="5" t="s">
        <v>874</v>
      </c>
      <c r="D892" s="4" t="s">
        <v>300</v>
      </c>
      <c r="E892" s="4" t="s">
        <v>868</v>
      </c>
      <c r="N892" s="4" t="s">
        <v>14</v>
      </c>
      <c r="O892" s="4" t="s">
        <v>343</v>
      </c>
      <c r="P892" s="4">
        <v>2</v>
      </c>
      <c r="Q892" s="4" t="s">
        <v>539</v>
      </c>
      <c r="T892" s="4">
        <v>200</v>
      </c>
      <c r="AC892" s="4" t="s">
        <v>870</v>
      </c>
      <c r="AD892" s="4" t="s">
        <v>871</v>
      </c>
      <c r="BI892" s="4" t="s">
        <v>309</v>
      </c>
      <c r="BN892" s="4">
        <v>5</v>
      </c>
      <c r="BS892" s="4">
        <v>7</v>
      </c>
      <c r="BT892" s="4">
        <v>7</v>
      </c>
      <c r="BV892" s="4">
        <v>1440</v>
      </c>
      <c r="BW892" s="4">
        <v>20</v>
      </c>
      <c r="CB892" s="4" t="s">
        <v>496</v>
      </c>
      <c r="CC892" s="4">
        <v>22476.48</v>
      </c>
      <c r="CR892" s="4" t="s">
        <v>873</v>
      </c>
      <c r="CU892" s="4">
        <v>600</v>
      </c>
      <c r="DO892" s="4">
        <v>3</v>
      </c>
      <c r="FA892" s="4">
        <v>130.36</v>
      </c>
      <c r="FH892" s="1">
        <v>58</v>
      </c>
    </row>
    <row r="893" customHeight="1" spans="1:164">
      <c r="A893" s="28">
        <v>24</v>
      </c>
      <c r="B893" s="4" t="s">
        <v>866</v>
      </c>
      <c r="C893" s="5" t="s">
        <v>874</v>
      </c>
      <c r="D893" s="4" t="s">
        <v>300</v>
      </c>
      <c r="E893" s="4" t="s">
        <v>868</v>
      </c>
      <c r="N893" s="4" t="s">
        <v>14</v>
      </c>
      <c r="O893" s="4" t="s">
        <v>343</v>
      </c>
      <c r="P893" s="4">
        <v>2</v>
      </c>
      <c r="Q893" s="4" t="s">
        <v>539</v>
      </c>
      <c r="T893" s="4">
        <v>200</v>
      </c>
      <c r="AC893" s="4" t="s">
        <v>870</v>
      </c>
      <c r="AD893" s="4" t="s">
        <v>871</v>
      </c>
      <c r="BI893" s="4" t="s">
        <v>309</v>
      </c>
      <c r="BN893" s="4">
        <v>5</v>
      </c>
      <c r="BS893" s="4">
        <v>7</v>
      </c>
      <c r="BT893" s="4">
        <v>7</v>
      </c>
      <c r="BV893" s="4">
        <v>1440</v>
      </c>
      <c r="BW893" s="4">
        <v>20</v>
      </c>
      <c r="CB893" s="4" t="s">
        <v>496</v>
      </c>
      <c r="CC893" s="4">
        <v>22476.48</v>
      </c>
      <c r="CR893" s="4" t="s">
        <v>541</v>
      </c>
      <c r="CU893" s="4">
        <v>600</v>
      </c>
      <c r="DO893" s="4">
        <v>3</v>
      </c>
      <c r="FA893" s="4">
        <v>127.37</v>
      </c>
      <c r="FH893" s="1">
        <v>56.67</v>
      </c>
    </row>
    <row r="894" customHeight="1" spans="1:164">
      <c r="A894" s="28">
        <v>24</v>
      </c>
      <c r="B894" s="4" t="s">
        <v>866</v>
      </c>
      <c r="C894" s="5" t="s">
        <v>874</v>
      </c>
      <c r="D894" s="4" t="s">
        <v>300</v>
      </c>
      <c r="E894" s="4" t="s">
        <v>868</v>
      </c>
      <c r="N894" s="4" t="s">
        <v>14</v>
      </c>
      <c r="O894" s="4" t="s">
        <v>343</v>
      </c>
      <c r="P894" s="4">
        <v>2</v>
      </c>
      <c r="Q894" s="4" t="s">
        <v>539</v>
      </c>
      <c r="T894" s="4">
        <v>200</v>
      </c>
      <c r="AC894" s="4" t="s">
        <v>870</v>
      </c>
      <c r="AD894" s="4" t="s">
        <v>871</v>
      </c>
      <c r="BI894" s="4" t="s">
        <v>309</v>
      </c>
      <c r="BN894" s="4">
        <v>5</v>
      </c>
      <c r="BS894" s="4">
        <v>7</v>
      </c>
      <c r="BT894" s="4">
        <v>7</v>
      </c>
      <c r="BV894" s="4">
        <v>1440</v>
      </c>
      <c r="BW894" s="4">
        <v>20</v>
      </c>
      <c r="CB894" s="4" t="s">
        <v>496</v>
      </c>
      <c r="CC894" s="4">
        <v>22476.48</v>
      </c>
      <c r="CR894" s="4" t="s">
        <v>542</v>
      </c>
      <c r="CU894" s="4">
        <v>600</v>
      </c>
      <c r="DO894" s="4">
        <v>3</v>
      </c>
      <c r="FA894" s="4">
        <v>82.41</v>
      </c>
      <c r="FH894" s="1">
        <v>36.67</v>
      </c>
    </row>
    <row r="895" customHeight="1" spans="1:164">
      <c r="A895" s="28">
        <v>24</v>
      </c>
      <c r="B895" s="4" t="s">
        <v>866</v>
      </c>
      <c r="C895" s="5" t="s">
        <v>874</v>
      </c>
      <c r="D895" s="4" t="s">
        <v>300</v>
      </c>
      <c r="E895" s="4" t="s">
        <v>868</v>
      </c>
      <c r="N895" s="4" t="s">
        <v>14</v>
      </c>
      <c r="O895" s="4" t="s">
        <v>343</v>
      </c>
      <c r="P895" s="4">
        <v>2</v>
      </c>
      <c r="Q895" s="4" t="s">
        <v>539</v>
      </c>
      <c r="T895" s="4">
        <v>200</v>
      </c>
      <c r="AC895" s="4" t="s">
        <v>870</v>
      </c>
      <c r="AD895" s="4" t="s">
        <v>871</v>
      </c>
      <c r="BI895" s="4" t="s">
        <v>309</v>
      </c>
      <c r="BN895" s="4">
        <v>5</v>
      </c>
      <c r="BS895" s="4">
        <v>7</v>
      </c>
      <c r="BT895" s="4">
        <v>7</v>
      </c>
      <c r="BV895" s="4">
        <v>1440</v>
      </c>
      <c r="BW895" s="4">
        <v>20</v>
      </c>
      <c r="CB895" s="4" t="s">
        <v>496</v>
      </c>
      <c r="CC895" s="4">
        <v>22476.48</v>
      </c>
      <c r="CR895" s="4" t="s">
        <v>829</v>
      </c>
      <c r="CU895" s="4">
        <v>600</v>
      </c>
      <c r="DO895" s="4">
        <v>3</v>
      </c>
      <c r="FA895" s="4">
        <v>48.7</v>
      </c>
      <c r="FH895" s="1">
        <v>21.67</v>
      </c>
    </row>
    <row r="896" customHeight="1" spans="1:164">
      <c r="A896" s="28">
        <v>24</v>
      </c>
      <c r="B896" s="4" t="s">
        <v>866</v>
      </c>
      <c r="C896" s="5" t="s">
        <v>874</v>
      </c>
      <c r="D896" s="4" t="s">
        <v>300</v>
      </c>
      <c r="E896" s="4" t="s">
        <v>868</v>
      </c>
      <c r="N896" s="4" t="s">
        <v>14</v>
      </c>
      <c r="O896" s="4" t="s">
        <v>343</v>
      </c>
      <c r="P896" s="4">
        <v>2</v>
      </c>
      <c r="Q896" s="4" t="s">
        <v>539</v>
      </c>
      <c r="T896" s="4">
        <v>200</v>
      </c>
      <c r="AC896" s="4" t="s">
        <v>870</v>
      </c>
      <c r="AD896" s="4" t="s">
        <v>871</v>
      </c>
      <c r="BI896" s="4" t="s">
        <v>309</v>
      </c>
      <c r="BN896" s="4">
        <v>5</v>
      </c>
      <c r="BS896" s="4">
        <v>7</v>
      </c>
      <c r="BT896" s="4">
        <v>7</v>
      </c>
      <c r="BV896" s="4">
        <v>1440</v>
      </c>
      <c r="BW896" s="4">
        <v>20</v>
      </c>
      <c r="CB896" s="4" t="s">
        <v>496</v>
      </c>
      <c r="CC896" s="4">
        <v>22476.48</v>
      </c>
      <c r="CR896" s="4" t="s">
        <v>539</v>
      </c>
      <c r="CU896" s="4">
        <v>900</v>
      </c>
      <c r="DO896" s="4">
        <v>3</v>
      </c>
      <c r="FA896" s="4">
        <v>122.12</v>
      </c>
      <c r="FH896" s="1">
        <v>54.44</v>
      </c>
    </row>
    <row r="897" customHeight="1" spans="1:313">
      <c r="A897" s="28">
        <v>24</v>
      </c>
      <c r="B897" s="4" t="s">
        <v>866</v>
      </c>
      <c r="C897" s="5" t="s">
        <v>874</v>
      </c>
      <c r="D897" s="4" t="s">
        <v>300</v>
      </c>
      <c r="E897" s="4" t="s">
        <v>868</v>
      </c>
      <c r="N897" s="4" t="s">
        <v>14</v>
      </c>
      <c r="O897" s="4" t="s">
        <v>343</v>
      </c>
      <c r="P897" s="4">
        <v>2</v>
      </c>
      <c r="Q897" s="4" t="s">
        <v>539</v>
      </c>
      <c r="T897" s="4">
        <v>200</v>
      </c>
      <c r="AC897" s="4" t="s">
        <v>870</v>
      </c>
      <c r="AD897" s="4" t="s">
        <v>871</v>
      </c>
      <c r="BI897" s="4" t="s">
        <v>309</v>
      </c>
      <c r="BN897" s="4">
        <v>5</v>
      </c>
      <c r="BS897" s="4">
        <v>7</v>
      </c>
      <c r="BT897" s="4">
        <v>7</v>
      </c>
      <c r="BV897" s="4">
        <v>1440</v>
      </c>
      <c r="BW897" s="4">
        <v>20</v>
      </c>
      <c r="CB897" s="4" t="s">
        <v>496</v>
      </c>
      <c r="CC897" s="4">
        <v>22476.48</v>
      </c>
      <c r="CR897" s="4" t="s">
        <v>873</v>
      </c>
      <c r="CU897" s="4">
        <v>900</v>
      </c>
      <c r="DO897" s="4">
        <v>3</v>
      </c>
      <c r="FA897" s="4">
        <v>119.13</v>
      </c>
      <c r="FH897" s="1">
        <v>53</v>
      </c>
    </row>
    <row r="898" customHeight="1" spans="1:313">
      <c r="A898" s="28">
        <v>24</v>
      </c>
      <c r="B898" s="4" t="s">
        <v>866</v>
      </c>
      <c r="C898" s="5" t="s">
        <v>874</v>
      </c>
      <c r="D898" s="4" t="s">
        <v>300</v>
      </c>
      <c r="E898" s="4" t="s">
        <v>868</v>
      </c>
      <c r="N898" s="4" t="s">
        <v>14</v>
      </c>
      <c r="O898" s="4" t="s">
        <v>343</v>
      </c>
      <c r="P898" s="4">
        <v>2</v>
      </c>
      <c r="Q898" s="4" t="s">
        <v>539</v>
      </c>
      <c r="T898" s="4">
        <v>200</v>
      </c>
      <c r="AC898" s="4" t="s">
        <v>870</v>
      </c>
      <c r="AD898" s="4" t="s">
        <v>871</v>
      </c>
      <c r="BI898" s="4" t="s">
        <v>309</v>
      </c>
      <c r="BN898" s="4">
        <v>5</v>
      </c>
      <c r="BS898" s="4">
        <v>7</v>
      </c>
      <c r="BT898" s="4">
        <v>7</v>
      </c>
      <c r="BV898" s="4">
        <v>1440</v>
      </c>
      <c r="BW898" s="4">
        <v>20</v>
      </c>
      <c r="CB898" s="4" t="s">
        <v>496</v>
      </c>
      <c r="CC898" s="4">
        <v>22476.48</v>
      </c>
      <c r="CR898" s="4" t="s">
        <v>541</v>
      </c>
      <c r="CU898" s="4">
        <v>900</v>
      </c>
      <c r="DO898" s="4">
        <v>3</v>
      </c>
      <c r="FA898" s="4">
        <v>113.88</v>
      </c>
      <c r="FH898" s="1">
        <v>50.67</v>
      </c>
    </row>
    <row r="899" customHeight="1" spans="1:313">
      <c r="A899" s="28">
        <v>24</v>
      </c>
      <c r="B899" s="4" t="s">
        <v>866</v>
      </c>
      <c r="C899" s="5" t="s">
        <v>874</v>
      </c>
      <c r="D899" s="4" t="s">
        <v>300</v>
      </c>
      <c r="E899" s="4" t="s">
        <v>868</v>
      </c>
      <c r="N899" s="4" t="s">
        <v>14</v>
      </c>
      <c r="O899" s="4" t="s">
        <v>343</v>
      </c>
      <c r="P899" s="4">
        <v>2</v>
      </c>
      <c r="Q899" s="4" t="s">
        <v>539</v>
      </c>
      <c r="T899" s="4">
        <v>200</v>
      </c>
      <c r="AC899" s="4" t="s">
        <v>870</v>
      </c>
      <c r="AD899" s="4" t="s">
        <v>871</v>
      </c>
      <c r="BI899" s="4" t="s">
        <v>309</v>
      </c>
      <c r="BN899" s="4">
        <v>5</v>
      </c>
      <c r="BS899" s="4">
        <v>7</v>
      </c>
      <c r="BT899" s="4">
        <v>7</v>
      </c>
      <c r="BV899" s="4">
        <v>1440</v>
      </c>
      <c r="BW899" s="4">
        <v>20</v>
      </c>
      <c r="CB899" s="4" t="s">
        <v>496</v>
      </c>
      <c r="CC899" s="4">
        <v>22476.48</v>
      </c>
      <c r="CR899" s="4" t="s">
        <v>542</v>
      </c>
      <c r="CU899" s="4">
        <v>900</v>
      </c>
      <c r="DO899" s="4">
        <v>3</v>
      </c>
      <c r="FA899" s="4">
        <v>56.94</v>
      </c>
      <c r="FH899" s="1">
        <v>25.33</v>
      </c>
    </row>
    <row r="900" customHeight="1" spans="1:313">
      <c r="A900" s="28">
        <v>24</v>
      </c>
      <c r="B900" s="4" t="s">
        <v>866</v>
      </c>
      <c r="C900" s="5" t="s">
        <v>874</v>
      </c>
      <c r="D900" s="4" t="s">
        <v>300</v>
      </c>
      <c r="E900" s="4" t="s">
        <v>868</v>
      </c>
      <c r="N900" s="4" t="s">
        <v>14</v>
      </c>
      <c r="O900" s="4" t="s">
        <v>343</v>
      </c>
      <c r="P900" s="4">
        <v>2</v>
      </c>
      <c r="Q900" s="4" t="s">
        <v>539</v>
      </c>
      <c r="T900" s="4">
        <v>200</v>
      </c>
      <c r="AC900" s="4" t="s">
        <v>870</v>
      </c>
      <c r="AD900" s="4" t="s">
        <v>871</v>
      </c>
      <c r="BI900" s="4" t="s">
        <v>309</v>
      </c>
      <c r="BN900" s="4">
        <v>5</v>
      </c>
      <c r="BS900" s="4">
        <v>7</v>
      </c>
      <c r="BT900" s="4">
        <v>7</v>
      </c>
      <c r="BV900" s="4">
        <v>1440</v>
      </c>
      <c r="BW900" s="4">
        <v>20</v>
      </c>
      <c r="CB900" s="4" t="s">
        <v>496</v>
      </c>
      <c r="CC900" s="4">
        <v>22476.48</v>
      </c>
      <c r="CR900" s="4" t="s">
        <v>829</v>
      </c>
      <c r="CU900" s="4">
        <v>900</v>
      </c>
      <c r="DO900" s="4">
        <v>3</v>
      </c>
      <c r="FA900" s="4">
        <v>23.97</v>
      </c>
      <c r="FH900" s="1">
        <v>10.67</v>
      </c>
    </row>
    <row r="901" customHeight="1" spans="1:313">
      <c r="A901" s="16">
        <v>25</v>
      </c>
      <c r="B901" s="4" t="s">
        <v>875</v>
      </c>
      <c r="C901" s="5" t="s">
        <v>876</v>
      </c>
      <c r="DO901" s="4">
        <v>3</v>
      </c>
    </row>
    <row r="902" customHeight="1" spans="1:313">
      <c r="A902" s="38">
        <v>26</v>
      </c>
      <c r="B902" s="4" t="s">
        <v>877</v>
      </c>
      <c r="C902" s="5" t="s">
        <v>341</v>
      </c>
      <c r="D902" s="4" t="s">
        <v>300</v>
      </c>
      <c r="E902" s="4" t="s">
        <v>878</v>
      </c>
      <c r="N902" s="4" t="s">
        <v>536</v>
      </c>
      <c r="O902" s="4" t="s">
        <v>343</v>
      </c>
      <c r="Q902" s="4" t="s">
        <v>540</v>
      </c>
      <c r="AC902" s="4" t="s">
        <v>879</v>
      </c>
      <c r="BI902" s="4" t="s">
        <v>309</v>
      </c>
      <c r="BN902" s="4">
        <v>0.2</v>
      </c>
      <c r="BV902" s="4">
        <v>20</v>
      </c>
      <c r="BW902" s="4">
        <v>28</v>
      </c>
      <c r="CB902" s="4" t="s">
        <v>457</v>
      </c>
      <c r="CC902" s="4">
        <v>15</v>
      </c>
      <c r="CV902" s="4">
        <v>5</v>
      </c>
      <c r="DO902" s="4">
        <v>3</v>
      </c>
      <c r="EA902" s="4">
        <v>99.9</v>
      </c>
      <c r="EB902" s="36">
        <v>3.23</v>
      </c>
      <c r="EC902" s="36"/>
      <c r="ED902" s="4">
        <v>99.9</v>
      </c>
      <c r="KZ902" s="1" t="s">
        <v>458</v>
      </c>
      <c r="LA902" s="1" t="s">
        <v>880</v>
      </c>
    </row>
    <row r="903" customHeight="1" spans="1:313">
      <c r="A903" s="38">
        <v>26</v>
      </c>
      <c r="B903" s="4" t="s">
        <v>877</v>
      </c>
      <c r="C903" s="5" t="s">
        <v>341</v>
      </c>
      <c r="D903" s="4" t="s">
        <v>300</v>
      </c>
      <c r="E903" s="4" t="s">
        <v>878</v>
      </c>
      <c r="N903" s="4" t="s">
        <v>536</v>
      </c>
      <c r="O903" s="4" t="s">
        <v>343</v>
      </c>
      <c r="Q903" s="4" t="s">
        <v>540</v>
      </c>
      <c r="AC903" s="4" t="s">
        <v>879</v>
      </c>
      <c r="BI903" s="4" t="s">
        <v>309</v>
      </c>
      <c r="BN903" s="4">
        <v>0.2</v>
      </c>
      <c r="BV903" s="4">
        <v>20</v>
      </c>
      <c r="BW903" s="4">
        <v>28</v>
      </c>
      <c r="CB903" s="4" t="s">
        <v>457</v>
      </c>
      <c r="CC903" s="4">
        <v>30</v>
      </c>
      <c r="CV903" s="4">
        <v>5</v>
      </c>
      <c r="DO903" s="4">
        <v>3</v>
      </c>
      <c r="EA903" s="4">
        <v>99.9</v>
      </c>
      <c r="EB903" s="36">
        <v>4.03</v>
      </c>
      <c r="EC903" s="36"/>
      <c r="ED903" s="4">
        <v>99.9</v>
      </c>
    </row>
    <row r="904" customHeight="1" spans="1:313">
      <c r="A904" s="38">
        <v>26</v>
      </c>
      <c r="B904" s="4" t="s">
        <v>877</v>
      </c>
      <c r="C904" s="5" t="s">
        <v>341</v>
      </c>
      <c r="D904" s="4" t="s">
        <v>300</v>
      </c>
      <c r="E904" s="4" t="s">
        <v>878</v>
      </c>
      <c r="N904" s="4" t="s">
        <v>536</v>
      </c>
      <c r="O904" s="4" t="s">
        <v>343</v>
      </c>
      <c r="Q904" s="4" t="s">
        <v>540</v>
      </c>
      <c r="AC904" s="4" t="s">
        <v>879</v>
      </c>
      <c r="BI904" s="4" t="s">
        <v>309</v>
      </c>
      <c r="BN904" s="4">
        <v>0.2</v>
      </c>
      <c r="BV904" s="4">
        <v>20</v>
      </c>
      <c r="BW904" s="4">
        <v>28</v>
      </c>
      <c r="CB904" s="4" t="s">
        <v>457</v>
      </c>
      <c r="CC904" s="4">
        <v>60</v>
      </c>
      <c r="CV904" s="4">
        <v>5</v>
      </c>
      <c r="DO904" s="4">
        <v>3</v>
      </c>
      <c r="EA904" s="4">
        <v>99.9</v>
      </c>
      <c r="EB904" s="36">
        <v>3.76</v>
      </c>
      <c r="EC904" s="36"/>
      <c r="ED904" s="4">
        <v>99.9</v>
      </c>
    </row>
    <row r="905" customHeight="1" spans="1:313">
      <c r="A905" s="38">
        <v>26</v>
      </c>
      <c r="B905" s="4" t="s">
        <v>877</v>
      </c>
      <c r="C905" s="5" t="s">
        <v>341</v>
      </c>
      <c r="D905" s="4" t="s">
        <v>300</v>
      </c>
      <c r="E905" s="4" t="s">
        <v>878</v>
      </c>
      <c r="N905" s="4" t="s">
        <v>536</v>
      </c>
      <c r="O905" s="4" t="s">
        <v>343</v>
      </c>
      <c r="Q905" s="4" t="s">
        <v>540</v>
      </c>
      <c r="AC905" s="4" t="s">
        <v>879</v>
      </c>
      <c r="BI905" s="4" t="s">
        <v>309</v>
      </c>
      <c r="BN905" s="4">
        <v>0.2</v>
      </c>
      <c r="BV905" s="4">
        <v>20</v>
      </c>
      <c r="BW905" s="4">
        <v>28</v>
      </c>
      <c r="CB905" s="4" t="s">
        <v>457</v>
      </c>
      <c r="CC905" s="4">
        <v>120</v>
      </c>
      <c r="CV905" s="4">
        <v>2</v>
      </c>
      <c r="DO905" s="4">
        <v>3</v>
      </c>
      <c r="EA905" s="4">
        <v>91.58</v>
      </c>
      <c r="EB905" s="36">
        <v>4.84</v>
      </c>
      <c r="EC905" s="36"/>
      <c r="ED905" s="4">
        <v>91.58</v>
      </c>
    </row>
    <row r="906" customHeight="1" spans="1:313">
      <c r="A906" s="38">
        <v>26</v>
      </c>
      <c r="B906" s="4" t="s">
        <v>877</v>
      </c>
      <c r="C906" s="5" t="s">
        <v>341</v>
      </c>
      <c r="D906" s="4" t="s">
        <v>300</v>
      </c>
      <c r="E906" s="4" t="s">
        <v>878</v>
      </c>
      <c r="N906" s="4" t="s">
        <v>536</v>
      </c>
      <c r="O906" s="4" t="s">
        <v>343</v>
      </c>
      <c r="Q906" s="4" t="s">
        <v>540</v>
      </c>
      <c r="AC906" s="4" t="s">
        <v>879</v>
      </c>
      <c r="BI906" s="4" t="s">
        <v>309</v>
      </c>
      <c r="BN906" s="4">
        <v>0.2</v>
      </c>
      <c r="BV906" s="4">
        <v>20</v>
      </c>
      <c r="BW906" s="4">
        <v>28</v>
      </c>
      <c r="CB906" s="4" t="s">
        <v>457</v>
      </c>
      <c r="CC906" s="4">
        <v>15</v>
      </c>
      <c r="DD906" s="4">
        <v>73</v>
      </c>
      <c r="DO906" s="4">
        <v>3</v>
      </c>
      <c r="DW906" s="1">
        <v>74.32</v>
      </c>
      <c r="DX906" s="1">
        <v>20.13</v>
      </c>
      <c r="EC906" s="1">
        <f t="shared" ref="EC906:EC911" si="23">DW906*0.2/CC906*100</f>
        <v>99.0933333333333</v>
      </c>
      <c r="ED906" s="1">
        <v>99.0933333333333</v>
      </c>
    </row>
    <row r="907" customHeight="1" spans="1:313">
      <c r="A907" s="38">
        <v>26</v>
      </c>
      <c r="B907" s="4" t="s">
        <v>877</v>
      </c>
      <c r="C907" s="5" t="s">
        <v>341</v>
      </c>
      <c r="D907" s="4" t="s">
        <v>300</v>
      </c>
      <c r="E907" s="4" t="s">
        <v>878</v>
      </c>
      <c r="N907" s="4" t="s">
        <v>536</v>
      </c>
      <c r="O907" s="4" t="s">
        <v>343</v>
      </c>
      <c r="Q907" s="4" t="s">
        <v>540</v>
      </c>
      <c r="AC907" s="4" t="s">
        <v>879</v>
      </c>
      <c r="BI907" s="4" t="s">
        <v>309</v>
      </c>
      <c r="BN907" s="4">
        <v>0.2</v>
      </c>
      <c r="BV907" s="4">
        <v>20</v>
      </c>
      <c r="BW907" s="4">
        <v>28</v>
      </c>
      <c r="CB907" s="4" t="s">
        <v>457</v>
      </c>
      <c r="CC907" s="4">
        <v>30</v>
      </c>
      <c r="DD907" s="4">
        <v>148</v>
      </c>
      <c r="DO907" s="4">
        <v>3</v>
      </c>
      <c r="DW907" s="1">
        <v>147.87</v>
      </c>
      <c r="DX907" s="1">
        <v>20.9</v>
      </c>
      <c r="EC907" s="1">
        <f t="shared" si="23"/>
        <v>98.58</v>
      </c>
      <c r="ED907" s="1">
        <v>98.58</v>
      </c>
    </row>
    <row r="908" customHeight="1" spans="1:313">
      <c r="A908" s="38">
        <v>26</v>
      </c>
      <c r="B908" s="4" t="s">
        <v>877</v>
      </c>
      <c r="C908" s="5" t="s">
        <v>341</v>
      </c>
      <c r="D908" s="4" t="s">
        <v>300</v>
      </c>
      <c r="E908" s="4" t="s">
        <v>878</v>
      </c>
      <c r="N908" s="4" t="s">
        <v>536</v>
      </c>
      <c r="O908" s="4" t="s">
        <v>343</v>
      </c>
      <c r="Q908" s="4" t="s">
        <v>540</v>
      </c>
      <c r="AC908" s="4" t="s">
        <v>879</v>
      </c>
      <c r="BI908" s="4" t="s">
        <v>309</v>
      </c>
      <c r="BN908" s="4">
        <v>0.2</v>
      </c>
      <c r="BV908" s="4">
        <v>20</v>
      </c>
      <c r="BW908" s="4">
        <v>28</v>
      </c>
      <c r="CB908" s="4" t="s">
        <v>457</v>
      </c>
      <c r="CC908" s="4">
        <v>60</v>
      </c>
      <c r="DD908" s="4">
        <v>298</v>
      </c>
      <c r="DO908" s="4">
        <v>3</v>
      </c>
      <c r="DW908" s="1">
        <v>297.29</v>
      </c>
      <c r="DX908" s="1">
        <v>21.68</v>
      </c>
      <c r="EC908" s="1">
        <f t="shared" si="23"/>
        <v>99.0966666666667</v>
      </c>
      <c r="ED908" s="1">
        <v>99.0966666666667</v>
      </c>
    </row>
    <row r="909" customHeight="1" spans="1:313">
      <c r="A909" s="38">
        <v>26</v>
      </c>
      <c r="B909" s="4" t="s">
        <v>877</v>
      </c>
      <c r="C909" s="5" t="s">
        <v>341</v>
      </c>
      <c r="D909" s="4" t="s">
        <v>300</v>
      </c>
      <c r="E909" s="4" t="s">
        <v>878</v>
      </c>
      <c r="N909" s="4" t="s">
        <v>536</v>
      </c>
      <c r="O909" s="4" t="s">
        <v>343</v>
      </c>
      <c r="Q909" s="4" t="s">
        <v>540</v>
      </c>
      <c r="AC909" s="4" t="s">
        <v>879</v>
      </c>
      <c r="BI909" s="4" t="s">
        <v>309</v>
      </c>
      <c r="BN909" s="4">
        <v>0.2</v>
      </c>
      <c r="BV909" s="4">
        <v>20</v>
      </c>
      <c r="BW909" s="4">
        <v>28</v>
      </c>
      <c r="CB909" s="4" t="s">
        <v>457</v>
      </c>
      <c r="CC909" s="4">
        <v>120</v>
      </c>
      <c r="DD909" s="4">
        <v>548</v>
      </c>
      <c r="DO909" s="4">
        <v>3</v>
      </c>
      <c r="DW909" s="1">
        <v>545.81</v>
      </c>
      <c r="DX909" s="1">
        <v>23.23</v>
      </c>
      <c r="EC909" s="1">
        <f t="shared" si="23"/>
        <v>90.9683333333333</v>
      </c>
      <c r="ED909" s="1">
        <v>90.9683333333333</v>
      </c>
    </row>
    <row r="910" customHeight="1" spans="1:313">
      <c r="A910" s="38">
        <v>26</v>
      </c>
      <c r="B910" s="4" t="s">
        <v>877</v>
      </c>
      <c r="C910" s="5" t="s">
        <v>341</v>
      </c>
      <c r="D910" s="4" t="s">
        <v>300</v>
      </c>
      <c r="E910" s="4" t="s">
        <v>878</v>
      </c>
      <c r="N910" s="4" t="s">
        <v>536</v>
      </c>
      <c r="O910" s="4" t="s">
        <v>343</v>
      </c>
      <c r="Q910" s="4" t="s">
        <v>540</v>
      </c>
      <c r="AC910" s="4" t="s">
        <v>879</v>
      </c>
      <c r="BI910" s="4" t="s">
        <v>309</v>
      </c>
      <c r="BN910" s="4">
        <v>0.2</v>
      </c>
      <c r="BV910" s="4">
        <v>20</v>
      </c>
      <c r="BW910" s="4">
        <v>28</v>
      </c>
      <c r="CB910" s="4" t="s">
        <v>457</v>
      </c>
      <c r="CC910" s="4">
        <v>240</v>
      </c>
      <c r="DD910" s="4">
        <v>574</v>
      </c>
      <c r="DO910" s="4">
        <v>3</v>
      </c>
      <c r="DW910" s="1">
        <v>573.68</v>
      </c>
      <c r="DX910" s="1">
        <v>23.23</v>
      </c>
      <c r="EC910" s="1">
        <f t="shared" si="23"/>
        <v>47.8066666666667</v>
      </c>
      <c r="ED910" s="1">
        <v>47.8066666666667</v>
      </c>
    </row>
    <row r="911" customHeight="1" spans="1:313">
      <c r="A911" s="38">
        <v>26</v>
      </c>
      <c r="B911" s="4" t="s">
        <v>877</v>
      </c>
      <c r="C911" s="5" t="s">
        <v>341</v>
      </c>
      <c r="D911" s="4" t="s">
        <v>300</v>
      </c>
      <c r="E911" s="4" t="s">
        <v>878</v>
      </c>
      <c r="N911" s="4" t="s">
        <v>536</v>
      </c>
      <c r="O911" s="4" t="s">
        <v>343</v>
      </c>
      <c r="Q911" s="4" t="s">
        <v>540</v>
      </c>
      <c r="AC911" s="4" t="s">
        <v>879</v>
      </c>
      <c r="BI911" s="4" t="s">
        <v>309</v>
      </c>
      <c r="BN911" s="4">
        <v>0.2</v>
      </c>
      <c r="BV911" s="4">
        <v>20</v>
      </c>
      <c r="BW911" s="4">
        <v>28</v>
      </c>
      <c r="CB911" s="4" t="s">
        <v>457</v>
      </c>
      <c r="CC911" s="4">
        <v>480</v>
      </c>
      <c r="DD911" s="4">
        <v>592</v>
      </c>
      <c r="DO911" s="4">
        <v>3</v>
      </c>
      <c r="DW911" s="1">
        <v>590.71</v>
      </c>
      <c r="DX911" s="1">
        <v>25.55</v>
      </c>
      <c r="EC911" s="1">
        <f t="shared" si="23"/>
        <v>24.6129166666667</v>
      </c>
      <c r="ED911" s="1">
        <v>24.6129166666667</v>
      </c>
    </row>
    <row r="912" customHeight="1" spans="1:313">
      <c r="A912" s="38">
        <v>26</v>
      </c>
      <c r="B912" s="4" t="s">
        <v>877</v>
      </c>
      <c r="C912" s="5" t="s">
        <v>341</v>
      </c>
      <c r="D912" s="4" t="s">
        <v>300</v>
      </c>
      <c r="E912" s="4" t="s">
        <v>878</v>
      </c>
      <c r="N912" s="4" t="s">
        <v>536</v>
      </c>
      <c r="O912" s="4" t="s">
        <v>343</v>
      </c>
      <c r="Q912" s="4" t="s">
        <v>540</v>
      </c>
      <c r="AC912" s="4" t="s">
        <v>879</v>
      </c>
      <c r="BI912" s="4" t="s">
        <v>309</v>
      </c>
      <c r="BN912" s="4">
        <v>0.2</v>
      </c>
      <c r="BV912" s="4">
        <v>20</v>
      </c>
      <c r="BW912" s="4">
        <v>28</v>
      </c>
      <c r="CB912" s="4" t="s">
        <v>457</v>
      </c>
      <c r="CC912" s="4">
        <v>120</v>
      </c>
      <c r="CR912" s="4" t="s">
        <v>512</v>
      </c>
      <c r="CS912" s="4">
        <v>0</v>
      </c>
      <c r="DO912" s="4">
        <v>3</v>
      </c>
      <c r="EA912" s="1">
        <v>91.5</v>
      </c>
      <c r="EB912" s="1">
        <v>4.72</v>
      </c>
      <c r="ED912" s="1">
        <v>91.5</v>
      </c>
    </row>
    <row r="913" customHeight="1" spans="1:278">
      <c r="A913" s="38">
        <v>26</v>
      </c>
      <c r="B913" s="4" t="s">
        <v>877</v>
      </c>
      <c r="C913" s="5" t="s">
        <v>341</v>
      </c>
      <c r="D913" s="4" t="s">
        <v>300</v>
      </c>
      <c r="E913" s="4" t="s">
        <v>878</v>
      </c>
      <c r="N913" s="4" t="s">
        <v>536</v>
      </c>
      <c r="O913" s="4" t="s">
        <v>343</v>
      </c>
      <c r="Q913" s="4" t="s">
        <v>540</v>
      </c>
      <c r="AC913" s="4" t="s">
        <v>879</v>
      </c>
      <c r="BI913" s="4" t="s">
        <v>309</v>
      </c>
      <c r="BN913" s="4">
        <v>0.2</v>
      </c>
      <c r="BV913" s="4">
        <v>20</v>
      </c>
      <c r="BW913" s="4">
        <v>28</v>
      </c>
      <c r="CB913" s="4" t="s">
        <v>457</v>
      </c>
      <c r="CC913" s="4">
        <v>120</v>
      </c>
      <c r="CR913" s="4" t="s">
        <v>539</v>
      </c>
      <c r="CS913" s="4">
        <v>12000</v>
      </c>
      <c r="DO913" s="4">
        <v>3</v>
      </c>
      <c r="EA913" s="4">
        <v>89.2</v>
      </c>
      <c r="EB913" s="1">
        <v>5.34</v>
      </c>
      <c r="ED913" s="4">
        <v>89.2</v>
      </c>
    </row>
    <row r="914" customHeight="1" spans="1:278">
      <c r="A914" s="38">
        <v>26</v>
      </c>
      <c r="B914" s="4" t="s">
        <v>877</v>
      </c>
      <c r="C914" s="5" t="s">
        <v>341</v>
      </c>
      <c r="D914" s="4" t="s">
        <v>300</v>
      </c>
      <c r="E914" s="4" t="s">
        <v>878</v>
      </c>
      <c r="N914" s="4" t="s">
        <v>536</v>
      </c>
      <c r="O914" s="4" t="s">
        <v>343</v>
      </c>
      <c r="Q914" s="4" t="s">
        <v>540</v>
      </c>
      <c r="AC914" s="4" t="s">
        <v>879</v>
      </c>
      <c r="BI914" s="4" t="s">
        <v>309</v>
      </c>
      <c r="BN914" s="4">
        <v>0.2</v>
      </c>
      <c r="BV914" s="4">
        <v>20</v>
      </c>
      <c r="BW914" s="4">
        <v>28</v>
      </c>
      <c r="CB914" s="4" t="s">
        <v>457</v>
      </c>
      <c r="CC914" s="4">
        <v>120</v>
      </c>
      <c r="CR914" s="4" t="s">
        <v>540</v>
      </c>
      <c r="CS914" s="4">
        <v>12000</v>
      </c>
      <c r="DO914" s="4">
        <v>3</v>
      </c>
      <c r="EA914" s="4">
        <v>97.6</v>
      </c>
      <c r="EB914" s="1">
        <v>5.54</v>
      </c>
      <c r="ED914" s="4">
        <v>97.6</v>
      </c>
    </row>
    <row r="915" customHeight="1" spans="1:278">
      <c r="A915" s="38">
        <v>26</v>
      </c>
      <c r="B915" s="4" t="s">
        <v>877</v>
      </c>
      <c r="C915" s="5" t="s">
        <v>341</v>
      </c>
      <c r="D915" s="4" t="s">
        <v>300</v>
      </c>
      <c r="E915" s="4" t="s">
        <v>878</v>
      </c>
      <c r="N915" s="4" t="s">
        <v>536</v>
      </c>
      <c r="O915" s="4" t="s">
        <v>343</v>
      </c>
      <c r="Q915" s="4" t="s">
        <v>540</v>
      </c>
      <c r="AC915" s="4" t="s">
        <v>879</v>
      </c>
      <c r="BI915" s="4" t="s">
        <v>309</v>
      </c>
      <c r="BN915" s="4">
        <v>0.2</v>
      </c>
      <c r="BV915" s="4">
        <v>20</v>
      </c>
      <c r="BW915" s="4">
        <v>28</v>
      </c>
      <c r="CB915" s="4" t="s">
        <v>457</v>
      </c>
      <c r="CC915" s="4">
        <v>120</v>
      </c>
      <c r="CR915" s="4" t="s">
        <v>541</v>
      </c>
      <c r="CS915" s="4">
        <v>12000</v>
      </c>
      <c r="DO915" s="4">
        <v>3</v>
      </c>
      <c r="EA915" s="4">
        <v>97.2</v>
      </c>
      <c r="EB915" s="1">
        <v>5.13</v>
      </c>
      <c r="ED915" s="4">
        <v>97.2</v>
      </c>
    </row>
    <row r="916" customHeight="1" spans="1:278">
      <c r="A916" s="38">
        <v>26</v>
      </c>
      <c r="B916" s="4" t="s">
        <v>877</v>
      </c>
      <c r="C916" s="5" t="s">
        <v>341</v>
      </c>
      <c r="D916" s="4" t="s">
        <v>300</v>
      </c>
      <c r="E916" s="4" t="s">
        <v>878</v>
      </c>
      <c r="N916" s="4" t="s">
        <v>536</v>
      </c>
      <c r="O916" s="4" t="s">
        <v>343</v>
      </c>
      <c r="Q916" s="4" t="s">
        <v>540</v>
      </c>
      <c r="AC916" s="4" t="s">
        <v>879</v>
      </c>
      <c r="BI916" s="4" t="s">
        <v>309</v>
      </c>
      <c r="BN916" s="4">
        <v>0.2</v>
      </c>
      <c r="BV916" s="4">
        <v>20</v>
      </c>
      <c r="BW916" s="4">
        <v>28</v>
      </c>
      <c r="CB916" s="4" t="s">
        <v>457</v>
      </c>
      <c r="CC916" s="4">
        <v>120</v>
      </c>
      <c r="CR916" s="4" t="s">
        <v>538</v>
      </c>
      <c r="CS916" s="4">
        <v>1200</v>
      </c>
      <c r="DO916" s="4">
        <v>3</v>
      </c>
      <c r="EA916" s="4">
        <v>92.1</v>
      </c>
      <c r="EB916" s="1">
        <v>5.7</v>
      </c>
      <c r="ED916" s="4">
        <v>92.1</v>
      </c>
    </row>
    <row r="917" customHeight="1" spans="1:278">
      <c r="A917" s="38">
        <v>26</v>
      </c>
      <c r="B917" s="4" t="s">
        <v>877</v>
      </c>
      <c r="C917" s="5" t="s">
        <v>341</v>
      </c>
      <c r="D917" s="4" t="s">
        <v>300</v>
      </c>
      <c r="E917" s="4" t="s">
        <v>878</v>
      </c>
      <c r="N917" s="4" t="s">
        <v>536</v>
      </c>
      <c r="O917" s="4" t="s">
        <v>343</v>
      </c>
      <c r="Q917" s="4" t="s">
        <v>540</v>
      </c>
      <c r="AC917" s="4" t="s">
        <v>879</v>
      </c>
      <c r="BI917" s="4" t="s">
        <v>309</v>
      </c>
      <c r="BN917" s="4">
        <v>0.2</v>
      </c>
      <c r="BV917" s="4">
        <v>20</v>
      </c>
      <c r="BW917" s="4">
        <v>28</v>
      </c>
      <c r="CB917" s="4" t="s">
        <v>457</v>
      </c>
      <c r="CC917" s="4">
        <v>120</v>
      </c>
      <c r="CR917" s="4" t="s">
        <v>567</v>
      </c>
      <c r="CS917" s="4">
        <v>1200</v>
      </c>
      <c r="DO917" s="4">
        <v>3</v>
      </c>
      <c r="EA917" s="4">
        <v>90.2</v>
      </c>
      <c r="EB917" s="1">
        <v>5.7</v>
      </c>
      <c r="ED917" s="4">
        <v>90.2</v>
      </c>
    </row>
    <row r="918" customHeight="1" spans="1:278">
      <c r="A918" s="38">
        <v>26</v>
      </c>
      <c r="B918" s="4" t="s">
        <v>877</v>
      </c>
      <c r="C918" s="5" t="s">
        <v>341</v>
      </c>
      <c r="D918" s="4" t="s">
        <v>300</v>
      </c>
      <c r="E918" s="4" t="s">
        <v>878</v>
      </c>
      <c r="N918" s="4" t="s">
        <v>536</v>
      </c>
      <c r="O918" s="4" t="s">
        <v>343</v>
      </c>
      <c r="Q918" s="4" t="s">
        <v>540</v>
      </c>
      <c r="AC918" s="4" t="s">
        <v>879</v>
      </c>
      <c r="BI918" s="4" t="s">
        <v>309</v>
      </c>
      <c r="BN918" s="4">
        <v>0.2</v>
      </c>
      <c r="BV918" s="4">
        <v>20</v>
      </c>
      <c r="BW918" s="4">
        <v>28</v>
      </c>
      <c r="CB918" s="4" t="s">
        <v>457</v>
      </c>
      <c r="CC918" s="4">
        <v>120</v>
      </c>
      <c r="CR918" s="4" t="s">
        <v>661</v>
      </c>
      <c r="CS918" s="4">
        <v>1200</v>
      </c>
      <c r="DO918" s="4">
        <v>3</v>
      </c>
      <c r="EA918" s="4">
        <v>89.5</v>
      </c>
      <c r="EB918" s="1">
        <v>5.91</v>
      </c>
      <c r="ED918" s="4">
        <v>89.5</v>
      </c>
    </row>
    <row r="919" customHeight="1" spans="1:278">
      <c r="A919" s="38">
        <v>26</v>
      </c>
      <c r="B919" s="4" t="s">
        <v>877</v>
      </c>
      <c r="C919" s="5" t="s">
        <v>341</v>
      </c>
      <c r="D919" s="4" t="s">
        <v>300</v>
      </c>
      <c r="E919" s="4" t="s">
        <v>878</v>
      </c>
      <c r="N919" s="4" t="s">
        <v>536</v>
      </c>
      <c r="O919" s="4" t="s">
        <v>343</v>
      </c>
      <c r="Q919" s="4" t="s">
        <v>540</v>
      </c>
      <c r="AC919" s="4" t="s">
        <v>879</v>
      </c>
      <c r="AH919" s="4" t="s">
        <v>665</v>
      </c>
      <c r="AL919" s="4" t="s">
        <v>486</v>
      </c>
      <c r="BI919" s="4" t="s">
        <v>321</v>
      </c>
      <c r="BK919" s="4">
        <v>40</v>
      </c>
      <c r="BL919" s="4">
        <v>100</v>
      </c>
      <c r="BM919" s="4">
        <v>0</v>
      </c>
      <c r="BO919" s="4">
        <v>0</v>
      </c>
      <c r="BV919" s="4">
        <v>1440</v>
      </c>
      <c r="CB919" s="4" t="s">
        <v>457</v>
      </c>
      <c r="DO919" s="4">
        <v>3</v>
      </c>
      <c r="JJ919" s="1" t="s">
        <v>355</v>
      </c>
      <c r="JK919" s="1" t="s">
        <v>321</v>
      </c>
      <c r="JL919" s="1">
        <v>73.8</v>
      </c>
      <c r="JN919" s="1">
        <v>22.5</v>
      </c>
      <c r="JP919" s="1">
        <v>3.3</v>
      </c>
      <c r="JR919" s="1">
        <v>0.4</v>
      </c>
    </row>
    <row r="920" customHeight="1" spans="1:278">
      <c r="A920" s="38">
        <v>26</v>
      </c>
      <c r="B920" s="4" t="s">
        <v>877</v>
      </c>
      <c r="C920" s="5" t="s">
        <v>341</v>
      </c>
      <c r="D920" s="4" t="s">
        <v>300</v>
      </c>
      <c r="E920" s="4" t="s">
        <v>878</v>
      </c>
      <c r="N920" s="4" t="s">
        <v>536</v>
      </c>
      <c r="O920" s="4" t="s">
        <v>343</v>
      </c>
      <c r="Q920" s="4" t="s">
        <v>540</v>
      </c>
      <c r="AC920" s="4" t="s">
        <v>879</v>
      </c>
      <c r="BI920" s="4" t="s">
        <v>321</v>
      </c>
      <c r="BK920" s="4">
        <v>40</v>
      </c>
      <c r="BL920" s="4">
        <v>100</v>
      </c>
      <c r="BM920" s="4">
        <v>1</v>
      </c>
      <c r="BO920" s="4">
        <v>0.01</v>
      </c>
      <c r="BV920" s="4">
        <v>1440</v>
      </c>
      <c r="CB920" s="4" t="s">
        <v>457</v>
      </c>
      <c r="DO920" s="4">
        <v>3</v>
      </c>
      <c r="JJ920" s="1" t="s">
        <v>355</v>
      </c>
      <c r="JK920" s="1" t="s">
        <v>321</v>
      </c>
      <c r="JL920" s="1">
        <v>66.2</v>
      </c>
      <c r="JN920" s="1">
        <v>24.8</v>
      </c>
      <c r="JP920" s="1">
        <v>5.2</v>
      </c>
      <c r="JR920" s="1">
        <v>3.8</v>
      </c>
    </row>
    <row r="921" customHeight="1" spans="1:278">
      <c r="A921" s="38">
        <v>26</v>
      </c>
      <c r="B921" s="4" t="s">
        <v>877</v>
      </c>
      <c r="C921" s="5" t="s">
        <v>341</v>
      </c>
      <c r="D921" s="4" t="s">
        <v>300</v>
      </c>
      <c r="E921" s="4" t="s">
        <v>878</v>
      </c>
      <c r="N921" s="4" t="s">
        <v>536</v>
      </c>
      <c r="O921" s="4" t="s">
        <v>343</v>
      </c>
      <c r="Q921" s="4" t="s">
        <v>540</v>
      </c>
      <c r="AC921" s="4" t="s">
        <v>879</v>
      </c>
      <c r="BE921" s="4" t="s">
        <v>667</v>
      </c>
      <c r="BI921" s="4" t="s">
        <v>321</v>
      </c>
      <c r="BK921" s="4">
        <v>40</v>
      </c>
      <c r="BL921" s="4">
        <v>100</v>
      </c>
      <c r="BM921" s="4">
        <v>0</v>
      </c>
      <c r="BO921" s="4">
        <v>0</v>
      </c>
      <c r="BV921" s="4" t="s">
        <v>881</v>
      </c>
      <c r="CB921" s="4" t="s">
        <v>882</v>
      </c>
      <c r="DO921" s="4">
        <v>3</v>
      </c>
      <c r="DS921" s="4">
        <v>0.482</v>
      </c>
      <c r="EA921" s="4">
        <v>0</v>
      </c>
      <c r="ED921" s="4">
        <v>0</v>
      </c>
    </row>
    <row r="922" customHeight="1" spans="1:278">
      <c r="A922" s="38">
        <v>26</v>
      </c>
      <c r="B922" s="4" t="s">
        <v>877</v>
      </c>
      <c r="C922" s="5" t="s">
        <v>341</v>
      </c>
      <c r="D922" s="4" t="s">
        <v>300</v>
      </c>
      <c r="E922" s="4" t="s">
        <v>878</v>
      </c>
      <c r="N922" s="4" t="s">
        <v>536</v>
      </c>
      <c r="O922" s="4" t="s">
        <v>343</v>
      </c>
      <c r="Q922" s="4" t="s">
        <v>540</v>
      </c>
      <c r="AC922" s="4" t="s">
        <v>879</v>
      </c>
      <c r="BI922" s="4" t="s">
        <v>321</v>
      </c>
      <c r="BK922" s="4">
        <v>40</v>
      </c>
      <c r="BL922" s="4">
        <v>100</v>
      </c>
      <c r="BM922" s="4">
        <v>1</v>
      </c>
      <c r="BO922" s="4">
        <v>0.01</v>
      </c>
      <c r="BV922" s="4" t="s">
        <v>881</v>
      </c>
      <c r="CB922" s="4" t="s">
        <v>882</v>
      </c>
      <c r="DM922" s="4" t="s">
        <v>408</v>
      </c>
      <c r="DO922" s="4">
        <v>3</v>
      </c>
      <c r="DS922" s="4">
        <v>0.023</v>
      </c>
      <c r="EA922" s="4">
        <v>95.2</v>
      </c>
      <c r="EB922" s="36">
        <v>4.66</v>
      </c>
      <c r="EC922" s="36"/>
      <c r="ED922" s="4">
        <v>95.2</v>
      </c>
    </row>
    <row r="923" customHeight="1" spans="1:278">
      <c r="A923" s="38">
        <v>26</v>
      </c>
      <c r="B923" s="4" t="s">
        <v>877</v>
      </c>
      <c r="C923" s="5" t="s">
        <v>341</v>
      </c>
      <c r="D923" s="4" t="s">
        <v>300</v>
      </c>
      <c r="E923" s="4" t="s">
        <v>878</v>
      </c>
      <c r="N923" s="4" t="s">
        <v>536</v>
      </c>
      <c r="O923" s="4" t="s">
        <v>343</v>
      </c>
      <c r="Q923" s="4" t="s">
        <v>540</v>
      </c>
      <c r="AC923" s="4" t="s">
        <v>879</v>
      </c>
      <c r="BI923" s="4" t="s">
        <v>321</v>
      </c>
      <c r="BK923" s="4">
        <v>40</v>
      </c>
      <c r="BL923" s="4">
        <v>100</v>
      </c>
      <c r="BM923" s="4">
        <v>1</v>
      </c>
      <c r="BO923" s="4">
        <v>0.01</v>
      </c>
      <c r="BV923" s="4" t="s">
        <v>881</v>
      </c>
      <c r="CB923" s="4" t="s">
        <v>882</v>
      </c>
      <c r="DM923" s="4" t="s">
        <v>322</v>
      </c>
      <c r="DO923" s="4">
        <v>3</v>
      </c>
      <c r="DS923" s="4">
        <v>0.018</v>
      </c>
      <c r="EA923" s="4">
        <v>99.96</v>
      </c>
      <c r="EB923" s="36">
        <v>4.9</v>
      </c>
      <c r="EC923" s="36"/>
      <c r="ED923" s="4">
        <v>99.96</v>
      </c>
    </row>
    <row r="924" customHeight="1" spans="1:278">
      <c r="A924" s="38">
        <v>26</v>
      </c>
      <c r="B924" s="4" t="s">
        <v>877</v>
      </c>
      <c r="C924" s="5" t="s">
        <v>341</v>
      </c>
      <c r="D924" s="4" t="s">
        <v>300</v>
      </c>
      <c r="E924" s="4" t="s">
        <v>878</v>
      </c>
      <c r="N924" s="4" t="s">
        <v>536</v>
      </c>
      <c r="O924" s="4" t="s">
        <v>343</v>
      </c>
      <c r="Q924" s="4" t="s">
        <v>540</v>
      </c>
      <c r="AC924" s="4" t="s">
        <v>879</v>
      </c>
      <c r="BI924" s="4" t="s">
        <v>321</v>
      </c>
      <c r="BK924" s="4">
        <v>40</v>
      </c>
      <c r="BL924" s="4">
        <v>100</v>
      </c>
      <c r="BM924" s="4">
        <v>1</v>
      </c>
      <c r="BO924" s="4">
        <v>0.01</v>
      </c>
      <c r="BV924" s="4" t="s">
        <v>881</v>
      </c>
      <c r="CB924" s="4" t="s">
        <v>882</v>
      </c>
      <c r="DM924" s="4" t="s">
        <v>883</v>
      </c>
      <c r="DO924" s="4">
        <v>3</v>
      </c>
      <c r="DS924" s="4">
        <v>0.015</v>
      </c>
      <c r="EA924" s="4">
        <v>99.97</v>
      </c>
      <c r="EB924" s="36">
        <v>5.39</v>
      </c>
      <c r="EC924" s="36"/>
      <c r="ED924" s="4">
        <v>99.97</v>
      </c>
    </row>
    <row r="925" customHeight="1" spans="1:278">
      <c r="A925" s="38">
        <v>26</v>
      </c>
      <c r="B925" s="4" t="s">
        <v>877</v>
      </c>
      <c r="C925" s="5" t="s">
        <v>341</v>
      </c>
      <c r="D925" s="4" t="s">
        <v>300</v>
      </c>
      <c r="E925" s="4" t="s">
        <v>878</v>
      </c>
      <c r="N925" s="4" t="s">
        <v>536</v>
      </c>
      <c r="O925" s="4" t="s">
        <v>343</v>
      </c>
      <c r="Q925" s="4" t="s">
        <v>540</v>
      </c>
      <c r="AC925" s="4" t="s">
        <v>879</v>
      </c>
      <c r="BF925" s="4" t="s">
        <v>328</v>
      </c>
      <c r="BG925" s="4" t="s">
        <v>596</v>
      </c>
      <c r="BH925" s="4" t="s">
        <v>884</v>
      </c>
      <c r="BI925" s="4" t="s">
        <v>321</v>
      </c>
      <c r="DO925" s="4">
        <v>3</v>
      </c>
    </row>
    <row r="926" customHeight="1" spans="1:278">
      <c r="A926" s="38">
        <v>26</v>
      </c>
      <c r="B926" s="4" t="s">
        <v>877</v>
      </c>
      <c r="C926" s="5" t="s">
        <v>341</v>
      </c>
      <c r="D926" s="4" t="s">
        <v>300</v>
      </c>
      <c r="E926" s="4" t="s">
        <v>878</v>
      </c>
      <c r="N926" s="4" t="s">
        <v>536</v>
      </c>
      <c r="O926" s="4" t="s">
        <v>343</v>
      </c>
      <c r="Q926" s="4" t="s">
        <v>540</v>
      </c>
      <c r="AC926" s="4" t="s">
        <v>879</v>
      </c>
      <c r="BF926" s="4" t="s">
        <v>328</v>
      </c>
      <c r="BG926" s="4" t="s">
        <v>596</v>
      </c>
      <c r="BH926" s="4" t="s">
        <v>884</v>
      </c>
      <c r="BI926" s="4" t="s">
        <v>321</v>
      </c>
      <c r="DO926" s="4">
        <v>3</v>
      </c>
      <c r="GI926" s="4"/>
      <c r="GL926" s="4"/>
    </row>
    <row r="927" customHeight="1" spans="1:278">
      <c r="A927" s="16">
        <v>27</v>
      </c>
      <c r="B927" s="4" t="s">
        <v>885</v>
      </c>
      <c r="C927" s="5" t="s">
        <v>886</v>
      </c>
      <c r="D927" s="4" t="s">
        <v>529</v>
      </c>
      <c r="E927" s="4" t="s">
        <v>887</v>
      </c>
      <c r="H927" s="4" t="s">
        <v>328</v>
      </c>
      <c r="I927" s="4" t="s">
        <v>888</v>
      </c>
      <c r="N927" s="4" t="s">
        <v>567</v>
      </c>
      <c r="O927" s="4" t="s">
        <v>343</v>
      </c>
      <c r="Q927" s="4" t="s">
        <v>540</v>
      </c>
      <c r="AE927" s="4" t="s">
        <v>889</v>
      </c>
      <c r="AF927" s="4" t="s">
        <v>890</v>
      </c>
      <c r="AG927" s="4" t="s">
        <v>891</v>
      </c>
      <c r="AI927" s="4" t="s">
        <v>892</v>
      </c>
      <c r="AJ927" s="4" t="s">
        <v>893</v>
      </c>
      <c r="AK927" s="4" t="s">
        <v>894</v>
      </c>
      <c r="AL927" s="4" t="s">
        <v>689</v>
      </c>
      <c r="AQ927" s="4" t="s">
        <v>7</v>
      </c>
      <c r="AR927" s="4">
        <v>13</v>
      </c>
      <c r="AS927" s="4" t="s">
        <v>11</v>
      </c>
      <c r="AT927" s="4">
        <v>193.5</v>
      </c>
      <c r="BI927" s="4" t="s">
        <v>321</v>
      </c>
      <c r="BK927" s="4">
        <v>25</v>
      </c>
      <c r="BL927" s="4">
        <v>5</v>
      </c>
      <c r="BM927" s="4">
        <v>0</v>
      </c>
      <c r="BP927" s="4">
        <v>0</v>
      </c>
      <c r="BS927" s="4">
        <v>7</v>
      </c>
      <c r="BU927" s="4">
        <v>140</v>
      </c>
      <c r="BV927" s="4">
        <v>1440</v>
      </c>
      <c r="BX927" s="4">
        <v>20</v>
      </c>
      <c r="CB927" s="4" t="s">
        <v>7</v>
      </c>
      <c r="CC927" s="4">
        <v>13</v>
      </c>
      <c r="CE927" s="4" t="s">
        <v>11</v>
      </c>
      <c r="CF927" s="4">
        <v>193.5</v>
      </c>
      <c r="DO927" s="4">
        <v>3</v>
      </c>
    </row>
    <row r="928" customHeight="1" spans="1:278">
      <c r="A928" s="16">
        <v>27</v>
      </c>
      <c r="B928" s="4" t="s">
        <v>885</v>
      </c>
      <c r="C928" s="5" t="s">
        <v>886</v>
      </c>
      <c r="D928" s="4" t="s">
        <v>529</v>
      </c>
      <c r="E928" s="4" t="s">
        <v>887</v>
      </c>
      <c r="H928" s="4" t="s">
        <v>328</v>
      </c>
      <c r="I928" s="4" t="s">
        <v>888</v>
      </c>
      <c r="N928" s="4" t="s">
        <v>567</v>
      </c>
      <c r="O928" s="4" t="s">
        <v>343</v>
      </c>
      <c r="Q928" s="4" t="s">
        <v>540</v>
      </c>
      <c r="AE928" s="4" t="s">
        <v>889</v>
      </c>
      <c r="AF928" s="4" t="s">
        <v>890</v>
      </c>
      <c r="AG928" s="4" t="s">
        <v>891</v>
      </c>
      <c r="AI928" s="4" t="s">
        <v>892</v>
      </c>
      <c r="AJ928" s="4" t="s">
        <v>893</v>
      </c>
      <c r="AK928" s="4" t="s">
        <v>894</v>
      </c>
      <c r="AL928" s="4" t="s">
        <v>689</v>
      </c>
      <c r="AQ928" s="4" t="s">
        <v>7</v>
      </c>
      <c r="AR928" s="4">
        <v>13</v>
      </c>
      <c r="AS928" s="4" t="s">
        <v>11</v>
      </c>
      <c r="AT928" s="4">
        <v>193.5</v>
      </c>
      <c r="BI928" s="4" t="s">
        <v>321</v>
      </c>
      <c r="BK928" s="4">
        <v>25</v>
      </c>
      <c r="BL928" s="4">
        <v>5</v>
      </c>
      <c r="BM928" s="4">
        <v>0.025</v>
      </c>
      <c r="BP928" s="4">
        <v>0.5</v>
      </c>
      <c r="BS928" s="4">
        <v>7</v>
      </c>
      <c r="BU928" s="4">
        <v>140</v>
      </c>
      <c r="BV928" s="4">
        <v>1440</v>
      </c>
      <c r="BX928" s="4">
        <v>20</v>
      </c>
      <c r="CB928" s="4" t="s">
        <v>7</v>
      </c>
      <c r="CC928" s="4">
        <v>13</v>
      </c>
      <c r="CE928" s="4" t="s">
        <v>11</v>
      </c>
      <c r="CF928" s="4">
        <v>193.5</v>
      </c>
      <c r="DO928" s="4">
        <v>3</v>
      </c>
      <c r="EA928" s="4">
        <v>90.36</v>
      </c>
      <c r="EB928" s="36">
        <v>0.33</v>
      </c>
      <c r="EC928" s="36"/>
      <c r="ED928" s="4">
        <v>90.36</v>
      </c>
      <c r="GI928" s="4">
        <v>90.9</v>
      </c>
      <c r="GJ928" s="36">
        <v>0.46</v>
      </c>
      <c r="GK928" s="36"/>
      <c r="GL928" s="4">
        <v>90.9</v>
      </c>
    </row>
    <row r="929" customHeight="1" spans="1:194">
      <c r="A929" s="16">
        <v>27</v>
      </c>
      <c r="B929" s="4" t="s">
        <v>885</v>
      </c>
      <c r="C929" s="5" t="s">
        <v>886</v>
      </c>
      <c r="D929" s="4" t="s">
        <v>529</v>
      </c>
      <c r="E929" s="4" t="s">
        <v>887</v>
      </c>
      <c r="H929" s="4" t="s">
        <v>328</v>
      </c>
      <c r="I929" s="4" t="s">
        <v>888</v>
      </c>
      <c r="N929" s="4" t="s">
        <v>567</v>
      </c>
      <c r="O929" s="4" t="s">
        <v>343</v>
      </c>
      <c r="Q929" s="4" t="s">
        <v>540</v>
      </c>
      <c r="AE929" s="4" t="s">
        <v>889</v>
      </c>
      <c r="AF929" s="4" t="s">
        <v>890</v>
      </c>
      <c r="AG929" s="4" t="s">
        <v>891</v>
      </c>
      <c r="AI929" s="4" t="s">
        <v>892</v>
      </c>
      <c r="AJ929" s="4" t="s">
        <v>893</v>
      </c>
      <c r="AK929" s="4" t="s">
        <v>894</v>
      </c>
      <c r="AL929" s="4" t="s">
        <v>689</v>
      </c>
      <c r="AQ929" s="4" t="s">
        <v>7</v>
      </c>
      <c r="AR929" s="4">
        <v>13</v>
      </c>
      <c r="AS929" s="4" t="s">
        <v>11</v>
      </c>
      <c r="AT929" s="4">
        <v>193.5</v>
      </c>
      <c r="BI929" s="4" t="s">
        <v>321</v>
      </c>
      <c r="BK929" s="4">
        <v>25</v>
      </c>
      <c r="BL929" s="4">
        <v>5</v>
      </c>
      <c r="BM929" s="4">
        <v>0.05</v>
      </c>
      <c r="BP929" s="4">
        <v>1</v>
      </c>
      <c r="BS929" s="4">
        <v>7</v>
      </c>
      <c r="BU929" s="4">
        <v>140</v>
      </c>
      <c r="BV929" s="4">
        <v>1440</v>
      </c>
      <c r="BX929" s="4">
        <v>20</v>
      </c>
      <c r="CB929" s="4" t="s">
        <v>7</v>
      </c>
      <c r="CC929" s="4">
        <v>13</v>
      </c>
      <c r="CE929" s="4" t="s">
        <v>11</v>
      </c>
      <c r="CF929" s="4">
        <v>193.5</v>
      </c>
      <c r="DO929" s="4">
        <v>3</v>
      </c>
      <c r="EA929" s="4">
        <v>94.77</v>
      </c>
      <c r="EB929" s="36">
        <v>0.45</v>
      </c>
      <c r="EC929" s="36"/>
      <c r="ED929" s="4">
        <v>94.77</v>
      </c>
      <c r="GI929" s="4">
        <v>93.98</v>
      </c>
      <c r="GJ929" s="36">
        <v>0.33</v>
      </c>
      <c r="GK929" s="36"/>
      <c r="GL929" s="4">
        <v>93.98</v>
      </c>
    </row>
    <row r="930" customHeight="1" spans="1:194">
      <c r="A930" s="16">
        <v>27</v>
      </c>
      <c r="B930" s="4" t="s">
        <v>885</v>
      </c>
      <c r="C930" s="5" t="s">
        <v>886</v>
      </c>
      <c r="D930" s="4" t="s">
        <v>529</v>
      </c>
      <c r="E930" s="4" t="s">
        <v>887</v>
      </c>
      <c r="H930" s="4" t="s">
        <v>328</v>
      </c>
      <c r="I930" s="4" t="s">
        <v>888</v>
      </c>
      <c r="N930" s="4" t="s">
        <v>567</v>
      </c>
      <c r="O930" s="4" t="s">
        <v>343</v>
      </c>
      <c r="Q930" s="4" t="s">
        <v>540</v>
      </c>
      <c r="AE930" s="4" t="s">
        <v>889</v>
      </c>
      <c r="AF930" s="4" t="s">
        <v>890</v>
      </c>
      <c r="AG930" s="4" t="s">
        <v>891</v>
      </c>
      <c r="AI930" s="4" t="s">
        <v>892</v>
      </c>
      <c r="AJ930" s="4" t="s">
        <v>893</v>
      </c>
      <c r="AK930" s="4" t="s">
        <v>894</v>
      </c>
      <c r="AL930" s="4" t="s">
        <v>689</v>
      </c>
      <c r="AQ930" s="4" t="s">
        <v>7</v>
      </c>
      <c r="AR930" s="4">
        <v>13</v>
      </c>
      <c r="AS930" s="4" t="s">
        <v>11</v>
      </c>
      <c r="AT930" s="4">
        <v>193.5</v>
      </c>
      <c r="BI930" s="4" t="s">
        <v>321</v>
      </c>
      <c r="BK930" s="4">
        <v>25</v>
      </c>
      <c r="BL930" s="4">
        <v>5</v>
      </c>
      <c r="BM930" s="4">
        <v>0.1</v>
      </c>
      <c r="BP930" s="4">
        <v>2</v>
      </c>
      <c r="BS930" s="4">
        <v>7</v>
      </c>
      <c r="BU930" s="4">
        <v>140</v>
      </c>
      <c r="BV930" s="4">
        <v>1440</v>
      </c>
      <c r="BX930" s="4">
        <v>20</v>
      </c>
      <c r="CB930" s="4" t="s">
        <v>7</v>
      </c>
      <c r="CC930" s="4">
        <v>13</v>
      </c>
      <c r="CE930" s="4" t="s">
        <v>11</v>
      </c>
      <c r="CF930" s="4">
        <v>193.5</v>
      </c>
      <c r="DO930" s="4">
        <v>3</v>
      </c>
      <c r="EA930" s="4">
        <v>96.5</v>
      </c>
      <c r="EB930" s="36">
        <v>0.16</v>
      </c>
      <c r="EC930" s="36"/>
      <c r="ED930" s="4">
        <v>96.5</v>
      </c>
      <c r="GI930" s="4">
        <v>94.97</v>
      </c>
      <c r="GJ930" s="36">
        <v>0.29</v>
      </c>
      <c r="GK930" s="36"/>
      <c r="GL930" s="4">
        <v>94.97</v>
      </c>
    </row>
    <row r="931" customHeight="1" spans="1:194">
      <c r="A931" s="16">
        <v>27</v>
      </c>
      <c r="B931" s="4" t="s">
        <v>885</v>
      </c>
      <c r="C931" s="5" t="s">
        <v>886</v>
      </c>
      <c r="D931" s="4" t="s">
        <v>529</v>
      </c>
      <c r="E931" s="4" t="s">
        <v>887</v>
      </c>
      <c r="H931" s="4" t="s">
        <v>328</v>
      </c>
      <c r="I931" s="4" t="s">
        <v>888</v>
      </c>
      <c r="N931" s="4" t="s">
        <v>567</v>
      </c>
      <c r="O931" s="4" t="s">
        <v>343</v>
      </c>
      <c r="Q931" s="4" t="s">
        <v>540</v>
      </c>
      <c r="AE931" s="4" t="s">
        <v>889</v>
      </c>
      <c r="AF931" s="4" t="s">
        <v>890</v>
      </c>
      <c r="AG931" s="4" t="s">
        <v>891</v>
      </c>
      <c r="AI931" s="4" t="s">
        <v>892</v>
      </c>
      <c r="AJ931" s="4" t="s">
        <v>893</v>
      </c>
      <c r="AK931" s="4" t="s">
        <v>894</v>
      </c>
      <c r="AL931" s="4" t="s">
        <v>689</v>
      </c>
      <c r="AQ931" s="4" t="s">
        <v>7</v>
      </c>
      <c r="AR931" s="4">
        <v>13</v>
      </c>
      <c r="AS931" s="4" t="s">
        <v>11</v>
      </c>
      <c r="AT931" s="4">
        <v>193.5</v>
      </c>
      <c r="BI931" s="4" t="s">
        <v>321</v>
      </c>
      <c r="BK931" s="4">
        <v>25</v>
      </c>
      <c r="BL931" s="4">
        <v>5</v>
      </c>
      <c r="BM931" s="4">
        <v>0.2</v>
      </c>
      <c r="BP931" s="4">
        <v>4</v>
      </c>
      <c r="BS931" s="4">
        <v>7</v>
      </c>
      <c r="BU931" s="4">
        <v>140</v>
      </c>
      <c r="BV931" s="4">
        <v>1440</v>
      </c>
      <c r="BX931" s="4">
        <v>20</v>
      </c>
      <c r="CB931" s="4" t="s">
        <v>7</v>
      </c>
      <c r="CC931" s="4">
        <v>13</v>
      </c>
      <c r="CE931" s="4" t="s">
        <v>11</v>
      </c>
      <c r="CF931" s="4">
        <v>193.5</v>
      </c>
      <c r="DO931" s="4">
        <v>3</v>
      </c>
      <c r="EA931" s="4">
        <v>98.72</v>
      </c>
      <c r="EB931" s="36">
        <v>0.62</v>
      </c>
      <c r="EC931" s="36"/>
      <c r="ED931" s="4">
        <v>98.72</v>
      </c>
      <c r="GI931" s="4">
        <v>97.09</v>
      </c>
      <c r="GJ931" s="36">
        <v>0.08</v>
      </c>
      <c r="GK931" s="36"/>
      <c r="GL931" s="4">
        <v>97.09</v>
      </c>
    </row>
    <row r="932" customHeight="1" spans="1:194">
      <c r="A932" s="16">
        <v>27</v>
      </c>
      <c r="B932" s="4" t="s">
        <v>885</v>
      </c>
      <c r="C932" s="5" t="s">
        <v>886</v>
      </c>
      <c r="D932" s="4" t="s">
        <v>529</v>
      </c>
      <c r="E932" s="4" t="s">
        <v>887</v>
      </c>
      <c r="H932" s="4" t="s">
        <v>328</v>
      </c>
      <c r="I932" s="4" t="s">
        <v>888</v>
      </c>
      <c r="N932" s="4" t="s">
        <v>567</v>
      </c>
      <c r="O932" s="4" t="s">
        <v>343</v>
      </c>
      <c r="Q932" s="4" t="s">
        <v>540</v>
      </c>
      <c r="AE932" s="4" t="s">
        <v>889</v>
      </c>
      <c r="AF932" s="4" t="s">
        <v>890</v>
      </c>
      <c r="AG932" s="4" t="s">
        <v>891</v>
      </c>
      <c r="AI932" s="4" t="s">
        <v>892</v>
      </c>
      <c r="AJ932" s="4" t="s">
        <v>893</v>
      </c>
      <c r="AK932" s="4" t="s">
        <v>894</v>
      </c>
      <c r="AL932" s="4" t="s">
        <v>689</v>
      </c>
      <c r="AQ932" s="4" t="s">
        <v>7</v>
      </c>
      <c r="AR932" s="4">
        <v>13</v>
      </c>
      <c r="AS932" s="4" t="s">
        <v>11</v>
      </c>
      <c r="AT932" s="4">
        <v>193.5</v>
      </c>
      <c r="BI932" s="4" t="s">
        <v>321</v>
      </c>
      <c r="BK932" s="4">
        <v>25</v>
      </c>
      <c r="BL932" s="4">
        <v>5</v>
      </c>
      <c r="BM932" s="4">
        <v>0.4</v>
      </c>
      <c r="BP932" s="4">
        <v>8</v>
      </c>
      <c r="BS932" s="4">
        <v>7</v>
      </c>
      <c r="BU932" s="4">
        <v>140</v>
      </c>
      <c r="BV932" s="4">
        <v>1440</v>
      </c>
      <c r="BX932" s="4">
        <v>20</v>
      </c>
      <c r="CB932" s="4" t="s">
        <v>7</v>
      </c>
      <c r="CC932" s="4">
        <v>13</v>
      </c>
      <c r="CE932" s="4" t="s">
        <v>11</v>
      </c>
      <c r="CF932" s="4">
        <v>193.5</v>
      </c>
      <c r="DO932" s="4">
        <v>3</v>
      </c>
      <c r="EA932" s="4">
        <v>99.42</v>
      </c>
      <c r="EB932" s="36">
        <v>0.21</v>
      </c>
      <c r="EC932" s="36"/>
      <c r="ED932" s="4">
        <v>99.42</v>
      </c>
      <c r="GI932" s="4">
        <v>99</v>
      </c>
      <c r="GJ932" s="36">
        <v>0.42</v>
      </c>
      <c r="GK932" s="36"/>
      <c r="GL932" s="4">
        <v>99</v>
      </c>
    </row>
    <row r="933" customHeight="1" spans="1:194">
      <c r="A933" s="16">
        <v>27</v>
      </c>
      <c r="B933" s="4" t="s">
        <v>885</v>
      </c>
      <c r="C933" s="5" t="s">
        <v>895</v>
      </c>
      <c r="D933" s="4" t="s">
        <v>529</v>
      </c>
      <c r="E933" s="4" t="s">
        <v>887</v>
      </c>
      <c r="H933" s="4" t="s">
        <v>328</v>
      </c>
      <c r="I933" s="4" t="s">
        <v>888</v>
      </c>
      <c r="N933" s="4" t="s">
        <v>567</v>
      </c>
      <c r="O933" s="4" t="s">
        <v>343</v>
      </c>
      <c r="Q933" s="4" t="s">
        <v>540</v>
      </c>
      <c r="T933" s="4">
        <v>37.195</v>
      </c>
      <c r="U933" s="4">
        <v>0.046</v>
      </c>
      <c r="V933" s="4">
        <v>5.1551</v>
      </c>
      <c r="AB933" s="4" t="s">
        <v>896</v>
      </c>
      <c r="AE933" s="4" t="s">
        <v>897</v>
      </c>
      <c r="AF933" s="4" t="s">
        <v>898</v>
      </c>
      <c r="AG933" s="4" t="s">
        <v>891</v>
      </c>
      <c r="AI933" s="4" t="s">
        <v>892</v>
      </c>
      <c r="AJ933" s="4" t="s">
        <v>893</v>
      </c>
      <c r="AK933" s="4" t="s">
        <v>894</v>
      </c>
      <c r="AL933" s="4" t="s">
        <v>689</v>
      </c>
      <c r="AQ933" s="4" t="s">
        <v>7</v>
      </c>
      <c r="AR933" s="4">
        <v>13</v>
      </c>
      <c r="AS933" s="4" t="s">
        <v>11</v>
      </c>
      <c r="AT933" s="4">
        <v>193.5</v>
      </c>
      <c r="BI933" s="4" t="s">
        <v>321</v>
      </c>
      <c r="BK933" s="4">
        <v>25</v>
      </c>
      <c r="BN933" s="4">
        <v>4</v>
      </c>
      <c r="BO933" s="4">
        <v>0.02</v>
      </c>
      <c r="BP933" s="4">
        <v>2</v>
      </c>
      <c r="BS933" s="4">
        <v>7</v>
      </c>
      <c r="BV933" s="4" t="s">
        <v>495</v>
      </c>
      <c r="CB933" s="4" t="s">
        <v>7</v>
      </c>
      <c r="CC933" s="4">
        <v>13</v>
      </c>
      <c r="CE933" s="4" t="s">
        <v>11</v>
      </c>
      <c r="CF933" s="4">
        <v>193.5</v>
      </c>
      <c r="CX933" s="4" t="s">
        <v>899</v>
      </c>
      <c r="CY933" s="4" t="s">
        <v>900</v>
      </c>
      <c r="DO933" s="4">
        <v>3</v>
      </c>
    </row>
    <row r="934" customHeight="1" spans="1:194">
      <c r="A934" s="16">
        <v>27</v>
      </c>
      <c r="B934" s="4" t="s">
        <v>885</v>
      </c>
      <c r="C934" s="5" t="s">
        <v>895</v>
      </c>
      <c r="D934" s="4" t="s">
        <v>529</v>
      </c>
      <c r="E934" s="4" t="s">
        <v>887</v>
      </c>
      <c r="H934" s="4" t="s">
        <v>328</v>
      </c>
      <c r="I934" s="4" t="s">
        <v>888</v>
      </c>
      <c r="N934" s="4" t="s">
        <v>567</v>
      </c>
      <c r="O934" s="4" t="s">
        <v>343</v>
      </c>
      <c r="Q934" s="4" t="s">
        <v>540</v>
      </c>
      <c r="T934" s="4">
        <v>37.195</v>
      </c>
      <c r="U934" s="4">
        <v>0.046</v>
      </c>
      <c r="V934" s="4">
        <v>5.1551</v>
      </c>
      <c r="AB934" s="4" t="s">
        <v>896</v>
      </c>
      <c r="AE934" s="4" t="s">
        <v>897</v>
      </c>
      <c r="AF934" s="4" t="s">
        <v>898</v>
      </c>
      <c r="AG934" s="4" t="s">
        <v>891</v>
      </c>
      <c r="AI934" s="4" t="s">
        <v>892</v>
      </c>
      <c r="AJ934" s="4" t="s">
        <v>893</v>
      </c>
      <c r="AK934" s="4" t="s">
        <v>894</v>
      </c>
      <c r="AL934" s="4" t="s">
        <v>689</v>
      </c>
      <c r="AQ934" s="4" t="s">
        <v>7</v>
      </c>
      <c r="AR934" s="4">
        <v>13</v>
      </c>
      <c r="AS934" s="4" t="s">
        <v>11</v>
      </c>
      <c r="AT934" s="4">
        <v>193.5</v>
      </c>
      <c r="BI934" s="4" t="s">
        <v>321</v>
      </c>
      <c r="BK934" s="4">
        <v>25</v>
      </c>
      <c r="BN934" s="4">
        <v>4</v>
      </c>
      <c r="BO934" s="4">
        <v>0.02</v>
      </c>
      <c r="BP934" s="4">
        <v>2</v>
      </c>
      <c r="BS934" s="4">
        <v>7</v>
      </c>
      <c r="BV934" s="4">
        <v>30</v>
      </c>
      <c r="CB934" s="4" t="s">
        <v>7</v>
      </c>
      <c r="CC934" s="4">
        <v>13</v>
      </c>
      <c r="CE934" s="4" t="s">
        <v>11</v>
      </c>
      <c r="CF934" s="4">
        <v>193.5</v>
      </c>
      <c r="DO934" s="4">
        <v>3</v>
      </c>
      <c r="DW934" s="4">
        <v>0.039</v>
      </c>
      <c r="DX934" s="36">
        <v>0.00205</v>
      </c>
      <c r="EA934" s="4">
        <v>39.85</v>
      </c>
      <c r="EB934" s="1">
        <v>1.02828</v>
      </c>
      <c r="ED934" s="4">
        <v>39.85</v>
      </c>
      <c r="GE934" s="1">
        <v>0.0255</v>
      </c>
      <c r="GF934" s="1">
        <v>0</v>
      </c>
      <c r="GI934" s="4">
        <v>18.62</v>
      </c>
      <c r="GJ934" s="36">
        <v>1.27551</v>
      </c>
      <c r="GK934" s="36"/>
      <c r="GL934" s="4">
        <v>18.62</v>
      </c>
    </row>
    <row r="935" customHeight="1" spans="1:194">
      <c r="A935" s="16">
        <v>27</v>
      </c>
      <c r="B935" s="4" t="s">
        <v>885</v>
      </c>
      <c r="C935" s="5" t="s">
        <v>895</v>
      </c>
      <c r="D935" s="4" t="s">
        <v>529</v>
      </c>
      <c r="E935" s="4" t="s">
        <v>887</v>
      </c>
      <c r="H935" s="4" t="s">
        <v>328</v>
      </c>
      <c r="I935" s="4" t="s">
        <v>888</v>
      </c>
      <c r="N935" s="4" t="s">
        <v>567</v>
      </c>
      <c r="O935" s="4" t="s">
        <v>343</v>
      </c>
      <c r="Q935" s="4" t="s">
        <v>540</v>
      </c>
      <c r="T935" s="4">
        <v>37.195</v>
      </c>
      <c r="U935" s="4">
        <v>0.046</v>
      </c>
      <c r="V935" s="4">
        <v>5.1551</v>
      </c>
      <c r="AB935" s="4" t="s">
        <v>896</v>
      </c>
      <c r="AE935" s="4" t="s">
        <v>897</v>
      </c>
      <c r="AF935" s="4" t="s">
        <v>898</v>
      </c>
      <c r="AG935" s="4" t="s">
        <v>891</v>
      </c>
      <c r="AI935" s="4" t="s">
        <v>892</v>
      </c>
      <c r="AJ935" s="4" t="s">
        <v>893</v>
      </c>
      <c r="AK935" s="4" t="s">
        <v>894</v>
      </c>
      <c r="AL935" s="4" t="s">
        <v>689</v>
      </c>
      <c r="AQ935" s="4" t="s">
        <v>7</v>
      </c>
      <c r="AR935" s="4">
        <v>13</v>
      </c>
      <c r="AS935" s="4" t="s">
        <v>11</v>
      </c>
      <c r="AT935" s="4">
        <v>193.5</v>
      </c>
      <c r="BI935" s="4" t="s">
        <v>321</v>
      </c>
      <c r="BK935" s="4">
        <v>25</v>
      </c>
      <c r="BN935" s="4">
        <v>4</v>
      </c>
      <c r="BO935" s="4">
        <v>0.02</v>
      </c>
      <c r="BP935" s="4">
        <v>2</v>
      </c>
      <c r="BS935" s="4">
        <v>7</v>
      </c>
      <c r="BV935" s="4">
        <v>60</v>
      </c>
      <c r="CB935" s="4" t="s">
        <v>7</v>
      </c>
      <c r="CC935" s="4">
        <v>13</v>
      </c>
      <c r="CE935" s="4" t="s">
        <v>11</v>
      </c>
      <c r="CF935" s="4">
        <v>193.5</v>
      </c>
      <c r="DO935" s="4">
        <v>3</v>
      </c>
      <c r="DW935" s="4">
        <v>0.094</v>
      </c>
      <c r="DX935" s="36">
        <v>0</v>
      </c>
      <c r="EA935" s="4">
        <v>67.1</v>
      </c>
      <c r="EB935" s="1">
        <v>2.05656</v>
      </c>
      <c r="ED935" s="4">
        <v>67.1</v>
      </c>
      <c r="GE935" s="1">
        <v>0.0735</v>
      </c>
      <c r="GF935" s="1">
        <v>0.00306</v>
      </c>
      <c r="GI935" s="4">
        <v>44.64</v>
      </c>
      <c r="GJ935" s="1">
        <v>2.55</v>
      </c>
      <c r="GL935" s="4">
        <v>44.64</v>
      </c>
    </row>
    <row r="936" customHeight="1" spans="1:194">
      <c r="A936" s="16">
        <v>27</v>
      </c>
      <c r="B936" s="4" t="s">
        <v>885</v>
      </c>
      <c r="C936" s="5" t="s">
        <v>895</v>
      </c>
      <c r="D936" s="4" t="s">
        <v>529</v>
      </c>
      <c r="E936" s="4" t="s">
        <v>887</v>
      </c>
      <c r="H936" s="4" t="s">
        <v>328</v>
      </c>
      <c r="I936" s="4" t="s">
        <v>888</v>
      </c>
      <c r="N936" s="4" t="s">
        <v>567</v>
      </c>
      <c r="O936" s="4" t="s">
        <v>343</v>
      </c>
      <c r="Q936" s="4" t="s">
        <v>540</v>
      </c>
      <c r="T936" s="4">
        <v>37.195</v>
      </c>
      <c r="U936" s="4">
        <v>0.046</v>
      </c>
      <c r="V936" s="4">
        <v>5.1551</v>
      </c>
      <c r="AB936" s="4" t="s">
        <v>896</v>
      </c>
      <c r="AE936" s="4" t="s">
        <v>897</v>
      </c>
      <c r="AF936" s="4" t="s">
        <v>898</v>
      </c>
      <c r="AG936" s="4" t="s">
        <v>891</v>
      </c>
      <c r="AI936" s="4" t="s">
        <v>892</v>
      </c>
      <c r="AJ936" s="4" t="s">
        <v>893</v>
      </c>
      <c r="AK936" s="4" t="s">
        <v>894</v>
      </c>
      <c r="AL936" s="4" t="s">
        <v>689</v>
      </c>
      <c r="AQ936" s="4" t="s">
        <v>7</v>
      </c>
      <c r="AR936" s="4">
        <v>13</v>
      </c>
      <c r="AS936" s="4" t="s">
        <v>11</v>
      </c>
      <c r="AT936" s="4">
        <v>193.5</v>
      </c>
      <c r="BI936" s="4" t="s">
        <v>321</v>
      </c>
      <c r="BK936" s="4">
        <v>25</v>
      </c>
      <c r="BN936" s="4">
        <v>4</v>
      </c>
      <c r="BO936" s="4">
        <v>0.02</v>
      </c>
      <c r="BP936" s="4">
        <v>2</v>
      </c>
      <c r="BS936" s="4">
        <v>7</v>
      </c>
      <c r="BV936" s="4">
        <v>240</v>
      </c>
      <c r="CB936" s="4" t="s">
        <v>7</v>
      </c>
      <c r="CC936" s="4">
        <v>13</v>
      </c>
      <c r="CE936" s="4" t="s">
        <v>11</v>
      </c>
      <c r="CF936" s="4">
        <v>193.5</v>
      </c>
      <c r="DO936" s="4">
        <v>3</v>
      </c>
      <c r="DW936" s="4">
        <v>0.181</v>
      </c>
      <c r="DX936" s="36">
        <v>0.00103</v>
      </c>
      <c r="EA936" s="4">
        <v>85.6</v>
      </c>
      <c r="EB936" s="1">
        <v>0.51414</v>
      </c>
      <c r="ED936" s="4">
        <v>85.6</v>
      </c>
      <c r="GE936" s="1">
        <v>0.149</v>
      </c>
      <c r="GF936" s="1">
        <v>0.00102</v>
      </c>
      <c r="GI936" s="4">
        <v>66.84</v>
      </c>
      <c r="GJ936" s="36">
        <v>1.02041</v>
      </c>
      <c r="GK936" s="36"/>
      <c r="GL936" s="4">
        <v>66.84</v>
      </c>
    </row>
    <row r="937" customHeight="1" spans="1:194">
      <c r="A937" s="16">
        <v>27</v>
      </c>
      <c r="B937" s="4" t="s">
        <v>885</v>
      </c>
      <c r="C937" s="5" t="s">
        <v>895</v>
      </c>
      <c r="D937" s="4" t="s">
        <v>529</v>
      </c>
      <c r="E937" s="4" t="s">
        <v>887</v>
      </c>
      <c r="H937" s="4" t="s">
        <v>328</v>
      </c>
      <c r="I937" s="4" t="s">
        <v>888</v>
      </c>
      <c r="N937" s="4" t="s">
        <v>567</v>
      </c>
      <c r="O937" s="4" t="s">
        <v>343</v>
      </c>
      <c r="Q937" s="4" t="s">
        <v>540</v>
      </c>
      <c r="T937" s="4">
        <v>37.195</v>
      </c>
      <c r="U937" s="4">
        <v>0.046</v>
      </c>
      <c r="V937" s="4">
        <v>5.1551</v>
      </c>
      <c r="AB937" s="4" t="s">
        <v>896</v>
      </c>
      <c r="AE937" s="4" t="s">
        <v>897</v>
      </c>
      <c r="AF937" s="4" t="s">
        <v>898</v>
      </c>
      <c r="AG937" s="4" t="s">
        <v>891</v>
      </c>
      <c r="AI937" s="4" t="s">
        <v>892</v>
      </c>
      <c r="AJ937" s="4" t="s">
        <v>893</v>
      </c>
      <c r="AK937" s="4" t="s">
        <v>894</v>
      </c>
      <c r="AL937" s="4" t="s">
        <v>689</v>
      </c>
      <c r="AQ937" s="4" t="s">
        <v>7</v>
      </c>
      <c r="AR937" s="4">
        <v>13</v>
      </c>
      <c r="AS937" s="4" t="s">
        <v>11</v>
      </c>
      <c r="AT937" s="4">
        <v>193.5</v>
      </c>
      <c r="BI937" s="4" t="s">
        <v>321</v>
      </c>
      <c r="BK937" s="4">
        <v>25</v>
      </c>
      <c r="BN937" s="4">
        <v>4</v>
      </c>
      <c r="BO937" s="4">
        <v>0.02</v>
      </c>
      <c r="BP937" s="4">
        <v>2</v>
      </c>
      <c r="BS937" s="4">
        <v>7</v>
      </c>
      <c r="BV937" s="4">
        <v>480</v>
      </c>
      <c r="CB937" s="4" t="s">
        <v>7</v>
      </c>
      <c r="CC937" s="4">
        <v>13</v>
      </c>
      <c r="CE937" s="4" t="s">
        <v>11</v>
      </c>
      <c r="CF937" s="4">
        <v>193.5</v>
      </c>
      <c r="DO937" s="4">
        <v>3</v>
      </c>
      <c r="DW937" s="4">
        <v>0.265</v>
      </c>
      <c r="DX937" s="36">
        <v>0.0041</v>
      </c>
      <c r="EA937" s="4">
        <v>94.34</v>
      </c>
      <c r="EB937" s="1">
        <v>0</v>
      </c>
      <c r="ED937" s="4">
        <v>94.34</v>
      </c>
      <c r="GE937" s="1">
        <v>0.2429</v>
      </c>
      <c r="GF937" s="1">
        <v>0.0102</v>
      </c>
      <c r="GI937" s="4">
        <v>85.71</v>
      </c>
      <c r="GJ937" s="36">
        <v>0.5102</v>
      </c>
      <c r="GK937" s="36"/>
      <c r="GL937" s="4">
        <v>85.71</v>
      </c>
    </row>
    <row r="938" customHeight="1" spans="1:194">
      <c r="A938" s="16">
        <v>27</v>
      </c>
      <c r="B938" s="4" t="s">
        <v>885</v>
      </c>
      <c r="C938" s="5" t="s">
        <v>895</v>
      </c>
      <c r="D938" s="4" t="s">
        <v>529</v>
      </c>
      <c r="E938" s="4" t="s">
        <v>887</v>
      </c>
      <c r="H938" s="4" t="s">
        <v>328</v>
      </c>
      <c r="I938" s="4" t="s">
        <v>888</v>
      </c>
      <c r="N938" s="4" t="s">
        <v>567</v>
      </c>
      <c r="O938" s="4" t="s">
        <v>343</v>
      </c>
      <c r="Q938" s="4" t="s">
        <v>540</v>
      </c>
      <c r="T938" s="4">
        <v>37.195</v>
      </c>
      <c r="U938" s="4">
        <v>0.046</v>
      </c>
      <c r="V938" s="4">
        <v>5.1551</v>
      </c>
      <c r="AB938" s="4" t="s">
        <v>896</v>
      </c>
      <c r="AE938" s="4" t="s">
        <v>897</v>
      </c>
      <c r="AF938" s="4" t="s">
        <v>898</v>
      </c>
      <c r="AG938" s="4" t="s">
        <v>891</v>
      </c>
      <c r="AI938" s="4" t="s">
        <v>892</v>
      </c>
      <c r="AJ938" s="4" t="s">
        <v>893</v>
      </c>
      <c r="AK938" s="4" t="s">
        <v>894</v>
      </c>
      <c r="AL938" s="4" t="s">
        <v>689</v>
      </c>
      <c r="AQ938" s="4" t="s">
        <v>7</v>
      </c>
      <c r="AR938" s="4">
        <v>13</v>
      </c>
      <c r="AS938" s="4" t="s">
        <v>11</v>
      </c>
      <c r="AT938" s="4">
        <v>193.5</v>
      </c>
      <c r="BI938" s="4" t="s">
        <v>321</v>
      </c>
      <c r="BK938" s="4">
        <v>25</v>
      </c>
      <c r="BN938" s="4">
        <v>4</v>
      </c>
      <c r="BO938" s="4">
        <v>0.02</v>
      </c>
      <c r="BP938" s="4">
        <v>2</v>
      </c>
      <c r="BS938" s="4">
        <v>7</v>
      </c>
      <c r="BV938" s="4">
        <v>960</v>
      </c>
      <c r="CB938" s="4" t="s">
        <v>7</v>
      </c>
      <c r="CC938" s="4">
        <v>13</v>
      </c>
      <c r="CE938" s="4" t="s">
        <v>11</v>
      </c>
      <c r="CF938" s="4">
        <v>193.5</v>
      </c>
      <c r="DO938" s="4">
        <v>3</v>
      </c>
      <c r="DW938" s="4">
        <v>0.314</v>
      </c>
      <c r="DX938" s="36">
        <v>0.00205</v>
      </c>
      <c r="EA938" s="4">
        <v>97.17</v>
      </c>
      <c r="EB938" s="1">
        <v>0.25707</v>
      </c>
      <c r="ED938" s="4">
        <v>97.17</v>
      </c>
      <c r="GE938" s="1">
        <v>0.2918</v>
      </c>
      <c r="GF938" s="1">
        <v>0.00408</v>
      </c>
      <c r="GI938" s="4">
        <v>90.01</v>
      </c>
      <c r="GJ938" s="36">
        <v>0</v>
      </c>
      <c r="GK938" s="36"/>
      <c r="GL938" s="4">
        <v>90.01</v>
      </c>
    </row>
    <row r="939" customHeight="1" spans="1:194">
      <c r="A939" s="16">
        <v>27</v>
      </c>
      <c r="B939" s="4" t="s">
        <v>885</v>
      </c>
      <c r="C939" s="5" t="s">
        <v>895</v>
      </c>
      <c r="D939" s="4" t="s">
        <v>529</v>
      </c>
      <c r="E939" s="4" t="s">
        <v>887</v>
      </c>
      <c r="H939" s="4" t="s">
        <v>328</v>
      </c>
      <c r="I939" s="4" t="s">
        <v>888</v>
      </c>
      <c r="N939" s="4" t="s">
        <v>567</v>
      </c>
      <c r="O939" s="4" t="s">
        <v>343</v>
      </c>
      <c r="Q939" s="4" t="s">
        <v>540</v>
      </c>
      <c r="T939" s="4">
        <v>37.195</v>
      </c>
      <c r="U939" s="4">
        <v>0.046</v>
      </c>
      <c r="V939" s="4">
        <v>5.1551</v>
      </c>
      <c r="AB939" s="4" t="s">
        <v>896</v>
      </c>
      <c r="AE939" s="4" t="s">
        <v>897</v>
      </c>
      <c r="AF939" s="4" t="s">
        <v>898</v>
      </c>
      <c r="AG939" s="4" t="s">
        <v>891</v>
      </c>
      <c r="AI939" s="4" t="s">
        <v>892</v>
      </c>
      <c r="AJ939" s="4" t="s">
        <v>893</v>
      </c>
      <c r="AK939" s="4" t="s">
        <v>894</v>
      </c>
      <c r="AL939" s="4" t="s">
        <v>689</v>
      </c>
      <c r="AQ939" s="4" t="s">
        <v>7</v>
      </c>
      <c r="AR939" s="4">
        <v>13</v>
      </c>
      <c r="AS939" s="4" t="s">
        <v>11</v>
      </c>
      <c r="AT939" s="4">
        <v>193.5</v>
      </c>
      <c r="BI939" s="4" t="s">
        <v>321</v>
      </c>
      <c r="BK939" s="4">
        <v>25</v>
      </c>
      <c r="BN939" s="4">
        <v>4</v>
      </c>
      <c r="BO939" s="4">
        <v>0.02</v>
      </c>
      <c r="BP939" s="4">
        <v>2</v>
      </c>
      <c r="BS939" s="4">
        <v>7</v>
      </c>
      <c r="BV939" s="4">
        <v>1440</v>
      </c>
      <c r="CB939" s="4" t="s">
        <v>7</v>
      </c>
      <c r="CC939" s="4">
        <v>13</v>
      </c>
      <c r="CE939" s="4" t="s">
        <v>11</v>
      </c>
      <c r="CF939" s="4">
        <v>193.5</v>
      </c>
      <c r="DO939" s="4">
        <v>3</v>
      </c>
      <c r="DW939" s="4">
        <v>0.349</v>
      </c>
      <c r="DX939" s="36">
        <v>0.00513</v>
      </c>
      <c r="EA939" s="4">
        <v>97.94</v>
      </c>
      <c r="EB939" s="1">
        <v>0.25707</v>
      </c>
      <c r="ED939" s="4">
        <v>97.94</v>
      </c>
      <c r="GE939" s="1">
        <v>0.3173</v>
      </c>
      <c r="GF939" s="1">
        <v>0.00408</v>
      </c>
      <c r="GI939" s="4">
        <v>95.41</v>
      </c>
      <c r="GJ939" s="36">
        <v>0.76531</v>
      </c>
      <c r="GK939" s="36"/>
      <c r="GL939" s="4">
        <v>95.41</v>
      </c>
    </row>
    <row r="940" customHeight="1" spans="1:194">
      <c r="A940" s="16">
        <v>27</v>
      </c>
      <c r="B940" s="4" t="s">
        <v>885</v>
      </c>
      <c r="C940" s="5" t="s">
        <v>895</v>
      </c>
      <c r="D940" s="4" t="s">
        <v>529</v>
      </c>
      <c r="E940" s="4" t="s">
        <v>887</v>
      </c>
      <c r="H940" s="4" t="s">
        <v>328</v>
      </c>
      <c r="I940" s="4" t="s">
        <v>888</v>
      </c>
      <c r="N940" s="4" t="s">
        <v>567</v>
      </c>
      <c r="O940" s="4" t="s">
        <v>343</v>
      </c>
      <c r="Q940" s="4" t="s">
        <v>540</v>
      </c>
      <c r="T940" s="4">
        <v>37.195</v>
      </c>
      <c r="U940" s="4">
        <v>0.046</v>
      </c>
      <c r="V940" s="4">
        <v>5.1551</v>
      </c>
      <c r="AB940" s="4" t="s">
        <v>896</v>
      </c>
      <c r="AE940" s="4" t="s">
        <v>897</v>
      </c>
      <c r="AF940" s="4" t="s">
        <v>898</v>
      </c>
      <c r="AG940" s="4" t="s">
        <v>891</v>
      </c>
      <c r="AI940" s="4" t="s">
        <v>892</v>
      </c>
      <c r="AJ940" s="4" t="s">
        <v>893</v>
      </c>
      <c r="AK940" s="4" t="s">
        <v>894</v>
      </c>
      <c r="AL940" s="4" t="s">
        <v>689</v>
      </c>
      <c r="AQ940" s="4" t="s">
        <v>7</v>
      </c>
      <c r="AR940" s="4">
        <v>13</v>
      </c>
      <c r="AS940" s="4" t="s">
        <v>11</v>
      </c>
      <c r="AT940" s="4">
        <v>193.5</v>
      </c>
      <c r="BI940" s="4" t="s">
        <v>321</v>
      </c>
      <c r="BK940" s="4">
        <v>25</v>
      </c>
      <c r="BL940" s="4">
        <v>5</v>
      </c>
      <c r="BM940" s="4">
        <v>0</v>
      </c>
      <c r="BP940" s="4">
        <v>0</v>
      </c>
      <c r="BS940" s="4">
        <v>7</v>
      </c>
      <c r="BU940" s="4">
        <v>140</v>
      </c>
      <c r="BV940" s="4">
        <v>1440</v>
      </c>
      <c r="BX940" s="4">
        <v>20</v>
      </c>
      <c r="CB940" s="4" t="s">
        <v>7</v>
      </c>
      <c r="CC940" s="4">
        <v>13</v>
      </c>
      <c r="CE940" s="4" t="s">
        <v>11</v>
      </c>
      <c r="CF940" s="4">
        <v>193.5</v>
      </c>
      <c r="DO940" s="4">
        <v>3</v>
      </c>
      <c r="EA940" s="4">
        <v>92.46</v>
      </c>
      <c r="EB940" s="36">
        <v>0.37</v>
      </c>
      <c r="EC940" s="36"/>
      <c r="ED940" s="4">
        <v>92.46</v>
      </c>
      <c r="GI940" s="4">
        <v>89.95</v>
      </c>
      <c r="GL940" s="4">
        <v>89.95</v>
      </c>
    </row>
    <row r="941" customHeight="1" spans="1:194">
      <c r="A941" s="16">
        <v>27</v>
      </c>
      <c r="B941" s="4" t="s">
        <v>885</v>
      </c>
      <c r="C941" s="5" t="s">
        <v>895</v>
      </c>
      <c r="D941" s="4" t="s">
        <v>529</v>
      </c>
      <c r="E941" s="4" t="s">
        <v>887</v>
      </c>
      <c r="H941" s="4" t="s">
        <v>328</v>
      </c>
      <c r="I941" s="4" t="s">
        <v>888</v>
      </c>
      <c r="N941" s="4" t="s">
        <v>567</v>
      </c>
      <c r="O941" s="4" t="s">
        <v>343</v>
      </c>
      <c r="Q941" s="4" t="s">
        <v>540</v>
      </c>
      <c r="T941" s="4">
        <v>37.195</v>
      </c>
      <c r="U941" s="4">
        <v>0.046</v>
      </c>
      <c r="V941" s="4">
        <v>5.1551</v>
      </c>
      <c r="AB941" s="4" t="s">
        <v>896</v>
      </c>
      <c r="AE941" s="4" t="s">
        <v>897</v>
      </c>
      <c r="AF941" s="4" t="s">
        <v>898</v>
      </c>
      <c r="AG941" s="4" t="s">
        <v>891</v>
      </c>
      <c r="AI941" s="4" t="s">
        <v>892</v>
      </c>
      <c r="AJ941" s="4" t="s">
        <v>893</v>
      </c>
      <c r="AK941" s="4" t="s">
        <v>894</v>
      </c>
      <c r="AL941" s="4" t="s">
        <v>689</v>
      </c>
      <c r="AQ941" s="4" t="s">
        <v>7</v>
      </c>
      <c r="AR941" s="4">
        <v>13</v>
      </c>
      <c r="AS941" s="4" t="s">
        <v>11</v>
      </c>
      <c r="AT941" s="4">
        <v>193.5</v>
      </c>
      <c r="BI941" s="4" t="s">
        <v>321</v>
      </c>
      <c r="BK941" s="4">
        <v>25</v>
      </c>
      <c r="BL941" s="4">
        <v>5</v>
      </c>
      <c r="BM941" s="4">
        <v>0.025</v>
      </c>
      <c r="BP941" s="4">
        <v>0.5</v>
      </c>
      <c r="BS941" s="4">
        <v>7</v>
      </c>
      <c r="BU941" s="4">
        <v>140</v>
      </c>
      <c r="BV941" s="4">
        <v>1440</v>
      </c>
      <c r="BX941" s="4">
        <v>20</v>
      </c>
      <c r="CB941" s="4" t="s">
        <v>7</v>
      </c>
      <c r="CC941" s="4">
        <v>13</v>
      </c>
      <c r="CE941" s="4" t="s">
        <v>11</v>
      </c>
      <c r="CF941" s="4">
        <v>193.5</v>
      </c>
      <c r="DO941" s="4">
        <v>3</v>
      </c>
      <c r="EA941" s="4">
        <v>95.42</v>
      </c>
      <c r="EB941" s="36">
        <v>0.25</v>
      </c>
      <c r="EC941" s="36"/>
      <c r="ED941" s="4">
        <v>95.42</v>
      </c>
      <c r="GI941" s="36">
        <v>92.18</v>
      </c>
      <c r="GJ941" s="36">
        <v>0.16</v>
      </c>
      <c r="GK941" s="36"/>
      <c r="GL941" s="36">
        <v>92.18</v>
      </c>
    </row>
    <row r="942" customHeight="1" spans="1:194">
      <c r="A942" s="16">
        <v>27</v>
      </c>
      <c r="B942" s="4" t="s">
        <v>885</v>
      </c>
      <c r="C942" s="5" t="s">
        <v>895</v>
      </c>
      <c r="D942" s="4" t="s">
        <v>529</v>
      </c>
      <c r="E942" s="4" t="s">
        <v>887</v>
      </c>
      <c r="H942" s="4" t="s">
        <v>328</v>
      </c>
      <c r="I942" s="4" t="s">
        <v>888</v>
      </c>
      <c r="N942" s="4" t="s">
        <v>567</v>
      </c>
      <c r="O942" s="4" t="s">
        <v>343</v>
      </c>
      <c r="Q942" s="4" t="s">
        <v>540</v>
      </c>
      <c r="T942" s="4">
        <v>37.195</v>
      </c>
      <c r="U942" s="4">
        <v>0.046</v>
      </c>
      <c r="V942" s="4">
        <v>5.1551</v>
      </c>
      <c r="AB942" s="4" t="s">
        <v>896</v>
      </c>
      <c r="AE942" s="4" t="s">
        <v>897</v>
      </c>
      <c r="AF942" s="4" t="s">
        <v>898</v>
      </c>
      <c r="AG942" s="4" t="s">
        <v>891</v>
      </c>
      <c r="AI942" s="4" t="s">
        <v>892</v>
      </c>
      <c r="AJ942" s="4" t="s">
        <v>893</v>
      </c>
      <c r="AK942" s="4" t="s">
        <v>894</v>
      </c>
      <c r="AL942" s="4" t="s">
        <v>689</v>
      </c>
      <c r="AQ942" s="4" t="s">
        <v>7</v>
      </c>
      <c r="AR942" s="4">
        <v>13</v>
      </c>
      <c r="AS942" s="4" t="s">
        <v>11</v>
      </c>
      <c r="AT942" s="4">
        <v>193.5</v>
      </c>
      <c r="BI942" s="4" t="s">
        <v>321</v>
      </c>
      <c r="BK942" s="4">
        <v>25</v>
      </c>
      <c r="BL942" s="4">
        <v>5</v>
      </c>
      <c r="BM942" s="4">
        <v>0.05</v>
      </c>
      <c r="BP942" s="4">
        <v>1</v>
      </c>
      <c r="BS942" s="4">
        <v>7</v>
      </c>
      <c r="BU942" s="4">
        <v>140</v>
      </c>
      <c r="BV942" s="4">
        <v>1440</v>
      </c>
      <c r="BX942" s="4">
        <v>20</v>
      </c>
      <c r="CB942" s="4" t="s">
        <v>7</v>
      </c>
      <c r="CC942" s="4">
        <v>13</v>
      </c>
      <c r="CE942" s="4" t="s">
        <v>11</v>
      </c>
      <c r="CF942" s="4">
        <v>193.5</v>
      </c>
      <c r="DO942" s="4">
        <v>3</v>
      </c>
      <c r="EA942" s="4">
        <v>97.16</v>
      </c>
      <c r="EB942" s="36">
        <v>0.12</v>
      </c>
      <c r="EC942" s="36"/>
      <c r="ED942" s="4">
        <v>97.16</v>
      </c>
      <c r="GI942" s="36">
        <v>94.11</v>
      </c>
      <c r="GJ942" s="36">
        <v>0.25</v>
      </c>
      <c r="GK942" s="36"/>
      <c r="GL942" s="36">
        <v>94.11</v>
      </c>
    </row>
    <row r="943" customHeight="1" spans="1:194">
      <c r="A943" s="16">
        <v>27</v>
      </c>
      <c r="B943" s="4" t="s">
        <v>885</v>
      </c>
      <c r="C943" s="5" t="s">
        <v>895</v>
      </c>
      <c r="D943" s="4" t="s">
        <v>529</v>
      </c>
      <c r="E943" s="4" t="s">
        <v>887</v>
      </c>
      <c r="H943" s="4" t="s">
        <v>328</v>
      </c>
      <c r="I943" s="4" t="s">
        <v>888</v>
      </c>
      <c r="N943" s="4" t="s">
        <v>567</v>
      </c>
      <c r="O943" s="4" t="s">
        <v>343</v>
      </c>
      <c r="Q943" s="4" t="s">
        <v>540</v>
      </c>
      <c r="T943" s="4">
        <v>37.195</v>
      </c>
      <c r="U943" s="4">
        <v>0.046</v>
      </c>
      <c r="V943" s="4">
        <v>5.1551</v>
      </c>
      <c r="AB943" s="4" t="s">
        <v>896</v>
      </c>
      <c r="AE943" s="4" t="s">
        <v>897</v>
      </c>
      <c r="AF943" s="4" t="s">
        <v>898</v>
      </c>
      <c r="AG943" s="4" t="s">
        <v>891</v>
      </c>
      <c r="AI943" s="4" t="s">
        <v>892</v>
      </c>
      <c r="AJ943" s="4" t="s">
        <v>893</v>
      </c>
      <c r="AK943" s="4" t="s">
        <v>894</v>
      </c>
      <c r="AL943" s="4" t="s">
        <v>689</v>
      </c>
      <c r="AQ943" s="4" t="s">
        <v>7</v>
      </c>
      <c r="AR943" s="4">
        <v>13</v>
      </c>
      <c r="AS943" s="4" t="s">
        <v>11</v>
      </c>
      <c r="AT943" s="4">
        <v>193.5</v>
      </c>
      <c r="BI943" s="4" t="s">
        <v>321</v>
      </c>
      <c r="BK943" s="4">
        <v>25</v>
      </c>
      <c r="BL943" s="4">
        <v>5</v>
      </c>
      <c r="BM943" s="4">
        <v>0.1</v>
      </c>
      <c r="BP943" s="4">
        <v>2</v>
      </c>
      <c r="BS943" s="4">
        <v>7</v>
      </c>
      <c r="BU943" s="4">
        <v>140</v>
      </c>
      <c r="BV943" s="4">
        <v>1440</v>
      </c>
      <c r="BX943" s="4">
        <v>20</v>
      </c>
      <c r="CB943" s="4" t="s">
        <v>7</v>
      </c>
      <c r="CC943" s="4">
        <v>13</v>
      </c>
      <c r="CE943" s="4" t="s">
        <v>11</v>
      </c>
      <c r="CF943" s="4">
        <v>193.5</v>
      </c>
      <c r="DO943" s="4">
        <v>3</v>
      </c>
      <c r="EA943" s="4">
        <v>98.68</v>
      </c>
      <c r="EB943" s="36">
        <v>0.12</v>
      </c>
      <c r="EC943" s="36"/>
      <c r="ED943" s="4">
        <v>98.68</v>
      </c>
      <c r="GI943" s="36">
        <v>96.71</v>
      </c>
      <c r="GJ943" s="36">
        <v>0.41</v>
      </c>
      <c r="GK943" s="36"/>
      <c r="GL943" s="36">
        <v>96.71</v>
      </c>
    </row>
    <row r="944" customHeight="1" spans="1:194">
      <c r="A944" s="16">
        <v>27</v>
      </c>
      <c r="B944" s="4" t="s">
        <v>885</v>
      </c>
      <c r="C944" s="5" t="s">
        <v>895</v>
      </c>
      <c r="D944" s="4" t="s">
        <v>529</v>
      </c>
      <c r="E944" s="4" t="s">
        <v>887</v>
      </c>
      <c r="H944" s="4" t="s">
        <v>328</v>
      </c>
      <c r="I944" s="4" t="s">
        <v>888</v>
      </c>
      <c r="N944" s="4" t="s">
        <v>567</v>
      </c>
      <c r="O944" s="4" t="s">
        <v>343</v>
      </c>
      <c r="Q944" s="4" t="s">
        <v>540</v>
      </c>
      <c r="T944" s="4">
        <v>37.195</v>
      </c>
      <c r="U944" s="4">
        <v>0.046</v>
      </c>
      <c r="V944" s="4">
        <v>5.1551</v>
      </c>
      <c r="AB944" s="4" t="s">
        <v>896</v>
      </c>
      <c r="AE944" s="4" t="s">
        <v>897</v>
      </c>
      <c r="AF944" s="4" t="s">
        <v>898</v>
      </c>
      <c r="AG944" s="4" t="s">
        <v>891</v>
      </c>
      <c r="AI944" s="4" t="s">
        <v>892</v>
      </c>
      <c r="AJ944" s="4" t="s">
        <v>893</v>
      </c>
      <c r="AK944" s="4" t="s">
        <v>894</v>
      </c>
      <c r="AL944" s="4" t="s">
        <v>689</v>
      </c>
      <c r="AQ944" s="4" t="s">
        <v>7</v>
      </c>
      <c r="AR944" s="4">
        <v>13</v>
      </c>
      <c r="AS944" s="4" t="s">
        <v>11</v>
      </c>
      <c r="AT944" s="4">
        <v>193.5</v>
      </c>
      <c r="BI944" s="4" t="s">
        <v>321</v>
      </c>
      <c r="BK944" s="4">
        <v>25</v>
      </c>
      <c r="BL944" s="4">
        <v>5</v>
      </c>
      <c r="BM944" s="4">
        <v>0.2</v>
      </c>
      <c r="BP944" s="4">
        <v>4</v>
      </c>
      <c r="BS944" s="4">
        <v>7</v>
      </c>
      <c r="BU944" s="4">
        <v>140</v>
      </c>
      <c r="BV944" s="4">
        <v>1440</v>
      </c>
      <c r="BX944" s="4">
        <v>20</v>
      </c>
      <c r="CB944" s="4" t="s">
        <v>7</v>
      </c>
      <c r="CC944" s="4">
        <v>13</v>
      </c>
      <c r="CE944" s="4" t="s">
        <v>11</v>
      </c>
      <c r="CF944" s="4">
        <v>193.5</v>
      </c>
      <c r="DO944" s="4">
        <v>3</v>
      </c>
      <c r="EA944" s="4">
        <v>98.93</v>
      </c>
      <c r="EB944" s="36">
        <v>0.16</v>
      </c>
      <c r="EC944" s="36"/>
      <c r="ED944" s="4">
        <v>98.93</v>
      </c>
      <c r="GI944" s="36">
        <v>98.68</v>
      </c>
      <c r="GJ944" s="36">
        <v>0.12</v>
      </c>
      <c r="GK944" s="36"/>
      <c r="GL944" s="36">
        <v>98.68</v>
      </c>
    </row>
    <row r="945" customHeight="1" spans="1:314">
      <c r="A945" s="16">
        <v>27</v>
      </c>
      <c r="B945" s="4" t="s">
        <v>885</v>
      </c>
      <c r="C945" s="5" t="s">
        <v>895</v>
      </c>
      <c r="D945" s="4" t="s">
        <v>529</v>
      </c>
      <c r="E945" s="4" t="s">
        <v>887</v>
      </c>
      <c r="H945" s="4" t="s">
        <v>328</v>
      </c>
      <c r="I945" s="4" t="s">
        <v>888</v>
      </c>
      <c r="N945" s="4" t="s">
        <v>567</v>
      </c>
      <c r="O945" s="4" t="s">
        <v>343</v>
      </c>
      <c r="Q945" s="4" t="s">
        <v>540</v>
      </c>
      <c r="T945" s="4">
        <v>37.195</v>
      </c>
      <c r="U945" s="4">
        <v>0.046</v>
      </c>
      <c r="V945" s="4">
        <v>5.1551</v>
      </c>
      <c r="AB945" s="4" t="s">
        <v>896</v>
      </c>
      <c r="AE945" s="4" t="s">
        <v>897</v>
      </c>
      <c r="AF945" s="4" t="s">
        <v>898</v>
      </c>
      <c r="AG945" s="4" t="s">
        <v>891</v>
      </c>
      <c r="AI945" s="4" t="s">
        <v>892</v>
      </c>
      <c r="AJ945" s="4" t="s">
        <v>893</v>
      </c>
      <c r="AK945" s="4" t="s">
        <v>894</v>
      </c>
      <c r="AL945" s="4" t="s">
        <v>689</v>
      </c>
      <c r="AQ945" s="4" t="s">
        <v>7</v>
      </c>
      <c r="AR945" s="4">
        <v>13</v>
      </c>
      <c r="AS945" s="4" t="s">
        <v>11</v>
      </c>
      <c r="AT945" s="4">
        <v>193.5</v>
      </c>
      <c r="BI945" s="4" t="s">
        <v>321</v>
      </c>
      <c r="BK945" s="4">
        <v>25</v>
      </c>
      <c r="BL945" s="4">
        <v>5</v>
      </c>
      <c r="BM945" s="4">
        <v>0.4</v>
      </c>
      <c r="BP945" s="4">
        <v>8</v>
      </c>
      <c r="BS945" s="4">
        <v>7</v>
      </c>
      <c r="BU945" s="4">
        <v>140</v>
      </c>
      <c r="BV945" s="4">
        <v>1440</v>
      </c>
      <c r="BX945" s="4">
        <v>20</v>
      </c>
      <c r="CB945" s="4" t="s">
        <v>7</v>
      </c>
      <c r="CC945" s="4">
        <v>13</v>
      </c>
      <c r="CE945" s="4" t="s">
        <v>11</v>
      </c>
      <c r="CF945" s="4">
        <v>193.5</v>
      </c>
      <c r="DO945" s="4">
        <v>3</v>
      </c>
      <c r="GI945" s="36">
        <v>99.79</v>
      </c>
      <c r="GJ945" s="36">
        <v>0.21</v>
      </c>
      <c r="GK945" s="36"/>
      <c r="GL945" s="36">
        <v>99.79</v>
      </c>
    </row>
    <row r="946" customHeight="1" spans="1:314">
      <c r="A946" s="16">
        <v>27</v>
      </c>
      <c r="B946" s="4" t="s">
        <v>885</v>
      </c>
      <c r="C946" s="5" t="s">
        <v>895</v>
      </c>
      <c r="D946" s="4" t="s">
        <v>529</v>
      </c>
      <c r="E946" s="4" t="s">
        <v>887</v>
      </c>
      <c r="H946" s="4" t="s">
        <v>328</v>
      </c>
      <c r="I946" s="4" t="s">
        <v>888</v>
      </c>
      <c r="N946" s="4" t="s">
        <v>567</v>
      </c>
      <c r="O946" s="4" t="s">
        <v>343</v>
      </c>
      <c r="Q946" s="4" t="s">
        <v>540</v>
      </c>
      <c r="T946" s="4">
        <v>37.195</v>
      </c>
      <c r="U946" s="4">
        <v>0.046</v>
      </c>
      <c r="V946" s="4">
        <v>5.1551</v>
      </c>
      <c r="AB946" s="4" t="s">
        <v>896</v>
      </c>
      <c r="AE946" s="4" t="s">
        <v>897</v>
      </c>
      <c r="AF946" s="4" t="s">
        <v>898</v>
      </c>
      <c r="AG946" s="4" t="s">
        <v>891</v>
      </c>
      <c r="AI946" s="4" t="s">
        <v>892</v>
      </c>
      <c r="AJ946" s="4" t="s">
        <v>893</v>
      </c>
      <c r="AK946" s="4" t="s">
        <v>894</v>
      </c>
      <c r="AL946" s="4" t="s">
        <v>689</v>
      </c>
      <c r="AQ946" s="4" t="s">
        <v>7</v>
      </c>
      <c r="AR946" s="4">
        <v>13</v>
      </c>
      <c r="AS946" s="4" t="s">
        <v>11</v>
      </c>
      <c r="AT946" s="4">
        <v>193.5</v>
      </c>
      <c r="BI946" s="4" t="s">
        <v>321</v>
      </c>
      <c r="BK946" s="4">
        <v>25</v>
      </c>
      <c r="BL946" s="4">
        <v>5</v>
      </c>
      <c r="BM946" s="4">
        <v>0.1</v>
      </c>
      <c r="BS946" s="4">
        <v>5</v>
      </c>
      <c r="BU946" s="4">
        <v>140</v>
      </c>
      <c r="BV946" s="4">
        <v>1440</v>
      </c>
      <c r="BX946" s="4">
        <v>20</v>
      </c>
      <c r="CB946" s="4" t="s">
        <v>7</v>
      </c>
      <c r="CC946" s="4">
        <v>13</v>
      </c>
      <c r="CE946" s="4" t="s">
        <v>11</v>
      </c>
      <c r="CF946" s="4">
        <v>193.5</v>
      </c>
      <c r="DO946" s="4">
        <v>3</v>
      </c>
      <c r="DW946" s="4">
        <v>0.12</v>
      </c>
      <c r="DX946" s="36">
        <v>0</v>
      </c>
      <c r="EA946" s="4">
        <v>51.88</v>
      </c>
      <c r="EB946" s="36">
        <v>2.59</v>
      </c>
      <c r="EC946" s="36"/>
      <c r="ED946" s="4">
        <v>51.88</v>
      </c>
      <c r="GE946" s="36">
        <v>0.08</v>
      </c>
      <c r="GF946" s="36">
        <v>0</v>
      </c>
      <c r="GI946" s="36">
        <v>36.16</v>
      </c>
      <c r="GJ946" s="36">
        <v>1.79</v>
      </c>
      <c r="GK946" s="36"/>
      <c r="GL946" s="36">
        <v>36.16</v>
      </c>
    </row>
    <row r="947" customHeight="1" spans="1:314">
      <c r="A947" s="16">
        <v>27</v>
      </c>
      <c r="B947" s="4" t="s">
        <v>885</v>
      </c>
      <c r="C947" s="5" t="s">
        <v>895</v>
      </c>
      <c r="D947" s="4" t="s">
        <v>529</v>
      </c>
      <c r="E947" s="4" t="s">
        <v>887</v>
      </c>
      <c r="H947" s="4" t="s">
        <v>328</v>
      </c>
      <c r="I947" s="4" t="s">
        <v>888</v>
      </c>
      <c r="N947" s="4" t="s">
        <v>567</v>
      </c>
      <c r="O947" s="4" t="s">
        <v>343</v>
      </c>
      <c r="Q947" s="4" t="s">
        <v>540</v>
      </c>
      <c r="T947" s="4">
        <v>37.195</v>
      </c>
      <c r="U947" s="4">
        <v>0.046</v>
      </c>
      <c r="V947" s="4">
        <v>5.1551</v>
      </c>
      <c r="AB947" s="4" t="s">
        <v>896</v>
      </c>
      <c r="AE947" s="4" t="s">
        <v>897</v>
      </c>
      <c r="AF947" s="4" t="s">
        <v>898</v>
      </c>
      <c r="AG947" s="4" t="s">
        <v>891</v>
      </c>
      <c r="AI947" s="4" t="s">
        <v>892</v>
      </c>
      <c r="AJ947" s="4" t="s">
        <v>893</v>
      </c>
      <c r="AK947" s="4" t="s">
        <v>894</v>
      </c>
      <c r="AL947" s="4" t="s">
        <v>689</v>
      </c>
      <c r="AQ947" s="4" t="s">
        <v>7</v>
      </c>
      <c r="AR947" s="4">
        <v>13</v>
      </c>
      <c r="AS947" s="4" t="s">
        <v>11</v>
      </c>
      <c r="AT947" s="4">
        <v>193.5</v>
      </c>
      <c r="BI947" s="4" t="s">
        <v>321</v>
      </c>
      <c r="BK947" s="4">
        <v>25</v>
      </c>
      <c r="BL947" s="4">
        <v>5</v>
      </c>
      <c r="BM947" s="4">
        <v>0.1</v>
      </c>
      <c r="BS947" s="4">
        <v>6</v>
      </c>
      <c r="BU947" s="4">
        <v>140</v>
      </c>
      <c r="BV947" s="4">
        <v>1440</v>
      </c>
      <c r="BX947" s="4">
        <v>20</v>
      </c>
      <c r="CB947" s="4" t="s">
        <v>7</v>
      </c>
      <c r="CC947" s="4">
        <v>13</v>
      </c>
      <c r="CE947" s="4" t="s">
        <v>11</v>
      </c>
      <c r="CF947" s="4">
        <v>193.5</v>
      </c>
      <c r="DO947" s="4">
        <v>3</v>
      </c>
      <c r="DW947" s="4">
        <v>0.163</v>
      </c>
      <c r="DX947" s="36">
        <v>0</v>
      </c>
      <c r="EA947" s="4">
        <v>67.19</v>
      </c>
      <c r="EB947" s="36">
        <v>1.4</v>
      </c>
      <c r="EC947" s="36"/>
      <c r="ED947" s="4">
        <v>67.19</v>
      </c>
      <c r="GE947" s="36">
        <v>0.16</v>
      </c>
      <c r="GF947" s="36">
        <v>0</v>
      </c>
      <c r="GI947" s="36">
        <v>61.82</v>
      </c>
      <c r="GJ947" s="36">
        <v>0</v>
      </c>
      <c r="GK947" s="36"/>
      <c r="GL947" s="36">
        <v>61.82</v>
      </c>
    </row>
    <row r="948" customHeight="1" spans="1:314">
      <c r="A948" s="16">
        <v>27</v>
      </c>
      <c r="B948" s="4" t="s">
        <v>885</v>
      </c>
      <c r="C948" s="5" t="s">
        <v>895</v>
      </c>
      <c r="D948" s="4" t="s">
        <v>529</v>
      </c>
      <c r="E948" s="4" t="s">
        <v>887</v>
      </c>
      <c r="H948" s="4" t="s">
        <v>328</v>
      </c>
      <c r="I948" s="4" t="s">
        <v>888</v>
      </c>
      <c r="N948" s="4" t="s">
        <v>567</v>
      </c>
      <c r="O948" s="4" t="s">
        <v>343</v>
      </c>
      <c r="Q948" s="4" t="s">
        <v>540</v>
      </c>
      <c r="T948" s="4">
        <v>37.195</v>
      </c>
      <c r="U948" s="4">
        <v>0.046</v>
      </c>
      <c r="V948" s="4">
        <v>5.1551</v>
      </c>
      <c r="AB948" s="4" t="s">
        <v>896</v>
      </c>
      <c r="AE948" s="4" t="s">
        <v>897</v>
      </c>
      <c r="AF948" s="4" t="s">
        <v>898</v>
      </c>
      <c r="AG948" s="4" t="s">
        <v>891</v>
      </c>
      <c r="AI948" s="4" t="s">
        <v>892</v>
      </c>
      <c r="AJ948" s="4" t="s">
        <v>893</v>
      </c>
      <c r="AK948" s="4" t="s">
        <v>894</v>
      </c>
      <c r="AL948" s="4" t="s">
        <v>689</v>
      </c>
      <c r="AQ948" s="4" t="s">
        <v>7</v>
      </c>
      <c r="AR948" s="4">
        <v>13</v>
      </c>
      <c r="AS948" s="4" t="s">
        <v>11</v>
      </c>
      <c r="AT948" s="4">
        <v>193.5</v>
      </c>
      <c r="BI948" s="4" t="s">
        <v>321</v>
      </c>
      <c r="BK948" s="4">
        <v>25</v>
      </c>
      <c r="BL948" s="4">
        <v>5</v>
      </c>
      <c r="BM948" s="4">
        <v>0.1</v>
      </c>
      <c r="BS948" s="4">
        <v>7</v>
      </c>
      <c r="BU948" s="4">
        <v>140</v>
      </c>
      <c r="BV948" s="4">
        <v>1440</v>
      </c>
      <c r="BX948" s="4">
        <v>20</v>
      </c>
      <c r="CB948" s="4" t="s">
        <v>7</v>
      </c>
      <c r="CC948" s="4">
        <v>13</v>
      </c>
      <c r="CE948" s="4" t="s">
        <v>11</v>
      </c>
      <c r="CF948" s="4">
        <v>193.5</v>
      </c>
      <c r="DO948" s="4">
        <v>3</v>
      </c>
      <c r="DW948" s="4">
        <v>0.167</v>
      </c>
      <c r="DX948" s="36">
        <v>0.01</v>
      </c>
      <c r="EA948" s="4">
        <v>89.26</v>
      </c>
      <c r="EB948" s="36">
        <v>0.6</v>
      </c>
      <c r="EC948" s="36"/>
      <c r="ED948" s="4">
        <v>89.26</v>
      </c>
      <c r="GE948" s="36">
        <v>0.16</v>
      </c>
      <c r="GF948" s="36">
        <v>0.01</v>
      </c>
      <c r="GI948" s="36">
        <v>87.87</v>
      </c>
      <c r="GJ948" s="36">
        <v>0.99</v>
      </c>
      <c r="GK948" s="36"/>
      <c r="GL948" s="36">
        <v>87.87</v>
      </c>
    </row>
    <row r="949" customHeight="1" spans="1:314">
      <c r="A949" s="16">
        <v>27</v>
      </c>
      <c r="B949" s="4" t="s">
        <v>885</v>
      </c>
      <c r="C949" s="5" t="s">
        <v>895</v>
      </c>
      <c r="D949" s="4" t="s">
        <v>529</v>
      </c>
      <c r="E949" s="4" t="s">
        <v>887</v>
      </c>
      <c r="H949" s="4" t="s">
        <v>328</v>
      </c>
      <c r="I949" s="4" t="s">
        <v>888</v>
      </c>
      <c r="N949" s="4" t="s">
        <v>567</v>
      </c>
      <c r="O949" s="4" t="s">
        <v>343</v>
      </c>
      <c r="Q949" s="4" t="s">
        <v>540</v>
      </c>
      <c r="T949" s="4">
        <v>37.195</v>
      </c>
      <c r="U949" s="4">
        <v>0.046</v>
      </c>
      <c r="V949" s="4">
        <v>5.1551</v>
      </c>
      <c r="AB949" s="4" t="s">
        <v>896</v>
      </c>
      <c r="AE949" s="4" t="s">
        <v>897</v>
      </c>
      <c r="AF949" s="4" t="s">
        <v>898</v>
      </c>
      <c r="AG949" s="4" t="s">
        <v>891</v>
      </c>
      <c r="AI949" s="4" t="s">
        <v>892</v>
      </c>
      <c r="AJ949" s="4" t="s">
        <v>893</v>
      </c>
      <c r="AK949" s="4" t="s">
        <v>894</v>
      </c>
      <c r="AL949" s="4" t="s">
        <v>689</v>
      </c>
      <c r="AQ949" s="4" t="s">
        <v>7</v>
      </c>
      <c r="AR949" s="4">
        <v>13</v>
      </c>
      <c r="AS949" s="4" t="s">
        <v>11</v>
      </c>
      <c r="AT949" s="4">
        <v>193.5</v>
      </c>
      <c r="BI949" s="4" t="s">
        <v>321</v>
      </c>
      <c r="BK949" s="4">
        <v>25</v>
      </c>
      <c r="BL949" s="4">
        <v>5</v>
      </c>
      <c r="BM949" s="4">
        <v>0.1</v>
      </c>
      <c r="BS949" s="4">
        <v>8</v>
      </c>
      <c r="BU949" s="4">
        <v>140</v>
      </c>
      <c r="BV949" s="4">
        <v>1440</v>
      </c>
      <c r="BX949" s="4">
        <v>20</v>
      </c>
      <c r="CB949" s="4" t="s">
        <v>7</v>
      </c>
      <c r="CC949" s="4">
        <v>13</v>
      </c>
      <c r="CE949" s="4" t="s">
        <v>11</v>
      </c>
      <c r="CF949" s="4">
        <v>193.5</v>
      </c>
      <c r="DO949" s="4">
        <v>3</v>
      </c>
      <c r="DW949" s="4">
        <v>0.111</v>
      </c>
      <c r="DX949" s="36">
        <v>0</v>
      </c>
      <c r="EA949" s="4">
        <v>81.9</v>
      </c>
      <c r="EB949" s="36">
        <v>1.4</v>
      </c>
      <c r="EC949" s="36"/>
      <c r="ED949" s="4">
        <v>81.9</v>
      </c>
      <c r="GE949" s="36">
        <v>0.13</v>
      </c>
      <c r="GF949" s="36">
        <v>0</v>
      </c>
      <c r="GI949" s="36">
        <v>83.89</v>
      </c>
      <c r="GJ949" s="36">
        <v>0.4</v>
      </c>
      <c r="GK949" s="36"/>
      <c r="GL949" s="36">
        <v>83.89</v>
      </c>
    </row>
    <row r="950" customHeight="1" spans="1:314">
      <c r="A950" s="16">
        <v>27</v>
      </c>
      <c r="B950" s="4" t="s">
        <v>885</v>
      </c>
      <c r="C950" s="5" t="s">
        <v>895</v>
      </c>
      <c r="D950" s="4" t="s">
        <v>529</v>
      </c>
      <c r="E950" s="4" t="s">
        <v>887</v>
      </c>
      <c r="H950" s="4" t="s">
        <v>328</v>
      </c>
      <c r="I950" s="4" t="s">
        <v>888</v>
      </c>
      <c r="N950" s="4" t="s">
        <v>567</v>
      </c>
      <c r="O950" s="4" t="s">
        <v>343</v>
      </c>
      <c r="Q950" s="4" t="s">
        <v>540</v>
      </c>
      <c r="T950" s="4">
        <v>37.195</v>
      </c>
      <c r="U950" s="4">
        <v>0.046</v>
      </c>
      <c r="V950" s="4">
        <v>5.1551</v>
      </c>
      <c r="AB950" s="4" t="s">
        <v>896</v>
      </c>
      <c r="AE950" s="4" t="s">
        <v>897</v>
      </c>
      <c r="AF950" s="4" t="s">
        <v>898</v>
      </c>
      <c r="AG950" s="4" t="s">
        <v>891</v>
      </c>
      <c r="AI950" s="4" t="s">
        <v>892</v>
      </c>
      <c r="AJ950" s="4" t="s">
        <v>893</v>
      </c>
      <c r="AK950" s="4" t="s">
        <v>894</v>
      </c>
      <c r="AL950" s="4" t="s">
        <v>689</v>
      </c>
      <c r="AQ950" s="4" t="s">
        <v>7</v>
      </c>
      <c r="AR950" s="4">
        <v>13</v>
      </c>
      <c r="AS950" s="4" t="s">
        <v>11</v>
      </c>
      <c r="AT950" s="4">
        <v>193.5</v>
      </c>
      <c r="BI950" s="4" t="s">
        <v>321</v>
      </c>
      <c r="BK950" s="4">
        <v>25</v>
      </c>
      <c r="BL950" s="4">
        <v>5</v>
      </c>
      <c r="BM950" s="4">
        <v>0.1</v>
      </c>
      <c r="BS950" s="4">
        <v>9</v>
      </c>
      <c r="BU950" s="4">
        <v>140</v>
      </c>
      <c r="BV950" s="4">
        <v>1440</v>
      </c>
      <c r="BX950" s="4">
        <v>20</v>
      </c>
      <c r="CB950" s="4" t="s">
        <v>7</v>
      </c>
      <c r="CC950" s="4">
        <v>13</v>
      </c>
      <c r="CE950" s="4" t="s">
        <v>11</v>
      </c>
      <c r="CF950" s="4">
        <v>193.5</v>
      </c>
      <c r="DO950" s="4">
        <v>3</v>
      </c>
      <c r="DW950" s="4">
        <v>0.113</v>
      </c>
      <c r="DX950" s="36">
        <v>0</v>
      </c>
      <c r="EA950" s="4">
        <v>68.18</v>
      </c>
      <c r="EB950" s="36">
        <v>3.59</v>
      </c>
      <c r="EC950" s="36"/>
      <c r="ED950" s="4">
        <v>68.18</v>
      </c>
      <c r="GE950" s="36">
        <v>0.13</v>
      </c>
      <c r="GF950" s="36">
        <v>0</v>
      </c>
      <c r="GI950" s="36">
        <v>67.98</v>
      </c>
      <c r="GJ950" s="36">
        <v>3.78</v>
      </c>
      <c r="GK950" s="36"/>
      <c r="GL950" s="36">
        <v>67.98</v>
      </c>
    </row>
    <row r="951" customHeight="1" spans="1:314">
      <c r="A951" s="16">
        <v>27</v>
      </c>
      <c r="B951" s="4" t="s">
        <v>885</v>
      </c>
      <c r="C951" s="5" t="s">
        <v>895</v>
      </c>
      <c r="D951" s="4" t="s">
        <v>529</v>
      </c>
      <c r="E951" s="4" t="s">
        <v>887</v>
      </c>
      <c r="H951" s="4" t="s">
        <v>328</v>
      </c>
      <c r="I951" s="4" t="s">
        <v>888</v>
      </c>
      <c r="N951" s="4" t="s">
        <v>567</v>
      </c>
      <c r="O951" s="4" t="s">
        <v>343</v>
      </c>
      <c r="Q951" s="4" t="s">
        <v>540</v>
      </c>
      <c r="T951" s="4">
        <v>37.195</v>
      </c>
      <c r="U951" s="4">
        <v>0.046</v>
      </c>
      <c r="V951" s="4">
        <v>5.1551</v>
      </c>
      <c r="AB951" s="4" t="s">
        <v>896</v>
      </c>
      <c r="AE951" s="4" t="s">
        <v>897</v>
      </c>
      <c r="AF951" s="4" t="s">
        <v>898</v>
      </c>
      <c r="AG951" s="4" t="s">
        <v>891</v>
      </c>
      <c r="AI951" s="4" t="s">
        <v>892</v>
      </c>
      <c r="AJ951" s="4" t="s">
        <v>893</v>
      </c>
      <c r="AK951" s="4" t="s">
        <v>894</v>
      </c>
      <c r="AL951" s="4" t="s">
        <v>689</v>
      </c>
      <c r="AQ951" s="4" t="s">
        <v>7</v>
      </c>
      <c r="AR951" s="4">
        <v>13</v>
      </c>
      <c r="AS951" s="4" t="s">
        <v>11</v>
      </c>
      <c r="AT951" s="4">
        <v>193.5</v>
      </c>
      <c r="BI951" s="4" t="s">
        <v>321</v>
      </c>
      <c r="BL951" s="4">
        <v>50</v>
      </c>
      <c r="BM951" s="4">
        <v>0.1</v>
      </c>
      <c r="BS951" s="4">
        <v>7</v>
      </c>
      <c r="BV951" s="4" t="s">
        <v>901</v>
      </c>
      <c r="BW951" s="4" t="s">
        <v>902</v>
      </c>
      <c r="BX951" s="4" t="s">
        <v>645</v>
      </c>
      <c r="CB951" s="4" t="s">
        <v>7</v>
      </c>
      <c r="CC951" s="4">
        <v>13</v>
      </c>
      <c r="CE951" s="4" t="s">
        <v>11</v>
      </c>
      <c r="CF951" s="4">
        <v>193.5</v>
      </c>
      <c r="DO951" s="4">
        <v>3</v>
      </c>
      <c r="EA951" s="4">
        <v>0</v>
      </c>
      <c r="EB951" s="1">
        <v>0</v>
      </c>
      <c r="ED951" s="4">
        <v>0</v>
      </c>
      <c r="GI951" s="4">
        <v>0</v>
      </c>
      <c r="GJ951" s="1">
        <v>0</v>
      </c>
      <c r="GL951" s="4">
        <v>0</v>
      </c>
    </row>
    <row r="952" customHeight="1" spans="1:314">
      <c r="A952" s="16">
        <v>27</v>
      </c>
      <c r="B952" s="4" t="s">
        <v>885</v>
      </c>
      <c r="C952" s="5" t="s">
        <v>895</v>
      </c>
      <c r="D952" s="4" t="s">
        <v>529</v>
      </c>
      <c r="E952" s="4" t="s">
        <v>887</v>
      </c>
      <c r="H952" s="4" t="s">
        <v>328</v>
      </c>
      <c r="I952" s="4" t="s">
        <v>888</v>
      </c>
      <c r="N952" s="4" t="s">
        <v>567</v>
      </c>
      <c r="O952" s="4" t="s">
        <v>343</v>
      </c>
      <c r="Q952" s="4" t="s">
        <v>540</v>
      </c>
      <c r="T952" s="4">
        <v>37.195</v>
      </c>
      <c r="U952" s="4">
        <v>0.046</v>
      </c>
      <c r="V952" s="4">
        <v>5.1551</v>
      </c>
      <c r="AB952" s="4" t="s">
        <v>896</v>
      </c>
      <c r="AE952" s="4" t="s">
        <v>897</v>
      </c>
      <c r="AF952" s="4" t="s">
        <v>898</v>
      </c>
      <c r="AG952" s="4" t="s">
        <v>891</v>
      </c>
      <c r="AI952" s="4" t="s">
        <v>892</v>
      </c>
      <c r="AJ952" s="4" t="s">
        <v>893</v>
      </c>
      <c r="AK952" s="4" t="s">
        <v>894</v>
      </c>
      <c r="AL952" s="4" t="s">
        <v>689</v>
      </c>
      <c r="AQ952" s="4" t="s">
        <v>7</v>
      </c>
      <c r="AR952" s="4">
        <v>13</v>
      </c>
      <c r="AS952" s="4" t="s">
        <v>11</v>
      </c>
      <c r="AT952" s="4">
        <v>193.5</v>
      </c>
      <c r="BI952" s="4" t="s">
        <v>321</v>
      </c>
      <c r="BL952" s="4">
        <v>50</v>
      </c>
      <c r="BM952" s="4">
        <v>0.1</v>
      </c>
      <c r="BV952" s="4" t="s">
        <v>408</v>
      </c>
      <c r="BW952" s="4" t="s">
        <v>902</v>
      </c>
      <c r="BX952" s="4" t="s">
        <v>645</v>
      </c>
      <c r="CB952" s="4" t="s">
        <v>7</v>
      </c>
      <c r="CC952" s="4">
        <v>13</v>
      </c>
      <c r="CE952" s="4" t="s">
        <v>11</v>
      </c>
      <c r="CF952" s="4">
        <v>193.5</v>
      </c>
      <c r="DO952" s="4">
        <v>3</v>
      </c>
      <c r="DY952" s="4">
        <v>0</v>
      </c>
      <c r="DZ952" s="1">
        <v>0</v>
      </c>
      <c r="EA952" s="4">
        <v>80.85</v>
      </c>
      <c r="EB952" s="1">
        <v>0.71</v>
      </c>
      <c r="ED952" s="4">
        <v>80.85</v>
      </c>
      <c r="GG952" s="4">
        <v>0</v>
      </c>
      <c r="GH952" s="1">
        <v>0</v>
      </c>
      <c r="GI952" s="4">
        <v>78.55</v>
      </c>
      <c r="GJ952" s="36">
        <v>1.93</v>
      </c>
      <c r="GK952" s="36"/>
      <c r="GL952" s="4">
        <v>78.55</v>
      </c>
    </row>
    <row r="953" customHeight="1" spans="1:314">
      <c r="A953" s="16">
        <v>27</v>
      </c>
      <c r="B953" s="4" t="s">
        <v>885</v>
      </c>
      <c r="C953" s="5" t="s">
        <v>895</v>
      </c>
      <c r="D953" s="4" t="s">
        <v>529</v>
      </c>
      <c r="E953" s="4" t="s">
        <v>887</v>
      </c>
      <c r="H953" s="4" t="s">
        <v>328</v>
      </c>
      <c r="I953" s="4" t="s">
        <v>888</v>
      </c>
      <c r="N953" s="4" t="s">
        <v>567</v>
      </c>
      <c r="O953" s="4" t="s">
        <v>343</v>
      </c>
      <c r="Q953" s="4" t="s">
        <v>540</v>
      </c>
      <c r="T953" s="4">
        <v>37.195</v>
      </c>
      <c r="U953" s="4">
        <v>0.046</v>
      </c>
      <c r="V953" s="4">
        <v>5.1551</v>
      </c>
      <c r="AB953" s="4" t="s">
        <v>896</v>
      </c>
      <c r="AE953" s="4" t="s">
        <v>897</v>
      </c>
      <c r="AF953" s="4" t="s">
        <v>898</v>
      </c>
      <c r="AG953" s="4" t="s">
        <v>891</v>
      </c>
      <c r="AI953" s="4" t="s">
        <v>892</v>
      </c>
      <c r="AJ953" s="4" t="s">
        <v>893</v>
      </c>
      <c r="AK953" s="4" t="s">
        <v>894</v>
      </c>
      <c r="AL953" s="4" t="s">
        <v>689</v>
      </c>
      <c r="AQ953" s="4" t="s">
        <v>7</v>
      </c>
      <c r="AR953" s="4">
        <v>13</v>
      </c>
      <c r="AS953" s="4" t="s">
        <v>11</v>
      </c>
      <c r="AT953" s="4">
        <v>193.5</v>
      </c>
      <c r="BI953" s="4" t="s">
        <v>321</v>
      </c>
      <c r="BL953" s="4">
        <v>50</v>
      </c>
      <c r="BM953" s="4">
        <v>0.1</v>
      </c>
      <c r="BV953" s="4" t="s">
        <v>322</v>
      </c>
      <c r="BW953" s="4" t="s">
        <v>902</v>
      </c>
      <c r="BX953" s="4" t="s">
        <v>645</v>
      </c>
      <c r="CB953" s="4" t="s">
        <v>7</v>
      </c>
      <c r="CC953" s="4">
        <v>13</v>
      </c>
      <c r="CE953" s="4" t="s">
        <v>11</v>
      </c>
      <c r="CF953" s="4">
        <v>193.5</v>
      </c>
      <c r="DO953" s="4">
        <v>3</v>
      </c>
      <c r="DY953" s="4">
        <v>0</v>
      </c>
      <c r="DZ953" s="1">
        <v>0</v>
      </c>
      <c r="EA953" s="4">
        <v>88.18</v>
      </c>
      <c r="EB953" s="1">
        <v>0.47</v>
      </c>
      <c r="ED953" s="4">
        <v>88.18</v>
      </c>
      <c r="GG953" s="4">
        <v>0</v>
      </c>
      <c r="GH953" s="1">
        <v>0</v>
      </c>
      <c r="GI953" s="4">
        <v>81.69</v>
      </c>
      <c r="GJ953" s="1">
        <v>1.45</v>
      </c>
      <c r="GL953" s="4">
        <v>81.69</v>
      </c>
    </row>
    <row r="954" customHeight="1" spans="1:314">
      <c r="A954" s="16">
        <v>27</v>
      </c>
      <c r="B954" s="4" t="s">
        <v>885</v>
      </c>
      <c r="C954" s="5" t="s">
        <v>895</v>
      </c>
      <c r="D954" s="4" t="s">
        <v>529</v>
      </c>
      <c r="E954" s="4" t="s">
        <v>887</v>
      </c>
      <c r="H954" s="4" t="s">
        <v>328</v>
      </c>
      <c r="I954" s="4" t="s">
        <v>888</v>
      </c>
      <c r="N954" s="4" t="s">
        <v>567</v>
      </c>
      <c r="O954" s="4" t="s">
        <v>343</v>
      </c>
      <c r="Q954" s="4" t="s">
        <v>540</v>
      </c>
      <c r="T954" s="4">
        <v>37.195</v>
      </c>
      <c r="U954" s="4">
        <v>0.046</v>
      </c>
      <c r="V954" s="4">
        <v>5.1551</v>
      </c>
      <c r="AB954" s="4" t="s">
        <v>896</v>
      </c>
      <c r="AE954" s="4" t="s">
        <v>897</v>
      </c>
      <c r="AF954" s="4" t="s">
        <v>898</v>
      </c>
      <c r="AG954" s="4" t="s">
        <v>891</v>
      </c>
      <c r="AI954" s="4" t="s">
        <v>892</v>
      </c>
      <c r="AJ954" s="4" t="s">
        <v>893</v>
      </c>
      <c r="AK954" s="4" t="s">
        <v>894</v>
      </c>
      <c r="AL954" s="4" t="s">
        <v>689</v>
      </c>
      <c r="AQ954" s="4" t="s">
        <v>7</v>
      </c>
      <c r="AR954" s="4">
        <v>13</v>
      </c>
      <c r="AS954" s="4" t="s">
        <v>11</v>
      </c>
      <c r="AT954" s="4">
        <v>193.5</v>
      </c>
      <c r="BI954" s="4" t="s">
        <v>321</v>
      </c>
      <c r="BL954" s="4">
        <v>50</v>
      </c>
      <c r="BM954" s="4">
        <v>0.1</v>
      </c>
      <c r="BV954" s="4" t="s">
        <v>903</v>
      </c>
      <c r="BW954" s="4" t="s">
        <v>902</v>
      </c>
      <c r="BX954" s="4" t="s">
        <v>645</v>
      </c>
      <c r="CB954" s="4" t="s">
        <v>7</v>
      </c>
      <c r="CC954" s="4">
        <v>13</v>
      </c>
      <c r="CE954" s="4" t="s">
        <v>11</v>
      </c>
      <c r="CF954" s="4">
        <v>193.5</v>
      </c>
      <c r="DO954" s="4">
        <v>3</v>
      </c>
      <c r="DY954" s="4">
        <v>0</v>
      </c>
      <c r="DZ954" s="1">
        <v>0</v>
      </c>
      <c r="EA954" s="4">
        <v>97.87</v>
      </c>
      <c r="EB954" s="1">
        <v>0.71</v>
      </c>
      <c r="ED954" s="4">
        <v>97.87</v>
      </c>
      <c r="GG954" s="4">
        <v>0</v>
      </c>
      <c r="GH954" s="1">
        <v>0</v>
      </c>
      <c r="GI954" s="4">
        <v>89.88</v>
      </c>
      <c r="GJ954" s="36">
        <v>2.41</v>
      </c>
      <c r="GK954" s="36"/>
      <c r="GL954" s="4">
        <v>89.88</v>
      </c>
    </row>
    <row r="955" customHeight="1" spans="1:314">
      <c r="A955" s="16">
        <v>27</v>
      </c>
      <c r="B955" s="4" t="s">
        <v>885</v>
      </c>
      <c r="C955" s="5" t="s">
        <v>895</v>
      </c>
      <c r="D955" s="4" t="s">
        <v>529</v>
      </c>
      <c r="E955" s="4" t="s">
        <v>887</v>
      </c>
      <c r="H955" s="4" t="s">
        <v>328</v>
      </c>
      <c r="I955" s="4" t="s">
        <v>888</v>
      </c>
      <c r="N955" s="4" t="s">
        <v>567</v>
      </c>
      <c r="O955" s="4" t="s">
        <v>343</v>
      </c>
      <c r="Q955" s="4" t="s">
        <v>540</v>
      </c>
      <c r="T955" s="4">
        <v>37.195</v>
      </c>
      <c r="U955" s="4">
        <v>0.046</v>
      </c>
      <c r="V955" s="4">
        <v>5.1551</v>
      </c>
      <c r="AB955" s="4" t="s">
        <v>896</v>
      </c>
      <c r="AE955" s="4" t="s">
        <v>897</v>
      </c>
      <c r="AF955" s="4" t="s">
        <v>898</v>
      </c>
      <c r="AG955" s="4" t="s">
        <v>891</v>
      </c>
      <c r="AI955" s="4" t="s">
        <v>892</v>
      </c>
      <c r="AJ955" s="4" t="s">
        <v>893</v>
      </c>
      <c r="AK955" s="4" t="s">
        <v>894</v>
      </c>
      <c r="AL955" s="4" t="s">
        <v>689</v>
      </c>
      <c r="AQ955" s="4" t="s">
        <v>7</v>
      </c>
      <c r="AR955" s="4">
        <v>13</v>
      </c>
      <c r="AS955" s="4" t="s">
        <v>11</v>
      </c>
      <c r="AT955" s="4">
        <v>193.5</v>
      </c>
      <c r="BI955" s="4" t="s">
        <v>321</v>
      </c>
      <c r="BL955" s="4">
        <v>50</v>
      </c>
      <c r="BM955" s="4">
        <v>0.1</v>
      </c>
      <c r="BV955" s="4" t="s">
        <v>904</v>
      </c>
      <c r="BW955" s="4" t="s">
        <v>902</v>
      </c>
      <c r="BX955" s="4" t="s">
        <v>645</v>
      </c>
      <c r="CB955" s="4" t="s">
        <v>7</v>
      </c>
      <c r="CC955" s="4">
        <v>13</v>
      </c>
      <c r="CE955" s="4" t="s">
        <v>11</v>
      </c>
      <c r="CF955" s="4">
        <v>193.5</v>
      </c>
      <c r="DO955" s="4">
        <v>3</v>
      </c>
      <c r="DY955" s="4">
        <v>0</v>
      </c>
      <c r="DZ955" s="1">
        <v>0</v>
      </c>
      <c r="EA955" s="4">
        <v>100</v>
      </c>
      <c r="EB955" s="1">
        <v>0</v>
      </c>
      <c r="ED955" s="4">
        <v>100</v>
      </c>
      <c r="GG955" s="4">
        <v>0</v>
      </c>
      <c r="GH955" s="1">
        <v>0</v>
      </c>
      <c r="GI955" s="4">
        <v>92.26</v>
      </c>
      <c r="GJ955" s="36">
        <v>1.2</v>
      </c>
      <c r="GK955" s="36"/>
      <c r="GL955" s="4">
        <v>92.26</v>
      </c>
    </row>
    <row r="956" customHeight="1" spans="1:314">
      <c r="A956" s="16">
        <v>27</v>
      </c>
      <c r="B956" s="4" t="s">
        <v>885</v>
      </c>
      <c r="C956" s="5" t="s">
        <v>895</v>
      </c>
      <c r="D956" s="4" t="s">
        <v>529</v>
      </c>
      <c r="E956" s="4" t="s">
        <v>887</v>
      </c>
      <c r="H956" s="4" t="s">
        <v>328</v>
      </c>
      <c r="I956" s="4" t="s">
        <v>888</v>
      </c>
      <c r="N956" s="4" t="s">
        <v>567</v>
      </c>
      <c r="O956" s="4" t="s">
        <v>343</v>
      </c>
      <c r="Q956" s="4" t="s">
        <v>540</v>
      </c>
      <c r="T956" s="4">
        <v>37.195</v>
      </c>
      <c r="U956" s="4">
        <v>0.046</v>
      </c>
      <c r="V956" s="4">
        <v>5.1551</v>
      </c>
      <c r="AB956" s="4" t="s">
        <v>896</v>
      </c>
      <c r="AE956" s="4" t="s">
        <v>897</v>
      </c>
      <c r="AF956" s="4" t="s">
        <v>898</v>
      </c>
      <c r="AG956" s="4" t="s">
        <v>891</v>
      </c>
      <c r="AI956" s="4" t="s">
        <v>892</v>
      </c>
      <c r="AJ956" s="4" t="s">
        <v>893</v>
      </c>
      <c r="AK956" s="4" t="s">
        <v>894</v>
      </c>
      <c r="AL956" s="4" t="s">
        <v>689</v>
      </c>
      <c r="AQ956" s="4" t="s">
        <v>7</v>
      </c>
      <c r="AR956" s="4">
        <v>13</v>
      </c>
      <c r="AS956" s="4" t="s">
        <v>11</v>
      </c>
      <c r="AT956" s="4">
        <v>193.5</v>
      </c>
      <c r="BI956" s="4" t="s">
        <v>321</v>
      </c>
      <c r="BL956" s="4">
        <v>50</v>
      </c>
      <c r="BM956" s="4">
        <v>0.1</v>
      </c>
      <c r="BV956" s="4" t="s">
        <v>905</v>
      </c>
      <c r="BW956" s="4" t="s">
        <v>902</v>
      </c>
      <c r="BX956" s="4" t="s">
        <v>645</v>
      </c>
      <c r="CB956" s="4" t="s">
        <v>7</v>
      </c>
      <c r="CC956" s="4">
        <v>13</v>
      </c>
      <c r="CE956" s="4" t="s">
        <v>11</v>
      </c>
      <c r="CF956" s="4">
        <v>193.5</v>
      </c>
      <c r="DO956" s="4">
        <v>3</v>
      </c>
      <c r="DY956" s="4">
        <v>0</v>
      </c>
      <c r="DZ956" s="1">
        <v>0</v>
      </c>
      <c r="EA956" s="4">
        <v>100</v>
      </c>
      <c r="EB956" s="1">
        <v>0</v>
      </c>
      <c r="ED956" s="4">
        <v>100</v>
      </c>
      <c r="GG956" s="4">
        <v>0</v>
      </c>
      <c r="GH956" s="1">
        <v>0</v>
      </c>
      <c r="GI956" s="4">
        <v>100</v>
      </c>
      <c r="GJ956" s="36">
        <v>0.24</v>
      </c>
      <c r="GK956" s="36"/>
      <c r="GL956" s="4">
        <v>100</v>
      </c>
    </row>
    <row r="957" customHeight="1" spans="1:314">
      <c r="A957" s="3">
        <v>28</v>
      </c>
      <c r="B957" s="4" t="s">
        <v>906</v>
      </c>
      <c r="C957" s="5" t="s">
        <v>449</v>
      </c>
      <c r="D957" s="4" t="s">
        <v>300</v>
      </c>
      <c r="E957" s="4" t="s">
        <v>450</v>
      </c>
      <c r="H957" s="4" t="s">
        <v>328</v>
      </c>
      <c r="I957" s="4" t="s">
        <v>451</v>
      </c>
      <c r="N957" s="24" t="s">
        <v>302</v>
      </c>
      <c r="O957" s="24" t="s">
        <v>303</v>
      </c>
      <c r="T957" s="4">
        <v>123.26</v>
      </c>
      <c r="U957" s="4">
        <v>0.01176</v>
      </c>
      <c r="V957" s="4">
        <v>3.87</v>
      </c>
      <c r="AB957" s="4" t="s">
        <v>452</v>
      </c>
      <c r="AC957" s="4" t="s">
        <v>453</v>
      </c>
      <c r="AD957" s="4" t="s">
        <v>454</v>
      </c>
      <c r="AE957" s="4" t="s">
        <v>455</v>
      </c>
      <c r="AF957" s="63" t="s">
        <v>456</v>
      </c>
      <c r="AH957" s="4" t="s">
        <v>907</v>
      </c>
      <c r="AI957" s="4" t="s">
        <v>908</v>
      </c>
      <c r="AJ957" s="4" t="s">
        <v>909</v>
      </c>
      <c r="AK957" s="4" t="s">
        <v>910</v>
      </c>
      <c r="DO957" s="4">
        <v>3</v>
      </c>
      <c r="GI957" s="4"/>
      <c r="GL957" s="4"/>
      <c r="LB957" s="1" t="s">
        <v>460</v>
      </c>
    </row>
    <row r="958" customHeight="1" spans="1:314">
      <c r="A958" s="3">
        <v>28</v>
      </c>
      <c r="B958" s="4" t="s">
        <v>906</v>
      </c>
      <c r="C958" s="5" t="s">
        <v>449</v>
      </c>
      <c r="D958" s="4" t="s">
        <v>300</v>
      </c>
      <c r="E958" s="4" t="s">
        <v>450</v>
      </c>
      <c r="H958" s="4" t="s">
        <v>328</v>
      </c>
      <c r="I958" s="4" t="s">
        <v>451</v>
      </c>
      <c r="N958" s="24" t="s">
        <v>302</v>
      </c>
      <c r="O958" s="24" t="s">
        <v>303</v>
      </c>
      <c r="T958" s="4">
        <v>123.26</v>
      </c>
      <c r="U958" s="4">
        <v>0.01176</v>
      </c>
      <c r="V958" s="4">
        <v>3.87</v>
      </c>
      <c r="AB958" s="4" t="s">
        <v>452</v>
      </c>
      <c r="AC958" s="4" t="s">
        <v>453</v>
      </c>
      <c r="AD958" s="4" t="s">
        <v>454</v>
      </c>
      <c r="AE958" s="4" t="s">
        <v>455</v>
      </c>
      <c r="AF958" s="63" t="s">
        <v>456</v>
      </c>
      <c r="AH958" s="4" t="s">
        <v>907</v>
      </c>
      <c r="AI958" s="4" t="s">
        <v>908</v>
      </c>
      <c r="AJ958" s="4" t="s">
        <v>909</v>
      </c>
      <c r="AK958" s="4" t="s">
        <v>910</v>
      </c>
      <c r="DO958" s="4">
        <v>3</v>
      </c>
      <c r="GI958" s="4"/>
      <c r="GL958" s="4"/>
    </row>
    <row r="959" customHeight="1" spans="1:314">
      <c r="A959" s="3">
        <v>28</v>
      </c>
      <c r="B959" s="4" t="s">
        <v>906</v>
      </c>
      <c r="C959" s="5" t="s">
        <v>449</v>
      </c>
      <c r="D959" s="4" t="s">
        <v>300</v>
      </c>
      <c r="E959" s="4" t="s">
        <v>450</v>
      </c>
      <c r="H959" s="4" t="s">
        <v>328</v>
      </c>
      <c r="I959" s="4" t="s">
        <v>451</v>
      </c>
      <c r="N959" s="24" t="s">
        <v>302</v>
      </c>
      <c r="O959" s="24" t="s">
        <v>303</v>
      </c>
      <c r="T959" s="4">
        <v>123.26</v>
      </c>
      <c r="U959" s="4">
        <v>0.01176</v>
      </c>
      <c r="V959" s="4">
        <v>3.87</v>
      </c>
      <c r="AB959" s="4" t="s">
        <v>452</v>
      </c>
      <c r="AC959" s="4" t="s">
        <v>453</v>
      </c>
      <c r="AD959" s="4" t="s">
        <v>454</v>
      </c>
      <c r="AE959" s="4" t="s">
        <v>455</v>
      </c>
      <c r="AF959" s="63" t="s">
        <v>456</v>
      </c>
      <c r="AH959" s="4" t="s">
        <v>907</v>
      </c>
      <c r="AI959" s="4" t="s">
        <v>908</v>
      </c>
      <c r="AJ959" s="4" t="s">
        <v>909</v>
      </c>
      <c r="AK959" s="4" t="s">
        <v>910</v>
      </c>
      <c r="DO959" s="4">
        <v>3</v>
      </c>
      <c r="GI959" s="4"/>
      <c r="GL959" s="4"/>
    </row>
    <row r="960" customHeight="1" spans="1:314">
      <c r="A960" s="3">
        <v>28</v>
      </c>
      <c r="B960" s="4" t="s">
        <v>906</v>
      </c>
      <c r="C960" s="5" t="s">
        <v>449</v>
      </c>
      <c r="D960" s="4" t="s">
        <v>300</v>
      </c>
      <c r="E960" s="4" t="s">
        <v>450</v>
      </c>
      <c r="H960" s="4" t="s">
        <v>328</v>
      </c>
      <c r="I960" s="4" t="s">
        <v>451</v>
      </c>
      <c r="N960" s="24" t="s">
        <v>302</v>
      </c>
      <c r="O960" s="24" t="s">
        <v>303</v>
      </c>
      <c r="T960" s="4">
        <v>123.26</v>
      </c>
      <c r="U960" s="4">
        <v>0.01176</v>
      </c>
      <c r="V960" s="4">
        <v>3.87</v>
      </c>
      <c r="AB960" s="4" t="s">
        <v>452</v>
      </c>
      <c r="AC960" s="4" t="s">
        <v>453</v>
      </c>
      <c r="AD960" s="4" t="s">
        <v>454</v>
      </c>
      <c r="AE960" s="4" t="s">
        <v>455</v>
      </c>
      <c r="AF960" s="63" t="s">
        <v>456</v>
      </c>
      <c r="AH960" s="4" t="s">
        <v>907</v>
      </c>
      <c r="AI960" s="4" t="s">
        <v>908</v>
      </c>
      <c r="AJ960" s="4" t="s">
        <v>909</v>
      </c>
      <c r="AK960" s="4" t="s">
        <v>910</v>
      </c>
      <c r="DO960" s="4">
        <v>3</v>
      </c>
      <c r="GI960" s="4"/>
      <c r="GL960" s="4"/>
    </row>
    <row r="961" customHeight="1" spans="1:239">
      <c r="A961" s="3">
        <v>28</v>
      </c>
      <c r="B961" s="4" t="s">
        <v>906</v>
      </c>
      <c r="C961" s="5" t="s">
        <v>449</v>
      </c>
      <c r="D961" s="4" t="s">
        <v>300</v>
      </c>
      <c r="E961" s="4" t="s">
        <v>450</v>
      </c>
      <c r="H961" s="4" t="s">
        <v>328</v>
      </c>
      <c r="I961" s="4" t="s">
        <v>451</v>
      </c>
      <c r="N961" s="24" t="s">
        <v>302</v>
      </c>
      <c r="O961" s="24" t="s">
        <v>303</v>
      </c>
      <c r="T961" s="4">
        <v>123.26</v>
      </c>
      <c r="U961" s="4">
        <v>0.01176</v>
      </c>
      <c r="V961" s="4">
        <v>3.87</v>
      </c>
      <c r="AB961" s="4" t="s">
        <v>452</v>
      </c>
      <c r="AC961" s="4" t="s">
        <v>453</v>
      </c>
      <c r="AD961" s="4" t="s">
        <v>454</v>
      </c>
      <c r="AE961" s="4" t="s">
        <v>455</v>
      </c>
      <c r="AF961" s="63" t="s">
        <v>456</v>
      </c>
      <c r="AH961" s="4" t="s">
        <v>907</v>
      </c>
      <c r="AI961" s="4" t="s">
        <v>908</v>
      </c>
      <c r="AJ961" s="4" t="s">
        <v>909</v>
      </c>
      <c r="AK961" s="4" t="s">
        <v>910</v>
      </c>
      <c r="DO961" s="4">
        <v>3</v>
      </c>
      <c r="GI961" s="4"/>
      <c r="GL961" s="4"/>
    </row>
    <row r="962" customHeight="1" spans="1:239">
      <c r="A962" s="3">
        <v>28</v>
      </c>
      <c r="B962" s="4" t="s">
        <v>906</v>
      </c>
      <c r="C962" s="5" t="s">
        <v>449</v>
      </c>
      <c r="D962" s="4" t="s">
        <v>300</v>
      </c>
      <c r="E962" s="4" t="s">
        <v>450</v>
      </c>
      <c r="H962" s="4" t="s">
        <v>328</v>
      </c>
      <c r="I962" s="4" t="s">
        <v>451</v>
      </c>
      <c r="N962" s="24" t="s">
        <v>302</v>
      </c>
      <c r="O962" s="24" t="s">
        <v>303</v>
      </c>
      <c r="T962" s="4">
        <v>123.26</v>
      </c>
      <c r="U962" s="4">
        <v>0.01176</v>
      </c>
      <c r="V962" s="4">
        <v>3.87</v>
      </c>
      <c r="AB962" s="4" t="s">
        <v>452</v>
      </c>
      <c r="AC962" s="4" t="s">
        <v>453</v>
      </c>
      <c r="AD962" s="4" t="s">
        <v>454</v>
      </c>
      <c r="AE962" s="4" t="s">
        <v>455</v>
      </c>
      <c r="AF962" s="63" t="s">
        <v>456</v>
      </c>
      <c r="AH962" s="4" t="s">
        <v>907</v>
      </c>
      <c r="AI962" s="4" t="s">
        <v>908</v>
      </c>
      <c r="AJ962" s="4" t="s">
        <v>909</v>
      </c>
      <c r="AK962" s="4" t="s">
        <v>910</v>
      </c>
      <c r="DO962" s="4">
        <v>3</v>
      </c>
      <c r="GI962" s="4"/>
      <c r="GL962" s="4"/>
    </row>
    <row r="963" customHeight="1" spans="1:239">
      <c r="A963" s="3">
        <v>28</v>
      </c>
      <c r="B963" s="4" t="s">
        <v>906</v>
      </c>
      <c r="C963" s="5" t="s">
        <v>449</v>
      </c>
      <c r="D963" s="4" t="s">
        <v>300</v>
      </c>
      <c r="E963" s="4" t="s">
        <v>450</v>
      </c>
      <c r="H963" s="4" t="s">
        <v>328</v>
      </c>
      <c r="I963" s="4" t="s">
        <v>451</v>
      </c>
      <c r="N963" s="24" t="s">
        <v>302</v>
      </c>
      <c r="O963" s="24" t="s">
        <v>303</v>
      </c>
      <c r="T963" s="4">
        <v>123.26</v>
      </c>
      <c r="U963" s="4">
        <v>0.01176</v>
      </c>
      <c r="V963" s="4">
        <v>3.87</v>
      </c>
      <c r="AB963" s="4" t="s">
        <v>452</v>
      </c>
      <c r="AC963" s="4" t="s">
        <v>453</v>
      </c>
      <c r="AD963" s="4" t="s">
        <v>454</v>
      </c>
      <c r="AE963" s="4" t="s">
        <v>455</v>
      </c>
      <c r="AF963" s="63" t="s">
        <v>456</v>
      </c>
      <c r="AH963" s="4" t="s">
        <v>907</v>
      </c>
      <c r="AI963" s="4" t="s">
        <v>908</v>
      </c>
      <c r="AJ963" s="4" t="s">
        <v>909</v>
      </c>
      <c r="AK963" s="4" t="s">
        <v>910</v>
      </c>
      <c r="DO963" s="4">
        <v>3</v>
      </c>
      <c r="GI963" s="4"/>
      <c r="GL963" s="4"/>
    </row>
    <row r="964" customHeight="1" spans="1:239">
      <c r="A964" s="3">
        <v>28</v>
      </c>
      <c r="B964" s="4" t="s">
        <v>906</v>
      </c>
      <c r="C964" s="5" t="s">
        <v>449</v>
      </c>
      <c r="D964" s="4" t="s">
        <v>300</v>
      </c>
      <c r="E964" s="4" t="s">
        <v>450</v>
      </c>
      <c r="H964" s="4" t="s">
        <v>328</v>
      </c>
      <c r="I964" s="4" t="s">
        <v>451</v>
      </c>
      <c r="N964" s="24" t="s">
        <v>302</v>
      </c>
      <c r="O964" s="24" t="s">
        <v>303</v>
      </c>
      <c r="T964" s="4">
        <v>123.26</v>
      </c>
      <c r="U964" s="4">
        <v>0.01176</v>
      </c>
      <c r="V964" s="4">
        <v>3.87</v>
      </c>
      <c r="AB964" s="4" t="s">
        <v>452</v>
      </c>
      <c r="AC964" s="4" t="s">
        <v>453</v>
      </c>
      <c r="AD964" s="4" t="s">
        <v>454</v>
      </c>
      <c r="AE964" s="4" t="s">
        <v>455</v>
      </c>
      <c r="AF964" s="63" t="s">
        <v>456</v>
      </c>
      <c r="AH964" s="4" t="s">
        <v>907</v>
      </c>
      <c r="AI964" s="4" t="s">
        <v>908</v>
      </c>
      <c r="AJ964" s="4" t="s">
        <v>909</v>
      </c>
      <c r="AK964" s="4" t="s">
        <v>910</v>
      </c>
      <c r="DO964" s="4">
        <v>3</v>
      </c>
      <c r="GI964" s="4">
        <v>43.87</v>
      </c>
      <c r="GL964" s="4">
        <v>43.87</v>
      </c>
    </row>
    <row r="965" customHeight="1" spans="1:239">
      <c r="A965" s="39">
        <v>29</v>
      </c>
      <c r="B965" s="4" t="s">
        <v>911</v>
      </c>
      <c r="C965" s="5" t="s">
        <v>912</v>
      </c>
      <c r="D965" s="4" t="s">
        <v>300</v>
      </c>
      <c r="AB965" s="4" t="s">
        <v>913</v>
      </c>
      <c r="AC965" s="4" t="s">
        <v>914</v>
      </c>
      <c r="AE965" s="4" t="s">
        <v>915</v>
      </c>
      <c r="AF965" s="4" t="s">
        <v>916</v>
      </c>
      <c r="AH965" s="4" t="s">
        <v>371</v>
      </c>
      <c r="AM965" s="4">
        <v>6.4</v>
      </c>
      <c r="AQ965" s="4" t="s">
        <v>464</v>
      </c>
      <c r="AR965" s="4">
        <v>26.75</v>
      </c>
      <c r="AS965" s="4" t="s">
        <v>11</v>
      </c>
      <c r="AT965" s="4">
        <v>6.34</v>
      </c>
      <c r="AU965" s="4" t="s">
        <v>14</v>
      </c>
      <c r="AV965" s="4">
        <v>68.65</v>
      </c>
      <c r="AW965" s="4" t="s">
        <v>16</v>
      </c>
      <c r="AX965" s="4">
        <v>6.76</v>
      </c>
      <c r="AY965" s="4" t="s">
        <v>7</v>
      </c>
      <c r="AZ965" s="4">
        <v>0.22</v>
      </c>
      <c r="BI965" s="4" t="s">
        <v>321</v>
      </c>
      <c r="BK965" s="4">
        <v>25</v>
      </c>
      <c r="BL965" s="4">
        <v>1</v>
      </c>
      <c r="BN965" s="4">
        <v>1</v>
      </c>
      <c r="BV965" s="4" t="s">
        <v>917</v>
      </c>
      <c r="BW965" s="4">
        <v>25</v>
      </c>
      <c r="CB965" s="4" t="s">
        <v>12</v>
      </c>
      <c r="CC965" s="4">
        <v>200</v>
      </c>
      <c r="CE965" s="4" t="s">
        <v>11</v>
      </c>
      <c r="CF965" s="4">
        <v>200</v>
      </c>
      <c r="CH965" s="4" t="s">
        <v>14</v>
      </c>
      <c r="CI965" s="4">
        <v>200</v>
      </c>
      <c r="CK965" s="4" t="s">
        <v>7</v>
      </c>
      <c r="CL965" s="4">
        <v>200</v>
      </c>
      <c r="CV965" s="4">
        <v>180</v>
      </c>
      <c r="DM965" s="4">
        <v>420</v>
      </c>
      <c r="DO965" s="4">
        <v>3</v>
      </c>
      <c r="DW965" s="1">
        <v>52.9</v>
      </c>
      <c r="DX965" s="1">
        <v>1.68</v>
      </c>
      <c r="EA965" s="4">
        <v>53.22</v>
      </c>
      <c r="ED965" s="4">
        <v>53.22</v>
      </c>
      <c r="GE965" s="1">
        <v>43.61</v>
      </c>
      <c r="GF965" s="1">
        <v>1.71</v>
      </c>
      <c r="GI965" s="4"/>
      <c r="GL965" s="4"/>
      <c r="GT965" s="1">
        <v>55.24</v>
      </c>
      <c r="GU965" s="1">
        <v>1.92</v>
      </c>
      <c r="GX965" s="4">
        <v>55.6</v>
      </c>
      <c r="HA965" s="4">
        <v>55.6</v>
      </c>
      <c r="IB965" s="4">
        <v>53.17</v>
      </c>
      <c r="IE965" s="4">
        <v>53.17</v>
      </c>
    </row>
    <row r="966" customHeight="1" spans="1:239">
      <c r="A966" s="39">
        <v>29</v>
      </c>
      <c r="B966" s="4" t="s">
        <v>911</v>
      </c>
      <c r="C966" s="5" t="s">
        <v>912</v>
      </c>
      <c r="D966" s="4" t="s">
        <v>300</v>
      </c>
      <c r="AB966" s="4" t="s">
        <v>913</v>
      </c>
      <c r="AC966" s="4" t="s">
        <v>914</v>
      </c>
      <c r="AE966" s="4" t="s">
        <v>915</v>
      </c>
      <c r="AF966" s="4" t="s">
        <v>916</v>
      </c>
      <c r="AH966" s="4" t="s">
        <v>371</v>
      </c>
      <c r="AM966" s="4">
        <v>6.4</v>
      </c>
      <c r="AQ966" s="4" t="s">
        <v>464</v>
      </c>
      <c r="AR966" s="4">
        <v>26.75</v>
      </c>
      <c r="AS966" s="4" t="s">
        <v>11</v>
      </c>
      <c r="AT966" s="4">
        <v>6.34</v>
      </c>
      <c r="AU966" s="4" t="s">
        <v>14</v>
      </c>
      <c r="AV966" s="4">
        <v>68.65</v>
      </c>
      <c r="AW966" s="4" t="s">
        <v>16</v>
      </c>
      <c r="AX966" s="4">
        <v>6.76</v>
      </c>
      <c r="AY966" s="4" t="s">
        <v>7</v>
      </c>
      <c r="AZ966" s="4">
        <v>0.22</v>
      </c>
      <c r="BI966" s="4" t="s">
        <v>321</v>
      </c>
      <c r="BK966" s="4">
        <v>25</v>
      </c>
      <c r="BL966" s="4">
        <v>1</v>
      </c>
      <c r="BN966" s="4">
        <v>1</v>
      </c>
      <c r="BV966" s="4">
        <v>420</v>
      </c>
      <c r="BW966" s="4">
        <v>25</v>
      </c>
      <c r="CB966" s="4" t="s">
        <v>12</v>
      </c>
      <c r="CC966" s="4" t="s">
        <v>918</v>
      </c>
      <c r="CE966" s="4" t="s">
        <v>11</v>
      </c>
      <c r="CF966" s="4" t="s">
        <v>918</v>
      </c>
      <c r="CH966" s="4" t="s">
        <v>14</v>
      </c>
      <c r="CI966" s="4" t="s">
        <v>918</v>
      </c>
      <c r="CK966" s="4" t="s">
        <v>7</v>
      </c>
      <c r="CL966" s="4" t="s">
        <v>918</v>
      </c>
      <c r="DB966" s="4" t="s">
        <v>919</v>
      </c>
      <c r="DC966" s="4" t="s">
        <v>920</v>
      </c>
      <c r="DO966" s="4">
        <v>3</v>
      </c>
      <c r="EA966" s="4"/>
      <c r="ED966" s="4"/>
      <c r="GI966" s="4">
        <v>62.39</v>
      </c>
      <c r="GL966" s="4">
        <v>62.39</v>
      </c>
      <c r="GX966" s="4"/>
      <c r="HA966" s="4"/>
      <c r="IB966" s="4"/>
      <c r="IE966" s="4"/>
    </row>
    <row r="967" customHeight="1" spans="1:239">
      <c r="A967" s="39">
        <v>29</v>
      </c>
      <c r="B967" s="4" t="s">
        <v>911</v>
      </c>
      <c r="C967" s="5" t="s">
        <v>921</v>
      </c>
      <c r="D967" s="4" t="s">
        <v>300</v>
      </c>
      <c r="H967" s="4" t="s">
        <v>328</v>
      </c>
      <c r="I967" s="4" t="s">
        <v>922</v>
      </c>
      <c r="J967" s="4">
        <v>5.14</v>
      </c>
      <c r="AB967" s="4" t="s">
        <v>923</v>
      </c>
      <c r="AC967" s="4" t="s">
        <v>924</v>
      </c>
      <c r="AD967" s="4" t="s">
        <v>925</v>
      </c>
      <c r="AE967" s="4" t="s">
        <v>926</v>
      </c>
      <c r="AF967" s="4" t="s">
        <v>927</v>
      </c>
      <c r="AH967" s="4" t="s">
        <v>371</v>
      </c>
      <c r="AM967" s="4">
        <v>6.4</v>
      </c>
      <c r="AQ967" s="4" t="s">
        <v>464</v>
      </c>
      <c r="AR967" s="4">
        <v>26.75</v>
      </c>
      <c r="AS967" s="4" t="s">
        <v>11</v>
      </c>
      <c r="AT967" s="4">
        <v>6.34</v>
      </c>
      <c r="AU967" s="4" t="s">
        <v>14</v>
      </c>
      <c r="AV967" s="4">
        <v>68.65</v>
      </c>
      <c r="AW967" s="4" t="s">
        <v>16</v>
      </c>
      <c r="AX967" s="4">
        <v>6.76</v>
      </c>
      <c r="AY967" s="4" t="s">
        <v>7</v>
      </c>
      <c r="AZ967" s="4">
        <v>0.22</v>
      </c>
      <c r="BI967" s="4" t="s">
        <v>321</v>
      </c>
      <c r="BK967" s="4">
        <v>25</v>
      </c>
      <c r="BL967" s="4">
        <v>1</v>
      </c>
      <c r="BN967" s="4">
        <v>1</v>
      </c>
      <c r="BV967" s="4" t="s">
        <v>917</v>
      </c>
      <c r="BW967" s="4">
        <v>25</v>
      </c>
      <c r="CB967" s="4" t="s">
        <v>12</v>
      </c>
      <c r="CC967" s="4">
        <v>200</v>
      </c>
      <c r="CE967" s="4" t="s">
        <v>11</v>
      </c>
      <c r="CF967" s="4">
        <v>200</v>
      </c>
      <c r="CH967" s="4" t="s">
        <v>14</v>
      </c>
      <c r="CI967" s="4">
        <v>200</v>
      </c>
      <c r="CK967" s="4" t="s">
        <v>7</v>
      </c>
      <c r="CL967" s="4">
        <v>200</v>
      </c>
      <c r="CV967" s="4">
        <v>180</v>
      </c>
      <c r="DM967" s="4">
        <v>420</v>
      </c>
      <c r="DO967" s="4">
        <v>3</v>
      </c>
      <c r="DW967" s="1">
        <v>56.45</v>
      </c>
      <c r="DX967" s="1">
        <v>1.12</v>
      </c>
      <c r="EA967" s="4">
        <v>56.53</v>
      </c>
      <c r="ED967" s="4">
        <v>56.53</v>
      </c>
      <c r="GE967" s="1">
        <v>60.5</v>
      </c>
      <c r="GF967" s="1">
        <v>1.71</v>
      </c>
      <c r="GI967" s="4"/>
      <c r="GL967" s="4"/>
      <c r="GT967" s="1">
        <v>59.5</v>
      </c>
      <c r="GU967" s="1">
        <v>1.49</v>
      </c>
      <c r="GX967" s="4">
        <v>59.57</v>
      </c>
      <c r="HA967" s="4">
        <v>59.57</v>
      </c>
      <c r="IB967" s="4">
        <v>56.49</v>
      </c>
      <c r="IE967" s="4">
        <v>56.49</v>
      </c>
    </row>
    <row r="968" customHeight="1" spans="1:239">
      <c r="A968" s="39">
        <v>29</v>
      </c>
      <c r="B968" s="4" t="s">
        <v>911</v>
      </c>
      <c r="C968" s="5" t="s">
        <v>921</v>
      </c>
      <c r="D968" s="4" t="s">
        <v>300</v>
      </c>
      <c r="H968" s="4" t="s">
        <v>328</v>
      </c>
      <c r="I968" s="4" t="s">
        <v>922</v>
      </c>
      <c r="J968" s="4">
        <v>5.14</v>
      </c>
      <c r="AB968" s="4" t="s">
        <v>923</v>
      </c>
      <c r="AC968" s="4" t="s">
        <v>924</v>
      </c>
      <c r="AD968" s="4" t="s">
        <v>925</v>
      </c>
      <c r="AE968" s="4" t="s">
        <v>926</v>
      </c>
      <c r="AF968" s="4" t="s">
        <v>927</v>
      </c>
      <c r="AH968" s="4" t="s">
        <v>371</v>
      </c>
      <c r="AM968" s="4">
        <v>6.4</v>
      </c>
      <c r="AQ968" s="4" t="s">
        <v>464</v>
      </c>
      <c r="AR968" s="4">
        <v>26.75</v>
      </c>
      <c r="AS968" s="4" t="s">
        <v>11</v>
      </c>
      <c r="AT968" s="4">
        <v>6.34</v>
      </c>
      <c r="AU968" s="4" t="s">
        <v>14</v>
      </c>
      <c r="AV968" s="4">
        <v>68.65</v>
      </c>
      <c r="AW968" s="4" t="s">
        <v>16</v>
      </c>
      <c r="AX968" s="4">
        <v>6.76</v>
      </c>
      <c r="AY968" s="4" t="s">
        <v>7</v>
      </c>
      <c r="AZ968" s="4">
        <v>0.22</v>
      </c>
      <c r="BI968" s="4" t="s">
        <v>321</v>
      </c>
      <c r="BK968" s="4">
        <v>25</v>
      </c>
      <c r="BL968" s="4">
        <v>1</v>
      </c>
      <c r="BN968" s="4">
        <v>1</v>
      </c>
      <c r="BV968" s="4">
        <v>420</v>
      </c>
      <c r="BW968" s="4">
        <v>25</v>
      </c>
      <c r="CB968" s="4" t="s">
        <v>12</v>
      </c>
      <c r="CC968" s="4" t="s">
        <v>918</v>
      </c>
      <c r="CE968" s="4" t="s">
        <v>11</v>
      </c>
      <c r="CF968" s="4" t="s">
        <v>918</v>
      </c>
      <c r="CH968" s="4" t="s">
        <v>14</v>
      </c>
      <c r="CI968" s="4" t="s">
        <v>918</v>
      </c>
      <c r="CK968" s="4" t="s">
        <v>7</v>
      </c>
      <c r="CL968" s="4" t="s">
        <v>918</v>
      </c>
      <c r="DB968" s="4" t="s">
        <v>919</v>
      </c>
      <c r="DC968" s="4" t="s">
        <v>920</v>
      </c>
      <c r="DE968" s="4">
        <v>186.7</v>
      </c>
      <c r="DG968" s="4">
        <v>181.7</v>
      </c>
      <c r="DH968" s="4">
        <v>130.3</v>
      </c>
      <c r="DI968" s="4">
        <v>125.5</v>
      </c>
      <c r="DO968" s="4">
        <v>3</v>
      </c>
      <c r="DW968" s="4">
        <v>125.5</v>
      </c>
      <c r="EA968" s="4"/>
      <c r="ED968" s="4"/>
      <c r="GE968" s="29">
        <v>181.7</v>
      </c>
      <c r="GI968" s="4"/>
      <c r="GL968" s="4"/>
      <c r="GT968" s="29">
        <v>186.7</v>
      </c>
      <c r="GX968" s="4"/>
      <c r="HA968" s="4"/>
      <c r="HX968" s="29">
        <v>130.3</v>
      </c>
      <c r="IB968" s="4"/>
      <c r="IE968" s="4"/>
    </row>
    <row r="969" customHeight="1" spans="1:239">
      <c r="A969" s="39">
        <v>29</v>
      </c>
      <c r="B969" s="4" t="s">
        <v>911</v>
      </c>
      <c r="C969" s="5" t="s">
        <v>921</v>
      </c>
      <c r="D969" s="4" t="s">
        <v>300</v>
      </c>
      <c r="H969" s="4" t="s">
        <v>328</v>
      </c>
      <c r="I969" s="4" t="s">
        <v>922</v>
      </c>
      <c r="J969" s="4">
        <v>5.14</v>
      </c>
      <c r="AB969" s="4" t="s">
        <v>923</v>
      </c>
      <c r="AC969" s="4" t="s">
        <v>924</v>
      </c>
      <c r="AD969" s="4" t="s">
        <v>925</v>
      </c>
      <c r="AE969" s="4" t="s">
        <v>926</v>
      </c>
      <c r="AF969" s="4" t="s">
        <v>927</v>
      </c>
      <c r="AH969" s="4" t="s">
        <v>371</v>
      </c>
      <c r="AM969" s="4">
        <v>6.4</v>
      </c>
      <c r="AQ969" s="4" t="s">
        <v>464</v>
      </c>
      <c r="AR969" s="4">
        <v>26.75</v>
      </c>
      <c r="AS969" s="4" t="s">
        <v>11</v>
      </c>
      <c r="AT969" s="4">
        <v>6.34</v>
      </c>
      <c r="AU969" s="4" t="s">
        <v>14</v>
      </c>
      <c r="AV969" s="4">
        <v>68.65</v>
      </c>
      <c r="AW969" s="4" t="s">
        <v>16</v>
      </c>
      <c r="AX969" s="4">
        <v>6.76</v>
      </c>
      <c r="AY969" s="4" t="s">
        <v>7</v>
      </c>
      <c r="AZ969" s="4">
        <v>0.22</v>
      </c>
      <c r="BI969" s="4" t="s">
        <v>321</v>
      </c>
      <c r="BL969" s="4">
        <v>75</v>
      </c>
      <c r="BM969" s="4">
        <v>0.125</v>
      </c>
      <c r="BU969" s="4">
        <v>30</v>
      </c>
      <c r="CB969" s="4" t="s">
        <v>12</v>
      </c>
      <c r="CC969" s="4">
        <v>200</v>
      </c>
      <c r="CE969" s="4" t="s">
        <v>11</v>
      </c>
      <c r="CF969" s="4">
        <v>200</v>
      </c>
      <c r="CH969" s="4" t="s">
        <v>14</v>
      </c>
      <c r="CI969" s="4">
        <v>200</v>
      </c>
      <c r="DO969" s="4">
        <v>3</v>
      </c>
      <c r="DS969" s="4">
        <v>0.12</v>
      </c>
      <c r="EA969" s="4"/>
      <c r="EC969" s="1">
        <f>199.88/2</f>
        <v>99.94</v>
      </c>
      <c r="ED969" s="4">
        <v>99.94</v>
      </c>
      <c r="GA969" s="4">
        <v>2.11</v>
      </c>
      <c r="GK969" s="1">
        <f>(200-GA969)/2</f>
        <v>98.945</v>
      </c>
      <c r="GL969" s="1">
        <v>98.945</v>
      </c>
      <c r="GP969" s="4">
        <v>10.83</v>
      </c>
      <c r="GX969" s="4"/>
      <c r="GZ969" s="1">
        <f>(200-GP969)/2</f>
        <v>94.585</v>
      </c>
      <c r="HA969" s="4">
        <v>94.585</v>
      </c>
      <c r="HT969" s="4">
        <v>11.42</v>
      </c>
      <c r="IB969" s="4"/>
      <c r="ID969" s="1">
        <f>(200-11.42)/2</f>
        <v>94.29</v>
      </c>
      <c r="IE969" s="4">
        <v>94.29</v>
      </c>
    </row>
    <row r="970" customHeight="1" spans="1:239">
      <c r="A970" s="39">
        <v>29</v>
      </c>
      <c r="B970" s="4" t="s">
        <v>911</v>
      </c>
      <c r="C970" s="5" t="s">
        <v>928</v>
      </c>
      <c r="D970" s="4" t="s">
        <v>300</v>
      </c>
      <c r="H970" s="4" t="s">
        <v>328</v>
      </c>
      <c r="I970" s="4" t="s">
        <v>922</v>
      </c>
      <c r="J970" s="4">
        <v>8.42</v>
      </c>
      <c r="AB970" s="4" t="s">
        <v>929</v>
      </c>
      <c r="AC970" s="4" t="s">
        <v>924</v>
      </c>
      <c r="AD970" s="4" t="s">
        <v>925</v>
      </c>
      <c r="AE970" s="4" t="s">
        <v>926</v>
      </c>
      <c r="AF970" s="4" t="s">
        <v>927</v>
      </c>
      <c r="AH970" s="4" t="s">
        <v>371</v>
      </c>
      <c r="AM970" s="4">
        <v>6.4</v>
      </c>
      <c r="AQ970" s="4" t="s">
        <v>464</v>
      </c>
      <c r="AR970" s="4">
        <v>26.75</v>
      </c>
      <c r="AS970" s="4" t="s">
        <v>11</v>
      </c>
      <c r="AT970" s="4">
        <v>6.34</v>
      </c>
      <c r="AU970" s="4" t="s">
        <v>14</v>
      </c>
      <c r="AV970" s="4">
        <v>68.65</v>
      </c>
      <c r="AW970" s="4" t="s">
        <v>16</v>
      </c>
      <c r="AX970" s="4">
        <v>6.76</v>
      </c>
      <c r="AY970" s="4" t="s">
        <v>7</v>
      </c>
      <c r="AZ970" s="4">
        <v>0.22</v>
      </c>
      <c r="BI970" s="4" t="s">
        <v>321</v>
      </c>
      <c r="BK970" s="4">
        <v>25</v>
      </c>
      <c r="BL970" s="4">
        <v>1</v>
      </c>
      <c r="BN970" s="4">
        <v>1</v>
      </c>
      <c r="BV970" s="4" t="s">
        <v>917</v>
      </c>
      <c r="BW970" s="4">
        <v>25</v>
      </c>
      <c r="CB970" s="4" t="s">
        <v>12</v>
      </c>
      <c r="CC970" s="4">
        <v>200</v>
      </c>
      <c r="CE970" s="4" t="s">
        <v>11</v>
      </c>
      <c r="CF970" s="4">
        <v>200</v>
      </c>
      <c r="CH970" s="4" t="s">
        <v>14</v>
      </c>
      <c r="CI970" s="4">
        <v>200</v>
      </c>
      <c r="CK970" s="4" t="s">
        <v>7</v>
      </c>
      <c r="CL970" s="4">
        <v>200</v>
      </c>
      <c r="CV970" s="4">
        <v>180</v>
      </c>
      <c r="DM970" s="4">
        <v>420</v>
      </c>
      <c r="DO970" s="4">
        <v>3</v>
      </c>
      <c r="DW970" s="1">
        <v>71.96</v>
      </c>
      <c r="DX970" s="1">
        <v>1.68</v>
      </c>
      <c r="EA970" s="4">
        <v>72.07</v>
      </c>
      <c r="ED970" s="4">
        <v>72.07</v>
      </c>
      <c r="GE970" s="1">
        <v>82.3</v>
      </c>
      <c r="GF970" s="1">
        <v>1.71</v>
      </c>
      <c r="GI970" s="4">
        <v>82.44</v>
      </c>
      <c r="GL970" s="4">
        <v>82.44</v>
      </c>
      <c r="GT970" s="1">
        <v>83.39</v>
      </c>
      <c r="GU970" s="1">
        <v>1.71</v>
      </c>
      <c r="GX970" s="4">
        <v>83.59</v>
      </c>
      <c r="HA970" s="4">
        <v>83.59</v>
      </c>
      <c r="IB970" s="4">
        <v>71.39</v>
      </c>
      <c r="IE970" s="4">
        <v>71.39</v>
      </c>
    </row>
    <row r="971" customHeight="1" spans="1:239">
      <c r="A971" s="39">
        <v>29</v>
      </c>
      <c r="B971" s="4" t="s">
        <v>911</v>
      </c>
      <c r="C971" s="5" t="s">
        <v>928</v>
      </c>
      <c r="D971" s="4" t="s">
        <v>300</v>
      </c>
      <c r="H971" s="4" t="s">
        <v>328</v>
      </c>
      <c r="I971" s="4" t="s">
        <v>922</v>
      </c>
      <c r="J971" s="4">
        <v>8.42</v>
      </c>
      <c r="AB971" s="4" t="s">
        <v>929</v>
      </c>
      <c r="AC971" s="4" t="s">
        <v>924</v>
      </c>
      <c r="AD971" s="4" t="s">
        <v>925</v>
      </c>
      <c r="AE971" s="4" t="s">
        <v>926</v>
      </c>
      <c r="AF971" s="4" t="s">
        <v>927</v>
      </c>
      <c r="AH971" s="4" t="s">
        <v>371</v>
      </c>
      <c r="AM971" s="4">
        <v>6.4</v>
      </c>
      <c r="AQ971" s="4" t="s">
        <v>464</v>
      </c>
      <c r="AR971" s="4">
        <v>26.75</v>
      </c>
      <c r="AS971" s="4" t="s">
        <v>11</v>
      </c>
      <c r="AT971" s="4">
        <v>6.34</v>
      </c>
      <c r="AU971" s="4" t="s">
        <v>14</v>
      </c>
      <c r="AV971" s="4">
        <v>68.65</v>
      </c>
      <c r="AW971" s="4" t="s">
        <v>16</v>
      </c>
      <c r="AX971" s="4">
        <v>6.76</v>
      </c>
      <c r="AY971" s="4" t="s">
        <v>7</v>
      </c>
      <c r="AZ971" s="4">
        <v>0.22</v>
      </c>
      <c r="BI971" s="4" t="s">
        <v>321</v>
      </c>
      <c r="BK971" s="4">
        <v>25</v>
      </c>
      <c r="BL971" s="4">
        <v>1</v>
      </c>
      <c r="BN971" s="4">
        <v>1</v>
      </c>
      <c r="BV971" s="4">
        <v>420</v>
      </c>
      <c r="BW971" s="4">
        <v>25</v>
      </c>
      <c r="CB971" s="4" t="s">
        <v>12</v>
      </c>
      <c r="CC971" s="4" t="s">
        <v>918</v>
      </c>
      <c r="CE971" s="4" t="s">
        <v>11</v>
      </c>
      <c r="CF971" s="4" t="s">
        <v>918</v>
      </c>
      <c r="CH971" s="4" t="s">
        <v>14</v>
      </c>
      <c r="CI971" s="4" t="s">
        <v>918</v>
      </c>
      <c r="CK971" s="4" t="s">
        <v>7</v>
      </c>
      <c r="CL971" s="4" t="s">
        <v>918</v>
      </c>
      <c r="DB971" s="4" t="s">
        <v>919</v>
      </c>
      <c r="DC971" s="4" t="s">
        <v>920</v>
      </c>
      <c r="DO971" s="4">
        <v>3</v>
      </c>
      <c r="EA971" s="4"/>
      <c r="ED971" s="4"/>
      <c r="GI971" s="4">
        <v>82.54</v>
      </c>
      <c r="GL971" s="4">
        <v>82.54</v>
      </c>
      <c r="GX971" s="4"/>
      <c r="HA971" s="4"/>
      <c r="IB971" s="4"/>
      <c r="IE971" s="4"/>
    </row>
    <row r="972" customHeight="1" spans="1:239">
      <c r="A972" s="39">
        <v>29</v>
      </c>
      <c r="B972" s="4" t="s">
        <v>911</v>
      </c>
      <c r="C972" s="5" t="s">
        <v>928</v>
      </c>
      <c r="D972" s="4" t="s">
        <v>300</v>
      </c>
      <c r="H972" s="4" t="s">
        <v>328</v>
      </c>
      <c r="I972" s="4" t="s">
        <v>922</v>
      </c>
      <c r="J972" s="4">
        <v>8.42</v>
      </c>
      <c r="AB972" s="4" t="s">
        <v>929</v>
      </c>
      <c r="AC972" s="4" t="s">
        <v>924</v>
      </c>
      <c r="AD972" s="4" t="s">
        <v>925</v>
      </c>
      <c r="AE972" s="4" t="s">
        <v>926</v>
      </c>
      <c r="AF972" s="4" t="s">
        <v>927</v>
      </c>
      <c r="AH972" s="4" t="s">
        <v>371</v>
      </c>
      <c r="AM972" s="4">
        <v>6.4</v>
      </c>
      <c r="AQ972" s="4" t="s">
        <v>464</v>
      </c>
      <c r="AR972" s="4">
        <v>26.75</v>
      </c>
      <c r="AS972" s="4" t="s">
        <v>11</v>
      </c>
      <c r="AT972" s="4">
        <v>6.34</v>
      </c>
      <c r="AU972" s="4" t="s">
        <v>14</v>
      </c>
      <c r="AV972" s="4">
        <v>68.65</v>
      </c>
      <c r="AW972" s="4" t="s">
        <v>16</v>
      </c>
      <c r="AX972" s="4">
        <v>6.76</v>
      </c>
      <c r="AY972" s="4" t="s">
        <v>7</v>
      </c>
      <c r="AZ972" s="4">
        <v>0.22</v>
      </c>
      <c r="BI972" s="4" t="s">
        <v>321</v>
      </c>
      <c r="BM972" s="4">
        <v>0.025</v>
      </c>
      <c r="BW972" s="4">
        <v>25</v>
      </c>
      <c r="CB972" s="4" t="s">
        <v>12</v>
      </c>
      <c r="CC972" s="4">
        <v>200</v>
      </c>
      <c r="CE972" s="4" t="s">
        <v>11</v>
      </c>
      <c r="CF972" s="4">
        <v>200</v>
      </c>
      <c r="CH972" s="4" t="s">
        <v>14</v>
      </c>
      <c r="CI972" s="4">
        <v>200</v>
      </c>
      <c r="CK972" s="4" t="s">
        <v>7</v>
      </c>
      <c r="CL972" s="4">
        <v>200</v>
      </c>
      <c r="CR972" s="4" t="s">
        <v>512</v>
      </c>
      <c r="CS972" s="4">
        <v>0</v>
      </c>
      <c r="DO972" s="4">
        <v>3</v>
      </c>
      <c r="EA972" s="4">
        <v>73.06</v>
      </c>
      <c r="ED972" s="4">
        <v>73.06</v>
      </c>
      <c r="GI972" s="4">
        <v>79.74</v>
      </c>
      <c r="GL972" s="4">
        <v>79.74</v>
      </c>
      <c r="GX972" s="4">
        <v>82.97</v>
      </c>
      <c r="HA972" s="4">
        <v>82.97</v>
      </c>
      <c r="IB972" s="4">
        <v>71.34</v>
      </c>
      <c r="IE972" s="4">
        <v>71.34</v>
      </c>
    </row>
    <row r="973" customHeight="1" spans="1:239">
      <c r="A973" s="39">
        <v>29</v>
      </c>
      <c r="B973" s="4" t="s">
        <v>911</v>
      </c>
      <c r="C973" s="5" t="s">
        <v>928</v>
      </c>
      <c r="D973" s="4" t="s">
        <v>300</v>
      </c>
      <c r="H973" s="4" t="s">
        <v>328</v>
      </c>
      <c r="I973" s="4" t="s">
        <v>922</v>
      </c>
      <c r="J973" s="4">
        <v>8.42</v>
      </c>
      <c r="AB973" s="4" t="s">
        <v>929</v>
      </c>
      <c r="AC973" s="4" t="s">
        <v>924</v>
      </c>
      <c r="AD973" s="4" t="s">
        <v>925</v>
      </c>
      <c r="AE973" s="4" t="s">
        <v>926</v>
      </c>
      <c r="AF973" s="4" t="s">
        <v>927</v>
      </c>
      <c r="AH973" s="4" t="s">
        <v>371</v>
      </c>
      <c r="AM973" s="4">
        <v>6.4</v>
      </c>
      <c r="AQ973" s="4" t="s">
        <v>464</v>
      </c>
      <c r="AR973" s="4">
        <v>26.75</v>
      </c>
      <c r="AS973" s="4" t="s">
        <v>11</v>
      </c>
      <c r="AT973" s="4">
        <v>6.34</v>
      </c>
      <c r="AU973" s="4" t="s">
        <v>14</v>
      </c>
      <c r="AV973" s="4">
        <v>68.65</v>
      </c>
      <c r="AW973" s="4" t="s">
        <v>16</v>
      </c>
      <c r="AX973" s="4">
        <v>6.76</v>
      </c>
      <c r="AY973" s="4" t="s">
        <v>7</v>
      </c>
      <c r="AZ973" s="4">
        <v>0.22</v>
      </c>
      <c r="BI973" s="4" t="s">
        <v>321</v>
      </c>
      <c r="BM973" s="4">
        <v>0.025</v>
      </c>
      <c r="BW973" s="4">
        <v>25</v>
      </c>
      <c r="CB973" s="4" t="s">
        <v>12</v>
      </c>
      <c r="CC973" s="4">
        <v>200</v>
      </c>
      <c r="CE973" s="4" t="s">
        <v>11</v>
      </c>
      <c r="CF973" s="4">
        <v>200</v>
      </c>
      <c r="CH973" s="4" t="s">
        <v>14</v>
      </c>
      <c r="CI973" s="4">
        <v>200</v>
      </c>
      <c r="CK973" s="4" t="s">
        <v>7</v>
      </c>
      <c r="CL973" s="4">
        <v>200</v>
      </c>
      <c r="CR973" s="4" t="s">
        <v>537</v>
      </c>
      <c r="CS973" s="4">
        <v>200</v>
      </c>
      <c r="DO973" s="4">
        <v>3</v>
      </c>
      <c r="EA973" s="4">
        <v>71.76</v>
      </c>
      <c r="ED973" s="4">
        <v>71.76</v>
      </c>
      <c r="GI973" s="4">
        <v>80.6</v>
      </c>
      <c r="GL973" s="4">
        <v>80.6</v>
      </c>
      <c r="GX973" s="4">
        <v>81.69</v>
      </c>
      <c r="HA973" s="4">
        <v>81.69</v>
      </c>
      <c r="IB973" s="4">
        <v>69.18</v>
      </c>
      <c r="IE973" s="4">
        <v>69.18</v>
      </c>
    </row>
    <row r="974" customHeight="1" spans="1:239">
      <c r="A974" s="39">
        <v>29</v>
      </c>
      <c r="B974" s="4" t="s">
        <v>911</v>
      </c>
      <c r="C974" s="5" t="s">
        <v>928</v>
      </c>
      <c r="D974" s="4" t="s">
        <v>300</v>
      </c>
      <c r="H974" s="4" t="s">
        <v>328</v>
      </c>
      <c r="I974" s="4" t="s">
        <v>922</v>
      </c>
      <c r="J974" s="4">
        <v>8.42</v>
      </c>
      <c r="AB974" s="4" t="s">
        <v>929</v>
      </c>
      <c r="AC974" s="4" t="s">
        <v>924</v>
      </c>
      <c r="AD974" s="4" t="s">
        <v>925</v>
      </c>
      <c r="AE974" s="4" t="s">
        <v>926</v>
      </c>
      <c r="AF974" s="4" t="s">
        <v>927</v>
      </c>
      <c r="AH974" s="4" t="s">
        <v>371</v>
      </c>
      <c r="AM974" s="4">
        <v>6.4</v>
      </c>
      <c r="AQ974" s="4" t="s">
        <v>464</v>
      </c>
      <c r="AR974" s="4">
        <v>26.75</v>
      </c>
      <c r="AS974" s="4" t="s">
        <v>11</v>
      </c>
      <c r="AT974" s="4">
        <v>6.34</v>
      </c>
      <c r="AU974" s="4" t="s">
        <v>14</v>
      </c>
      <c r="AV974" s="4">
        <v>68.65</v>
      </c>
      <c r="AW974" s="4" t="s">
        <v>16</v>
      </c>
      <c r="AX974" s="4">
        <v>6.76</v>
      </c>
      <c r="AY974" s="4" t="s">
        <v>7</v>
      </c>
      <c r="AZ974" s="4">
        <v>0.22</v>
      </c>
      <c r="BI974" s="4" t="s">
        <v>321</v>
      </c>
      <c r="BM974" s="4">
        <v>0.025</v>
      </c>
      <c r="BW974" s="4">
        <v>25</v>
      </c>
      <c r="CB974" s="4" t="s">
        <v>12</v>
      </c>
      <c r="CC974" s="4">
        <v>200</v>
      </c>
      <c r="CE974" s="4" t="s">
        <v>11</v>
      </c>
      <c r="CF974" s="4">
        <v>200</v>
      </c>
      <c r="CH974" s="4" t="s">
        <v>14</v>
      </c>
      <c r="CI974" s="4">
        <v>200</v>
      </c>
      <c r="CK974" s="4" t="s">
        <v>7</v>
      </c>
      <c r="CL974" s="4">
        <v>200</v>
      </c>
      <c r="CR974" s="4" t="s">
        <v>538</v>
      </c>
      <c r="CS974" s="4">
        <v>200</v>
      </c>
      <c r="DO974" s="4">
        <v>3</v>
      </c>
      <c r="EA974" s="4">
        <v>70.91</v>
      </c>
      <c r="ED974" s="4">
        <v>70.91</v>
      </c>
      <c r="GI974" s="4">
        <v>73.06</v>
      </c>
      <c r="GL974" s="4">
        <v>73.06</v>
      </c>
      <c r="GX974" s="4">
        <v>80.39</v>
      </c>
      <c r="HA974" s="4">
        <v>80.39</v>
      </c>
      <c r="IB974" s="4">
        <v>69.83</v>
      </c>
      <c r="IE974" s="4">
        <v>69.83</v>
      </c>
    </row>
    <row r="975" customHeight="1" spans="1:239">
      <c r="A975" s="39">
        <v>29</v>
      </c>
      <c r="B975" s="4" t="s">
        <v>911</v>
      </c>
      <c r="C975" s="5" t="s">
        <v>928</v>
      </c>
      <c r="D975" s="4" t="s">
        <v>300</v>
      </c>
      <c r="H975" s="4" t="s">
        <v>328</v>
      </c>
      <c r="I975" s="4" t="s">
        <v>922</v>
      </c>
      <c r="J975" s="4">
        <v>8.42</v>
      </c>
      <c r="AB975" s="4" t="s">
        <v>929</v>
      </c>
      <c r="AC975" s="4" t="s">
        <v>924</v>
      </c>
      <c r="AD975" s="4" t="s">
        <v>925</v>
      </c>
      <c r="AE975" s="4" t="s">
        <v>926</v>
      </c>
      <c r="AF975" s="4" t="s">
        <v>927</v>
      </c>
      <c r="AH975" s="4" t="s">
        <v>371</v>
      </c>
      <c r="AM975" s="4">
        <v>6.4</v>
      </c>
      <c r="AQ975" s="4" t="s">
        <v>464</v>
      </c>
      <c r="AR975" s="4">
        <v>26.75</v>
      </c>
      <c r="AS975" s="4" t="s">
        <v>11</v>
      </c>
      <c r="AT975" s="4">
        <v>6.34</v>
      </c>
      <c r="AU975" s="4" t="s">
        <v>14</v>
      </c>
      <c r="AV975" s="4">
        <v>68.65</v>
      </c>
      <c r="AW975" s="4" t="s">
        <v>16</v>
      </c>
      <c r="AX975" s="4">
        <v>6.76</v>
      </c>
      <c r="AY975" s="4" t="s">
        <v>7</v>
      </c>
      <c r="AZ975" s="4">
        <v>0.22</v>
      </c>
      <c r="BI975" s="4" t="s">
        <v>321</v>
      </c>
      <c r="BM975" s="4">
        <v>0.025</v>
      </c>
      <c r="BW975" s="4">
        <v>25</v>
      </c>
      <c r="CB975" s="4" t="s">
        <v>12</v>
      </c>
      <c r="CC975" s="4">
        <v>200</v>
      </c>
      <c r="CE975" s="4" t="s">
        <v>11</v>
      </c>
      <c r="CF975" s="4">
        <v>200</v>
      </c>
      <c r="CH975" s="4" t="s">
        <v>14</v>
      </c>
      <c r="CI975" s="4">
        <v>200</v>
      </c>
      <c r="CK975" s="4" t="s">
        <v>7</v>
      </c>
      <c r="CL975" s="4">
        <v>200</v>
      </c>
      <c r="CR975" s="4" t="s">
        <v>536</v>
      </c>
      <c r="CS975" s="4">
        <v>200</v>
      </c>
      <c r="DO975" s="4">
        <v>3</v>
      </c>
      <c r="EA975" s="4">
        <v>68.32</v>
      </c>
      <c r="ED975" s="4">
        <v>68.32</v>
      </c>
      <c r="GI975" s="4">
        <v>75.22</v>
      </c>
      <c r="GL975" s="4">
        <v>75.22</v>
      </c>
      <c r="GX975" s="4">
        <v>74.78</v>
      </c>
      <c r="HA975" s="4">
        <v>74.78</v>
      </c>
      <c r="IB975" s="4">
        <v>67.24</v>
      </c>
      <c r="IE975" s="4">
        <v>67.24</v>
      </c>
    </row>
    <row r="976" customHeight="1" spans="1:239">
      <c r="A976" s="39">
        <v>29</v>
      </c>
      <c r="B976" s="4" t="s">
        <v>911</v>
      </c>
      <c r="C976" s="5" t="s">
        <v>928</v>
      </c>
      <c r="D976" s="4" t="s">
        <v>300</v>
      </c>
      <c r="H976" s="4" t="s">
        <v>328</v>
      </c>
      <c r="I976" s="4" t="s">
        <v>922</v>
      </c>
      <c r="J976" s="4">
        <v>8.42</v>
      </c>
      <c r="AB976" s="4" t="s">
        <v>929</v>
      </c>
      <c r="AC976" s="4" t="s">
        <v>924</v>
      </c>
      <c r="AD976" s="4" t="s">
        <v>925</v>
      </c>
      <c r="AE976" s="4" t="s">
        <v>926</v>
      </c>
      <c r="AF976" s="4" t="s">
        <v>927</v>
      </c>
      <c r="AH976" s="4" t="s">
        <v>371</v>
      </c>
      <c r="AM976" s="4">
        <v>6.4</v>
      </c>
      <c r="AQ976" s="4" t="s">
        <v>464</v>
      </c>
      <c r="AR976" s="4">
        <v>26.75</v>
      </c>
      <c r="AS976" s="4" t="s">
        <v>11</v>
      </c>
      <c r="AT976" s="4">
        <v>6.34</v>
      </c>
      <c r="AU976" s="4" t="s">
        <v>14</v>
      </c>
      <c r="AV976" s="4">
        <v>68.65</v>
      </c>
      <c r="AW976" s="4" t="s">
        <v>16</v>
      </c>
      <c r="AX976" s="4">
        <v>6.76</v>
      </c>
      <c r="AY976" s="4" t="s">
        <v>7</v>
      </c>
      <c r="AZ976" s="4">
        <v>0.22</v>
      </c>
      <c r="BI976" s="4" t="s">
        <v>321</v>
      </c>
      <c r="BM976" s="4">
        <v>0.025</v>
      </c>
      <c r="BW976" s="4">
        <v>25</v>
      </c>
      <c r="CB976" s="4" t="s">
        <v>12</v>
      </c>
      <c r="CC976" s="4">
        <v>200</v>
      </c>
      <c r="CE976" s="4" t="s">
        <v>11</v>
      </c>
      <c r="CF976" s="4">
        <v>200</v>
      </c>
      <c r="CH976" s="4" t="s">
        <v>14</v>
      </c>
      <c r="CI976" s="4">
        <v>200</v>
      </c>
      <c r="CK976" s="4" t="s">
        <v>7</v>
      </c>
      <c r="CL976" s="4">
        <v>200</v>
      </c>
      <c r="CR976" s="4" t="s">
        <v>567</v>
      </c>
      <c r="CS976" s="4">
        <v>200</v>
      </c>
      <c r="DO976" s="4">
        <v>3</v>
      </c>
      <c r="EA976" s="4">
        <v>68.75</v>
      </c>
      <c r="ED976" s="4">
        <v>68.75</v>
      </c>
      <c r="GI976" s="4">
        <v>49.57</v>
      </c>
      <c r="GL976" s="4">
        <v>49.57</v>
      </c>
      <c r="GX976" s="4">
        <v>77.16</v>
      </c>
      <c r="HA976" s="4">
        <v>77.16</v>
      </c>
      <c r="IB976" s="4">
        <v>67.89</v>
      </c>
      <c r="IE976" s="4">
        <v>67.89</v>
      </c>
    </row>
    <row r="977" customHeight="1" spans="1:313">
      <c r="A977" s="39">
        <v>29</v>
      </c>
      <c r="B977" s="4" t="s">
        <v>911</v>
      </c>
      <c r="C977" s="5" t="s">
        <v>928</v>
      </c>
      <c r="D977" s="4" t="s">
        <v>300</v>
      </c>
      <c r="H977" s="4" t="s">
        <v>328</v>
      </c>
      <c r="I977" s="4" t="s">
        <v>922</v>
      </c>
      <c r="J977" s="4">
        <v>8.42</v>
      </c>
      <c r="AB977" s="4" t="s">
        <v>929</v>
      </c>
      <c r="AC977" s="4" t="s">
        <v>924</v>
      </c>
      <c r="AD977" s="4" t="s">
        <v>925</v>
      </c>
      <c r="AE977" s="4" t="s">
        <v>926</v>
      </c>
      <c r="AF977" s="4" t="s">
        <v>927</v>
      </c>
      <c r="AH977" s="4" t="s">
        <v>371</v>
      </c>
      <c r="AM977" s="4">
        <v>6.4</v>
      </c>
      <c r="AQ977" s="4" t="s">
        <v>464</v>
      </c>
      <c r="AR977" s="4">
        <v>26.75</v>
      </c>
      <c r="AS977" s="4" t="s">
        <v>11</v>
      </c>
      <c r="AT977" s="4">
        <v>6.34</v>
      </c>
      <c r="AU977" s="4" t="s">
        <v>14</v>
      </c>
      <c r="AV977" s="4">
        <v>68.65</v>
      </c>
      <c r="AW977" s="4" t="s">
        <v>16</v>
      </c>
      <c r="AX977" s="4">
        <v>6.76</v>
      </c>
      <c r="AY977" s="4" t="s">
        <v>7</v>
      </c>
      <c r="AZ977" s="4">
        <v>0.22</v>
      </c>
      <c r="BI977" s="4" t="s">
        <v>321</v>
      </c>
      <c r="BM977" s="4">
        <v>0.025</v>
      </c>
      <c r="BS977" s="4">
        <v>3</v>
      </c>
      <c r="BV977" s="4">
        <v>420</v>
      </c>
      <c r="BW977" s="4">
        <v>25</v>
      </c>
      <c r="CB977" s="4" t="s">
        <v>12</v>
      </c>
      <c r="CC977" s="4">
        <v>200</v>
      </c>
      <c r="CE977" s="4" t="s">
        <v>11</v>
      </c>
      <c r="CF977" s="4">
        <v>200</v>
      </c>
      <c r="CH977" s="4" t="s">
        <v>14</v>
      </c>
      <c r="CI977" s="4">
        <v>200</v>
      </c>
      <c r="CK977" s="4" t="s">
        <v>7</v>
      </c>
      <c r="CL977" s="4">
        <v>200</v>
      </c>
      <c r="DO977" s="4">
        <v>3</v>
      </c>
      <c r="EA977" s="4">
        <v>45.69</v>
      </c>
      <c r="ED977" s="4">
        <v>45.69</v>
      </c>
      <c r="GI977" s="4">
        <v>58.62</v>
      </c>
      <c r="GL977" s="4">
        <v>58.62</v>
      </c>
      <c r="GX977" s="4">
        <v>48.28</v>
      </c>
      <c r="HA977" s="4">
        <v>48.28</v>
      </c>
      <c r="IB977" s="4">
        <v>43.75</v>
      </c>
      <c r="IE977" s="4">
        <v>43.75</v>
      </c>
    </row>
    <row r="978" customHeight="1" spans="1:313">
      <c r="A978" s="39">
        <v>29</v>
      </c>
      <c r="B978" s="4" t="s">
        <v>911</v>
      </c>
      <c r="C978" s="5" t="s">
        <v>928</v>
      </c>
      <c r="D978" s="4" t="s">
        <v>300</v>
      </c>
      <c r="H978" s="4" t="s">
        <v>328</v>
      </c>
      <c r="I978" s="4" t="s">
        <v>922</v>
      </c>
      <c r="J978" s="4">
        <v>8.42</v>
      </c>
      <c r="AB978" s="4" t="s">
        <v>929</v>
      </c>
      <c r="AC978" s="4" t="s">
        <v>924</v>
      </c>
      <c r="AD978" s="4" t="s">
        <v>925</v>
      </c>
      <c r="AE978" s="4" t="s">
        <v>926</v>
      </c>
      <c r="AF978" s="4" t="s">
        <v>927</v>
      </c>
      <c r="AH978" s="4" t="s">
        <v>371</v>
      </c>
      <c r="AM978" s="4">
        <v>6.4</v>
      </c>
      <c r="AQ978" s="4" t="s">
        <v>464</v>
      </c>
      <c r="AR978" s="4">
        <v>26.75</v>
      </c>
      <c r="AS978" s="4" t="s">
        <v>11</v>
      </c>
      <c r="AT978" s="4">
        <v>6.34</v>
      </c>
      <c r="AU978" s="4" t="s">
        <v>14</v>
      </c>
      <c r="AV978" s="4">
        <v>68.65</v>
      </c>
      <c r="AW978" s="4" t="s">
        <v>16</v>
      </c>
      <c r="AX978" s="4">
        <v>6.76</v>
      </c>
      <c r="AY978" s="4" t="s">
        <v>7</v>
      </c>
      <c r="AZ978" s="4">
        <v>0.22</v>
      </c>
      <c r="BI978" s="4" t="s">
        <v>321</v>
      </c>
      <c r="BM978" s="4">
        <v>0.025</v>
      </c>
      <c r="BS978" s="4">
        <v>4</v>
      </c>
      <c r="BV978" s="4">
        <v>420</v>
      </c>
      <c r="BW978" s="4">
        <v>25</v>
      </c>
      <c r="CB978" s="4" t="s">
        <v>12</v>
      </c>
      <c r="CC978" s="4">
        <v>200</v>
      </c>
      <c r="CE978" s="4" t="s">
        <v>11</v>
      </c>
      <c r="CF978" s="4">
        <v>200</v>
      </c>
      <c r="CH978" s="4" t="s">
        <v>14</v>
      </c>
      <c r="CI978" s="4">
        <v>200</v>
      </c>
      <c r="CK978" s="4" t="s">
        <v>7</v>
      </c>
      <c r="CL978" s="4">
        <v>200</v>
      </c>
      <c r="DO978" s="4">
        <v>3</v>
      </c>
      <c r="EA978" s="4">
        <v>52.37</v>
      </c>
      <c r="ED978" s="4">
        <v>52.37</v>
      </c>
      <c r="GI978" s="4">
        <v>71.55</v>
      </c>
      <c r="GL978" s="4">
        <v>71.55</v>
      </c>
      <c r="GX978" s="4">
        <v>59.05</v>
      </c>
      <c r="HA978" s="4">
        <v>59.05</v>
      </c>
      <c r="IB978" s="4">
        <v>49.57</v>
      </c>
      <c r="IE978" s="4">
        <v>49.57</v>
      </c>
    </row>
    <row r="979" customHeight="1" spans="1:313">
      <c r="A979" s="39">
        <v>29</v>
      </c>
      <c r="B979" s="4" t="s">
        <v>911</v>
      </c>
      <c r="C979" s="5" t="s">
        <v>928</v>
      </c>
      <c r="D979" s="4" t="s">
        <v>300</v>
      </c>
      <c r="H979" s="4" t="s">
        <v>328</v>
      </c>
      <c r="I979" s="4" t="s">
        <v>922</v>
      </c>
      <c r="J979" s="4">
        <v>8.42</v>
      </c>
      <c r="AB979" s="4" t="s">
        <v>929</v>
      </c>
      <c r="AC979" s="4" t="s">
        <v>924</v>
      </c>
      <c r="AD979" s="4" t="s">
        <v>925</v>
      </c>
      <c r="AE979" s="4" t="s">
        <v>926</v>
      </c>
      <c r="AF979" s="4" t="s">
        <v>927</v>
      </c>
      <c r="AH979" s="4" t="s">
        <v>371</v>
      </c>
      <c r="AM979" s="4">
        <v>6.4</v>
      </c>
      <c r="AQ979" s="4" t="s">
        <v>464</v>
      </c>
      <c r="AR979" s="4">
        <v>26.75</v>
      </c>
      <c r="AS979" s="4" t="s">
        <v>11</v>
      </c>
      <c r="AT979" s="4">
        <v>6.34</v>
      </c>
      <c r="AU979" s="4" t="s">
        <v>14</v>
      </c>
      <c r="AV979" s="4">
        <v>68.65</v>
      </c>
      <c r="AW979" s="4" t="s">
        <v>16</v>
      </c>
      <c r="AX979" s="4">
        <v>6.76</v>
      </c>
      <c r="AY979" s="4" t="s">
        <v>7</v>
      </c>
      <c r="AZ979" s="4">
        <v>0.22</v>
      </c>
      <c r="BI979" s="4" t="s">
        <v>321</v>
      </c>
      <c r="BM979" s="4">
        <v>0.025</v>
      </c>
      <c r="BS979" s="4">
        <v>5</v>
      </c>
      <c r="BV979" s="4">
        <v>420</v>
      </c>
      <c r="BW979" s="4">
        <v>25</v>
      </c>
      <c r="CB979" s="4" t="s">
        <v>12</v>
      </c>
      <c r="CC979" s="4">
        <v>200</v>
      </c>
      <c r="CE979" s="4" t="s">
        <v>11</v>
      </c>
      <c r="CF979" s="4">
        <v>200</v>
      </c>
      <c r="CH979" s="4" t="s">
        <v>14</v>
      </c>
      <c r="CI979" s="4">
        <v>200</v>
      </c>
      <c r="CK979" s="4" t="s">
        <v>7</v>
      </c>
      <c r="CL979" s="4">
        <v>200</v>
      </c>
      <c r="DO979" s="4">
        <v>3</v>
      </c>
      <c r="EA979" s="4">
        <v>62.93</v>
      </c>
      <c r="ED979" s="4">
        <v>62.93</v>
      </c>
      <c r="GI979" s="4">
        <v>76.94</v>
      </c>
      <c r="GL979" s="4">
        <v>76.94</v>
      </c>
      <c r="GX979" s="4">
        <v>70.04</v>
      </c>
      <c r="HA979" s="4">
        <v>70.04</v>
      </c>
      <c r="IB979" s="4">
        <v>57.54</v>
      </c>
      <c r="IE979" s="4">
        <v>57.54</v>
      </c>
    </row>
    <row r="980" customHeight="1" spans="1:313">
      <c r="A980" s="39">
        <v>29</v>
      </c>
      <c r="B980" s="4" t="s">
        <v>911</v>
      </c>
      <c r="C980" s="5" t="s">
        <v>928</v>
      </c>
      <c r="D980" s="4" t="s">
        <v>300</v>
      </c>
      <c r="H980" s="4" t="s">
        <v>328</v>
      </c>
      <c r="I980" s="4" t="s">
        <v>922</v>
      </c>
      <c r="J980" s="4">
        <v>8.42</v>
      </c>
      <c r="AB980" s="4" t="s">
        <v>929</v>
      </c>
      <c r="AC980" s="4" t="s">
        <v>924</v>
      </c>
      <c r="AD980" s="4" t="s">
        <v>925</v>
      </c>
      <c r="AE980" s="4" t="s">
        <v>926</v>
      </c>
      <c r="AF980" s="4" t="s">
        <v>927</v>
      </c>
      <c r="AH980" s="4" t="s">
        <v>371</v>
      </c>
      <c r="AM980" s="4">
        <v>6.4</v>
      </c>
      <c r="AQ980" s="4" t="s">
        <v>464</v>
      </c>
      <c r="AR980" s="4">
        <v>26.75</v>
      </c>
      <c r="AS980" s="4" t="s">
        <v>11</v>
      </c>
      <c r="AT980" s="4">
        <v>6.34</v>
      </c>
      <c r="AU980" s="4" t="s">
        <v>14</v>
      </c>
      <c r="AV980" s="4">
        <v>68.65</v>
      </c>
      <c r="AW980" s="4" t="s">
        <v>16</v>
      </c>
      <c r="AX980" s="4">
        <v>6.76</v>
      </c>
      <c r="AY980" s="4" t="s">
        <v>7</v>
      </c>
      <c r="AZ980" s="4">
        <v>0.22</v>
      </c>
      <c r="BI980" s="4" t="s">
        <v>321</v>
      </c>
      <c r="BM980" s="4">
        <v>0.025</v>
      </c>
      <c r="BS980" s="4">
        <v>6</v>
      </c>
      <c r="BV980" s="4">
        <v>420</v>
      </c>
      <c r="BW980" s="4">
        <v>25</v>
      </c>
      <c r="CB980" s="4" t="s">
        <v>12</v>
      </c>
      <c r="CC980" s="4">
        <v>200</v>
      </c>
      <c r="CE980" s="4" t="s">
        <v>11</v>
      </c>
      <c r="CF980" s="4">
        <v>200</v>
      </c>
      <c r="CH980" s="4" t="s">
        <v>14</v>
      </c>
      <c r="CI980" s="4">
        <v>200</v>
      </c>
      <c r="CK980" s="4" t="s">
        <v>7</v>
      </c>
      <c r="CL980" s="4">
        <v>200</v>
      </c>
      <c r="DO980" s="4">
        <v>3</v>
      </c>
      <c r="EA980" s="4">
        <v>67.46</v>
      </c>
      <c r="ED980" s="4">
        <v>67.46</v>
      </c>
      <c r="GI980" s="4">
        <v>82.33</v>
      </c>
      <c r="GL980" s="4">
        <v>82.33</v>
      </c>
      <c r="GX980" s="4">
        <v>76.29</v>
      </c>
      <c r="HA980" s="4">
        <v>76.29</v>
      </c>
      <c r="IB980" s="4">
        <v>65.08</v>
      </c>
      <c r="IE980" s="4">
        <v>65.08</v>
      </c>
    </row>
    <row r="981" customHeight="1" spans="1:313">
      <c r="A981" s="39">
        <v>29</v>
      </c>
      <c r="B981" s="4" t="s">
        <v>911</v>
      </c>
      <c r="C981" s="5" t="s">
        <v>928</v>
      </c>
      <c r="D981" s="4" t="s">
        <v>300</v>
      </c>
      <c r="H981" s="4" t="s">
        <v>328</v>
      </c>
      <c r="I981" s="4" t="s">
        <v>922</v>
      </c>
      <c r="J981" s="4">
        <v>8.42</v>
      </c>
      <c r="AB981" s="4" t="s">
        <v>929</v>
      </c>
      <c r="AC981" s="4" t="s">
        <v>924</v>
      </c>
      <c r="AD981" s="4" t="s">
        <v>925</v>
      </c>
      <c r="AE981" s="4" t="s">
        <v>926</v>
      </c>
      <c r="AF981" s="4" t="s">
        <v>927</v>
      </c>
      <c r="AH981" s="4" t="s">
        <v>371</v>
      </c>
      <c r="AM981" s="4">
        <v>6.4</v>
      </c>
      <c r="AQ981" s="4" t="s">
        <v>464</v>
      </c>
      <c r="AR981" s="4">
        <v>26.75</v>
      </c>
      <c r="AS981" s="4" t="s">
        <v>11</v>
      </c>
      <c r="AT981" s="4">
        <v>6.34</v>
      </c>
      <c r="AU981" s="4" t="s">
        <v>14</v>
      </c>
      <c r="AV981" s="4">
        <v>68.65</v>
      </c>
      <c r="AW981" s="4" t="s">
        <v>16</v>
      </c>
      <c r="AX981" s="4">
        <v>6.76</v>
      </c>
      <c r="AY981" s="4" t="s">
        <v>7</v>
      </c>
      <c r="AZ981" s="4">
        <v>0.22</v>
      </c>
      <c r="BI981" s="4" t="s">
        <v>321</v>
      </c>
      <c r="BM981" s="4">
        <v>0.025</v>
      </c>
      <c r="BS981" s="4">
        <v>7</v>
      </c>
      <c r="BV981" s="4">
        <v>420</v>
      </c>
      <c r="BW981" s="4">
        <v>25</v>
      </c>
      <c r="CB981" s="4" t="s">
        <v>12</v>
      </c>
      <c r="CC981" s="4">
        <v>200</v>
      </c>
      <c r="CE981" s="4" t="s">
        <v>11</v>
      </c>
      <c r="CF981" s="4">
        <v>200</v>
      </c>
      <c r="CH981" s="4" t="s">
        <v>14</v>
      </c>
      <c r="CI981" s="4">
        <v>200</v>
      </c>
      <c r="CK981" s="4" t="s">
        <v>7</v>
      </c>
      <c r="CL981" s="4">
        <v>200</v>
      </c>
      <c r="DO981" s="4">
        <v>3</v>
      </c>
      <c r="EA981" s="4">
        <v>72.84</v>
      </c>
      <c r="ED981" s="4">
        <v>72.84</v>
      </c>
      <c r="GI981" s="4"/>
      <c r="GL981" s="4"/>
      <c r="GX981" s="4">
        <v>82.97</v>
      </c>
      <c r="HA981" s="4">
        <v>82.97</v>
      </c>
      <c r="IB981" s="4">
        <v>71.34</v>
      </c>
      <c r="IE981" s="4">
        <v>71.34</v>
      </c>
    </row>
    <row r="982" customHeight="1" spans="1:313">
      <c r="A982" s="39">
        <v>29</v>
      </c>
      <c r="B982" s="4" t="s">
        <v>911</v>
      </c>
      <c r="C982" s="5" t="s">
        <v>928</v>
      </c>
      <c r="D982" s="4" t="s">
        <v>300</v>
      </c>
      <c r="H982" s="4" t="s">
        <v>328</v>
      </c>
      <c r="I982" s="4" t="s">
        <v>922</v>
      </c>
      <c r="J982" s="4">
        <v>8.42</v>
      </c>
      <c r="AB982" s="4" t="s">
        <v>929</v>
      </c>
      <c r="AC982" s="4" t="s">
        <v>924</v>
      </c>
      <c r="AD982" s="4" t="s">
        <v>925</v>
      </c>
      <c r="AE982" s="4" t="s">
        <v>926</v>
      </c>
      <c r="AF982" s="4" t="s">
        <v>927</v>
      </c>
      <c r="AH982" s="4" t="s">
        <v>371</v>
      </c>
      <c r="AM982" s="4">
        <v>6.4</v>
      </c>
      <c r="AQ982" s="4" t="s">
        <v>464</v>
      </c>
      <c r="AR982" s="4">
        <v>26.75</v>
      </c>
      <c r="AS982" s="4" t="s">
        <v>11</v>
      </c>
      <c r="AT982" s="4">
        <v>6.34</v>
      </c>
      <c r="AU982" s="4" t="s">
        <v>14</v>
      </c>
      <c r="AV982" s="4">
        <v>68.65</v>
      </c>
      <c r="AW982" s="4" t="s">
        <v>16</v>
      </c>
      <c r="AX982" s="4">
        <v>6.76</v>
      </c>
      <c r="AY982" s="4" t="s">
        <v>7</v>
      </c>
      <c r="AZ982" s="4">
        <v>0.22</v>
      </c>
      <c r="BI982" s="4" t="s">
        <v>321</v>
      </c>
      <c r="DO982" s="4">
        <v>3</v>
      </c>
      <c r="EA982" s="4"/>
      <c r="ED982" s="4"/>
      <c r="GE982" s="1">
        <v>80</v>
      </c>
      <c r="GI982" s="4"/>
      <c r="GL982" s="4"/>
      <c r="GT982" s="1">
        <v>79.26</v>
      </c>
      <c r="HX982" s="1">
        <v>68.08</v>
      </c>
      <c r="IX982" s="4">
        <v>62.03</v>
      </c>
    </row>
    <row r="983" customHeight="1" spans="1:313">
      <c r="A983" s="39">
        <v>29</v>
      </c>
      <c r="B983" s="4" t="s">
        <v>911</v>
      </c>
      <c r="C983" s="5" t="s">
        <v>928</v>
      </c>
      <c r="D983" s="4" t="s">
        <v>300</v>
      </c>
      <c r="H983" s="4" t="s">
        <v>328</v>
      </c>
      <c r="I983" s="4" t="s">
        <v>922</v>
      </c>
      <c r="J983" s="4">
        <v>8.42</v>
      </c>
      <c r="AB983" s="4" t="s">
        <v>929</v>
      </c>
      <c r="AC983" s="4" t="s">
        <v>924</v>
      </c>
      <c r="AD983" s="4" t="s">
        <v>925</v>
      </c>
      <c r="AE983" s="4" t="s">
        <v>926</v>
      </c>
      <c r="AF983" s="4" t="s">
        <v>927</v>
      </c>
      <c r="AH983" s="4" t="s">
        <v>371</v>
      </c>
      <c r="AM983" s="4">
        <v>6.4</v>
      </c>
      <c r="AQ983" s="4" t="s">
        <v>464</v>
      </c>
      <c r="AR983" s="4">
        <v>26.75</v>
      </c>
      <c r="AS983" s="4" t="s">
        <v>11</v>
      </c>
      <c r="AT983" s="4">
        <v>6.34</v>
      </c>
      <c r="AU983" s="4" t="s">
        <v>14</v>
      </c>
      <c r="AV983" s="4">
        <v>68.65</v>
      </c>
      <c r="AW983" s="4" t="s">
        <v>16</v>
      </c>
      <c r="AX983" s="4">
        <v>6.76</v>
      </c>
      <c r="AY983" s="4" t="s">
        <v>7</v>
      </c>
      <c r="AZ983" s="4">
        <v>0.22</v>
      </c>
      <c r="BI983" s="4" t="s">
        <v>321</v>
      </c>
      <c r="BL983" s="4">
        <v>75</v>
      </c>
      <c r="BM983" s="4">
        <v>0.125</v>
      </c>
      <c r="BU983" s="4">
        <v>30</v>
      </c>
      <c r="CB983" s="4" t="s">
        <v>12</v>
      </c>
      <c r="CC983" s="4">
        <v>200</v>
      </c>
      <c r="CE983" s="4" t="s">
        <v>11</v>
      </c>
      <c r="CF983" s="4">
        <v>200</v>
      </c>
      <c r="CH983" s="4" t="s">
        <v>14</v>
      </c>
      <c r="CI983" s="4">
        <v>200</v>
      </c>
      <c r="DO983" s="4">
        <v>3</v>
      </c>
      <c r="DS983" s="4">
        <v>0.01</v>
      </c>
      <c r="EA983" s="4"/>
      <c r="ED983" s="4">
        <v>99.995</v>
      </c>
      <c r="GA983" s="4">
        <v>0.6</v>
      </c>
      <c r="GI983" s="4"/>
      <c r="GK983" s="1">
        <f>(200-GA983)/2</f>
        <v>99.7</v>
      </c>
      <c r="GL983" s="1">
        <f>(200-GB983)/2</f>
        <v>100</v>
      </c>
      <c r="GP983" s="4">
        <v>1.4</v>
      </c>
      <c r="GX983" s="4"/>
      <c r="GZ983" s="1">
        <f>(200-GP983)/2</f>
        <v>99.3</v>
      </c>
      <c r="HA983" s="4">
        <v>99.3</v>
      </c>
      <c r="HT983" s="4">
        <v>2.43</v>
      </c>
      <c r="ID983" s="1">
        <f>(200-2.43)/2</f>
        <v>98.785</v>
      </c>
      <c r="IE983" s="1">
        <v>98.785</v>
      </c>
    </row>
    <row r="984" customHeight="1" spans="1:313">
      <c r="A984" s="39">
        <v>29</v>
      </c>
      <c r="B984" s="4" t="s">
        <v>911</v>
      </c>
      <c r="C984" s="5" t="s">
        <v>928</v>
      </c>
      <c r="D984" s="4" t="s">
        <v>300</v>
      </c>
      <c r="H984" s="4" t="s">
        <v>328</v>
      </c>
      <c r="I984" s="4" t="s">
        <v>922</v>
      </c>
      <c r="J984" s="4">
        <v>8.42</v>
      </c>
      <c r="AB984" s="4" t="s">
        <v>929</v>
      </c>
      <c r="AC984" s="4" t="s">
        <v>924</v>
      </c>
      <c r="AD984" s="4" t="s">
        <v>925</v>
      </c>
      <c r="AE984" s="4" t="s">
        <v>926</v>
      </c>
      <c r="AF984" s="4" t="s">
        <v>927</v>
      </c>
      <c r="AH984" s="4" t="s">
        <v>371</v>
      </c>
      <c r="AM984" s="4">
        <v>6.4</v>
      </c>
      <c r="AQ984" s="4" t="s">
        <v>464</v>
      </c>
      <c r="AR984" s="4">
        <v>26.75</v>
      </c>
      <c r="AS984" s="4" t="s">
        <v>11</v>
      </c>
      <c r="AT984" s="4">
        <v>6.34</v>
      </c>
      <c r="AU984" s="4" t="s">
        <v>14</v>
      </c>
      <c r="AV984" s="4">
        <v>68.65</v>
      </c>
      <c r="AW984" s="4" t="s">
        <v>16</v>
      </c>
      <c r="AX984" s="4">
        <v>6.76</v>
      </c>
      <c r="AY984" s="4" t="s">
        <v>7</v>
      </c>
      <c r="AZ984" s="4">
        <v>0.22</v>
      </c>
      <c r="BI984" s="4" t="s">
        <v>321</v>
      </c>
      <c r="DO984" s="4">
        <v>3</v>
      </c>
      <c r="EA984" s="4"/>
      <c r="ED984" s="4"/>
      <c r="GI984" s="4">
        <v>74.31</v>
      </c>
      <c r="GL984" s="4">
        <v>74.31</v>
      </c>
    </row>
    <row r="985" customHeight="1" spans="1:313">
      <c r="A985" s="39">
        <v>29</v>
      </c>
      <c r="B985" s="4" t="s">
        <v>911</v>
      </c>
      <c r="C985" s="5" t="s">
        <v>930</v>
      </c>
      <c r="D985" s="4" t="s">
        <v>300</v>
      </c>
      <c r="H985" s="4" t="s">
        <v>328</v>
      </c>
      <c r="I985" s="4" t="s">
        <v>922</v>
      </c>
      <c r="J985" s="4">
        <v>11.12</v>
      </c>
      <c r="AB985" s="4" t="s">
        <v>931</v>
      </c>
      <c r="AC985" s="4" t="s">
        <v>924</v>
      </c>
      <c r="AD985" s="4" t="s">
        <v>925</v>
      </c>
      <c r="AE985" s="4" t="s">
        <v>926</v>
      </c>
      <c r="AF985" s="4" t="s">
        <v>927</v>
      </c>
      <c r="AH985" s="4" t="s">
        <v>371</v>
      </c>
      <c r="AM985" s="4">
        <v>6.4</v>
      </c>
      <c r="AQ985" s="4" t="s">
        <v>464</v>
      </c>
      <c r="AR985" s="4">
        <v>26.75</v>
      </c>
      <c r="AS985" s="4" t="s">
        <v>11</v>
      </c>
      <c r="AT985" s="4">
        <v>6.34</v>
      </c>
      <c r="AU985" s="4" t="s">
        <v>14</v>
      </c>
      <c r="AV985" s="4">
        <v>68.65</v>
      </c>
      <c r="AW985" s="4" t="s">
        <v>16</v>
      </c>
      <c r="AX985" s="4">
        <v>6.76</v>
      </c>
      <c r="AY985" s="4" t="s">
        <v>7</v>
      </c>
      <c r="AZ985" s="4">
        <v>0.22</v>
      </c>
      <c r="BI985" s="4" t="s">
        <v>321</v>
      </c>
      <c r="BK985" s="4">
        <v>25</v>
      </c>
      <c r="BL985" s="4">
        <v>1</v>
      </c>
      <c r="BN985" s="4">
        <v>1</v>
      </c>
      <c r="BV985" s="4" t="s">
        <v>917</v>
      </c>
      <c r="BW985" s="4">
        <v>25</v>
      </c>
      <c r="CB985" s="4" t="s">
        <v>12</v>
      </c>
      <c r="CC985" s="4">
        <v>200</v>
      </c>
      <c r="CE985" s="4" t="s">
        <v>11</v>
      </c>
      <c r="CF985" s="4">
        <v>200</v>
      </c>
      <c r="CH985" s="4" t="s">
        <v>14</v>
      </c>
      <c r="CI985" s="4">
        <v>200</v>
      </c>
      <c r="CK985" s="4" t="s">
        <v>7</v>
      </c>
      <c r="CL985" s="4">
        <v>200</v>
      </c>
      <c r="CV985" s="4">
        <v>180</v>
      </c>
      <c r="DM985" s="4">
        <v>420</v>
      </c>
      <c r="DO985" s="4">
        <v>3</v>
      </c>
      <c r="DW985" s="1">
        <v>66.92</v>
      </c>
      <c r="DX985" s="1">
        <v>1.31</v>
      </c>
      <c r="EA985" s="4">
        <v>67.11</v>
      </c>
      <c r="ED985" s="4">
        <v>67.11</v>
      </c>
      <c r="GE985" s="1">
        <v>74.18</v>
      </c>
      <c r="GF985" s="1">
        <v>1.28</v>
      </c>
      <c r="GI985" s="4"/>
      <c r="GK985" s="1">
        <f>GE985/2</f>
        <v>37.09</v>
      </c>
      <c r="GL985" s="1">
        <v>37.09</v>
      </c>
      <c r="GT985" s="1">
        <v>75.5</v>
      </c>
      <c r="GU985" s="1">
        <v>2.13</v>
      </c>
    </row>
    <row r="986" customHeight="1" spans="1:313">
      <c r="A986" s="39">
        <v>29</v>
      </c>
      <c r="B986" s="4" t="s">
        <v>911</v>
      </c>
      <c r="C986" s="5" t="s">
        <v>930</v>
      </c>
      <c r="D986" s="4" t="s">
        <v>300</v>
      </c>
      <c r="H986" s="4" t="s">
        <v>328</v>
      </c>
      <c r="I986" s="4" t="s">
        <v>922</v>
      </c>
      <c r="J986" s="4">
        <v>11.12</v>
      </c>
      <c r="AB986" s="4" t="s">
        <v>931</v>
      </c>
      <c r="AC986" s="4" t="s">
        <v>924</v>
      </c>
      <c r="AD986" s="4" t="s">
        <v>925</v>
      </c>
      <c r="AE986" s="4" t="s">
        <v>926</v>
      </c>
      <c r="AF986" s="4" t="s">
        <v>927</v>
      </c>
      <c r="AH986" s="4" t="s">
        <v>371</v>
      </c>
      <c r="AM986" s="4">
        <v>6.4</v>
      </c>
      <c r="AQ986" s="4" t="s">
        <v>464</v>
      </c>
      <c r="AR986" s="4">
        <v>26.75</v>
      </c>
      <c r="AS986" s="4" t="s">
        <v>11</v>
      </c>
      <c r="AT986" s="4">
        <v>6.34</v>
      </c>
      <c r="AU986" s="4" t="s">
        <v>14</v>
      </c>
      <c r="AV986" s="4">
        <v>68.65</v>
      </c>
      <c r="AW986" s="4" t="s">
        <v>16</v>
      </c>
      <c r="AX986" s="4">
        <v>6.76</v>
      </c>
      <c r="AY986" s="4" t="s">
        <v>7</v>
      </c>
      <c r="AZ986" s="4">
        <v>0.22</v>
      </c>
      <c r="BI986" s="4" t="s">
        <v>321</v>
      </c>
      <c r="BK986" s="4">
        <v>25</v>
      </c>
      <c r="BL986" s="4">
        <v>1</v>
      </c>
      <c r="BN986" s="4">
        <v>1</v>
      </c>
      <c r="BV986" s="4">
        <v>420</v>
      </c>
      <c r="BW986" s="4">
        <v>25</v>
      </c>
      <c r="CB986" s="4" t="s">
        <v>12</v>
      </c>
      <c r="CC986" s="4" t="s">
        <v>918</v>
      </c>
      <c r="CE986" s="4" t="s">
        <v>11</v>
      </c>
      <c r="CF986" s="4" t="s">
        <v>918</v>
      </c>
      <c r="CH986" s="4" t="s">
        <v>14</v>
      </c>
      <c r="CI986" s="4" t="s">
        <v>918</v>
      </c>
      <c r="CK986" s="4" t="s">
        <v>7</v>
      </c>
      <c r="CL986" s="4" t="s">
        <v>918</v>
      </c>
      <c r="DB986" s="4" t="s">
        <v>919</v>
      </c>
      <c r="DC986" s="4" t="s">
        <v>920</v>
      </c>
      <c r="DO986" s="4">
        <v>3</v>
      </c>
      <c r="EA986" s="4"/>
      <c r="ED986" s="4"/>
      <c r="GI986" s="4"/>
    </row>
    <row r="987" customHeight="1" spans="1:313">
      <c r="A987" s="39">
        <v>29</v>
      </c>
      <c r="B987" s="4" t="s">
        <v>911</v>
      </c>
      <c r="C987" s="5" t="s">
        <v>930</v>
      </c>
      <c r="D987" s="4" t="s">
        <v>300</v>
      </c>
      <c r="H987" s="4" t="s">
        <v>328</v>
      </c>
      <c r="I987" s="4" t="s">
        <v>922</v>
      </c>
      <c r="J987" s="4">
        <v>11.12</v>
      </c>
      <c r="AB987" s="4" t="s">
        <v>931</v>
      </c>
      <c r="AC987" s="4" t="s">
        <v>924</v>
      </c>
      <c r="AD987" s="4" t="s">
        <v>925</v>
      </c>
      <c r="AE987" s="4" t="s">
        <v>926</v>
      </c>
      <c r="AF987" s="4" t="s">
        <v>927</v>
      </c>
      <c r="AH987" s="4" t="s">
        <v>371</v>
      </c>
      <c r="AM987" s="4">
        <v>6.4</v>
      </c>
      <c r="AQ987" s="4" t="s">
        <v>464</v>
      </c>
      <c r="AR987" s="4">
        <v>26.75</v>
      </c>
      <c r="AS987" s="4" t="s">
        <v>11</v>
      </c>
      <c r="AT987" s="4">
        <v>6.34</v>
      </c>
      <c r="AU987" s="4" t="s">
        <v>14</v>
      </c>
      <c r="AV987" s="4">
        <v>68.65</v>
      </c>
      <c r="AW987" s="4" t="s">
        <v>16</v>
      </c>
      <c r="AX987" s="4">
        <v>6.76</v>
      </c>
      <c r="AY987" s="4" t="s">
        <v>7</v>
      </c>
      <c r="AZ987" s="4">
        <v>0.22</v>
      </c>
      <c r="BI987" s="4" t="s">
        <v>321</v>
      </c>
      <c r="BL987" s="4">
        <v>75</v>
      </c>
      <c r="BM987" s="4">
        <v>0.125</v>
      </c>
      <c r="BU987" s="4">
        <v>30</v>
      </c>
      <c r="CB987" s="4" t="s">
        <v>12</v>
      </c>
      <c r="CC987" s="4">
        <v>200</v>
      </c>
      <c r="CE987" s="4" t="s">
        <v>11</v>
      </c>
      <c r="CF987" s="4">
        <v>200</v>
      </c>
      <c r="CH987" s="4" t="s">
        <v>14</v>
      </c>
      <c r="CI987" s="4">
        <v>200</v>
      </c>
      <c r="DO987" s="4">
        <v>3</v>
      </c>
      <c r="DS987" s="4">
        <v>0.01</v>
      </c>
      <c r="EA987" s="4"/>
      <c r="ED987" s="4">
        <v>99.995</v>
      </c>
      <c r="GA987" s="4">
        <v>0.68</v>
      </c>
      <c r="GI987" s="4"/>
      <c r="GK987" s="1">
        <f>(200-GA987)/2</f>
        <v>99.66</v>
      </c>
      <c r="GL987" s="1">
        <f>(200-GB987)/2</f>
        <v>100</v>
      </c>
      <c r="GP987" s="4">
        <v>2.03</v>
      </c>
      <c r="GX987" s="4"/>
      <c r="GZ987" s="1">
        <f>(200-GP987)/2</f>
        <v>98.985</v>
      </c>
      <c r="HA987" s="4">
        <v>98.985</v>
      </c>
      <c r="HT987" s="4">
        <v>3.01</v>
      </c>
      <c r="ID987" s="1">
        <f>(200-HT987)/2</f>
        <v>98.495</v>
      </c>
      <c r="IE987" s="1">
        <v>98.495</v>
      </c>
    </row>
    <row r="988" customHeight="1" spans="1:313">
      <c r="A988" s="39">
        <v>29</v>
      </c>
      <c r="B988" s="4" t="s">
        <v>911</v>
      </c>
      <c r="C988" s="5" t="s">
        <v>932</v>
      </c>
      <c r="D988" s="4" t="s">
        <v>300</v>
      </c>
      <c r="H988" s="4" t="s">
        <v>328</v>
      </c>
      <c r="I988" s="4" t="s">
        <v>922</v>
      </c>
      <c r="J988" s="4">
        <v>15.05</v>
      </c>
      <c r="AB988" s="4" t="s">
        <v>933</v>
      </c>
      <c r="AC988" s="4" t="s">
        <v>924</v>
      </c>
      <c r="AD988" s="4" t="s">
        <v>925</v>
      </c>
      <c r="AE988" s="4" t="s">
        <v>926</v>
      </c>
      <c r="AF988" s="4" t="s">
        <v>927</v>
      </c>
      <c r="AH988" s="4" t="s">
        <v>371</v>
      </c>
      <c r="AM988" s="4">
        <v>6.4</v>
      </c>
      <c r="AQ988" s="4" t="s">
        <v>464</v>
      </c>
      <c r="AR988" s="4">
        <v>26.75</v>
      </c>
      <c r="AS988" s="4" t="s">
        <v>11</v>
      </c>
      <c r="AT988" s="4">
        <v>6.34</v>
      </c>
      <c r="AU988" s="4" t="s">
        <v>14</v>
      </c>
      <c r="AV988" s="4">
        <v>68.65</v>
      </c>
      <c r="AW988" s="4" t="s">
        <v>16</v>
      </c>
      <c r="AX988" s="4">
        <v>6.76</v>
      </c>
      <c r="AY988" s="4" t="s">
        <v>7</v>
      </c>
      <c r="AZ988" s="4">
        <v>0.22</v>
      </c>
      <c r="BI988" s="4" t="s">
        <v>321</v>
      </c>
      <c r="BK988" s="4">
        <v>25</v>
      </c>
      <c r="BL988" s="4">
        <v>1</v>
      </c>
      <c r="BN988" s="4">
        <v>1</v>
      </c>
      <c r="BV988" s="4" t="s">
        <v>917</v>
      </c>
      <c r="BW988" s="4">
        <v>25</v>
      </c>
      <c r="CB988" s="4" t="s">
        <v>12</v>
      </c>
      <c r="CC988" s="4">
        <v>200</v>
      </c>
      <c r="CE988" s="4" t="s">
        <v>11</v>
      </c>
      <c r="CF988" s="4">
        <v>200</v>
      </c>
      <c r="CH988" s="4" t="s">
        <v>14</v>
      </c>
      <c r="CI988" s="4">
        <v>200</v>
      </c>
      <c r="CK988" s="4" t="s">
        <v>7</v>
      </c>
      <c r="CL988" s="4">
        <v>200</v>
      </c>
      <c r="CV988" s="4">
        <v>180</v>
      </c>
      <c r="DM988" s="4">
        <v>420</v>
      </c>
      <c r="DO988" s="4">
        <v>3</v>
      </c>
      <c r="DW988" s="1">
        <v>60.56</v>
      </c>
      <c r="DX988" s="1">
        <v>1.31</v>
      </c>
      <c r="EA988" s="4">
        <v>60.66</v>
      </c>
      <c r="ED988" s="4">
        <v>60.66</v>
      </c>
      <c r="GE988" s="1">
        <v>65.2</v>
      </c>
      <c r="GF988" s="1">
        <v>2.14</v>
      </c>
      <c r="GK988" s="1">
        <f>GE988/2</f>
        <v>32.6</v>
      </c>
      <c r="GL988" s="1">
        <v>32.6</v>
      </c>
      <c r="GT988" s="1">
        <v>70.59</v>
      </c>
      <c r="GU988" s="1">
        <v>1.71</v>
      </c>
    </row>
    <row r="989" customHeight="1" spans="1:313">
      <c r="A989" s="39">
        <v>29</v>
      </c>
      <c r="B989" s="4" t="s">
        <v>911</v>
      </c>
      <c r="C989" s="5" t="s">
        <v>932</v>
      </c>
      <c r="D989" s="4" t="s">
        <v>300</v>
      </c>
      <c r="H989" s="4" t="s">
        <v>328</v>
      </c>
      <c r="I989" s="4" t="s">
        <v>922</v>
      </c>
      <c r="J989" s="4">
        <v>15.05</v>
      </c>
      <c r="AB989" s="4" t="s">
        <v>933</v>
      </c>
      <c r="AC989" s="4" t="s">
        <v>924</v>
      </c>
      <c r="AD989" s="4" t="s">
        <v>925</v>
      </c>
      <c r="AE989" s="4" t="s">
        <v>926</v>
      </c>
      <c r="AF989" s="4" t="s">
        <v>927</v>
      </c>
      <c r="AH989" s="4" t="s">
        <v>371</v>
      </c>
      <c r="AM989" s="4">
        <v>6.4</v>
      </c>
      <c r="AQ989" s="4" t="s">
        <v>464</v>
      </c>
      <c r="AR989" s="4">
        <v>26.75</v>
      </c>
      <c r="AS989" s="4" t="s">
        <v>11</v>
      </c>
      <c r="AT989" s="4">
        <v>6.34</v>
      </c>
      <c r="AU989" s="4" t="s">
        <v>14</v>
      </c>
      <c r="AV989" s="4">
        <v>68.65</v>
      </c>
      <c r="AW989" s="4" t="s">
        <v>16</v>
      </c>
      <c r="AX989" s="4">
        <v>6.76</v>
      </c>
      <c r="AY989" s="4" t="s">
        <v>7</v>
      </c>
      <c r="AZ989" s="4">
        <v>0.22</v>
      </c>
      <c r="BI989" s="4" t="s">
        <v>321</v>
      </c>
      <c r="BK989" s="4">
        <v>25</v>
      </c>
      <c r="BL989" s="4">
        <v>1</v>
      </c>
      <c r="BN989" s="4">
        <v>1</v>
      </c>
      <c r="BV989" s="4">
        <v>420</v>
      </c>
      <c r="BW989" s="4">
        <v>25</v>
      </c>
      <c r="CB989" s="4" t="s">
        <v>12</v>
      </c>
      <c r="CC989" s="4" t="s">
        <v>918</v>
      </c>
      <c r="CE989" s="4" t="s">
        <v>11</v>
      </c>
      <c r="CF989" s="4" t="s">
        <v>918</v>
      </c>
      <c r="CH989" s="4" t="s">
        <v>14</v>
      </c>
      <c r="CI989" s="4" t="s">
        <v>918</v>
      </c>
      <c r="CK989" s="4" t="s">
        <v>7</v>
      </c>
      <c r="CL989" s="4" t="s">
        <v>918</v>
      </c>
      <c r="DB989" s="4" t="s">
        <v>919</v>
      </c>
      <c r="DC989" s="4" t="s">
        <v>920</v>
      </c>
      <c r="DO989" s="4">
        <v>3</v>
      </c>
      <c r="EA989" s="4"/>
      <c r="ED989" s="4"/>
    </row>
    <row r="990" customHeight="1" spans="1:313">
      <c r="A990" s="39">
        <v>29</v>
      </c>
      <c r="B990" s="4" t="s">
        <v>911</v>
      </c>
      <c r="C990" s="5" t="s">
        <v>932</v>
      </c>
      <c r="D990" s="4" t="s">
        <v>300</v>
      </c>
      <c r="H990" s="4" t="s">
        <v>328</v>
      </c>
      <c r="I990" s="4" t="s">
        <v>922</v>
      </c>
      <c r="J990" s="4">
        <v>15.05</v>
      </c>
      <c r="AB990" s="4" t="s">
        <v>933</v>
      </c>
      <c r="AC990" s="4" t="s">
        <v>924</v>
      </c>
      <c r="AD990" s="4" t="s">
        <v>925</v>
      </c>
      <c r="AE990" s="4" t="s">
        <v>926</v>
      </c>
      <c r="AF990" s="4" t="s">
        <v>927</v>
      </c>
      <c r="AH990" s="4" t="s">
        <v>371</v>
      </c>
      <c r="AM990" s="4">
        <v>6.4</v>
      </c>
      <c r="AQ990" s="4" t="s">
        <v>464</v>
      </c>
      <c r="AR990" s="4">
        <v>26.75</v>
      </c>
      <c r="AS990" s="4" t="s">
        <v>11</v>
      </c>
      <c r="AT990" s="4">
        <v>6.34</v>
      </c>
      <c r="AU990" s="4" t="s">
        <v>14</v>
      </c>
      <c r="AV990" s="4">
        <v>68.65</v>
      </c>
      <c r="AW990" s="4" t="s">
        <v>16</v>
      </c>
      <c r="AX990" s="4">
        <v>6.76</v>
      </c>
      <c r="AY990" s="4" t="s">
        <v>7</v>
      </c>
      <c r="AZ990" s="4">
        <v>0.22</v>
      </c>
      <c r="BI990" s="4" t="s">
        <v>321</v>
      </c>
      <c r="BL990" s="4">
        <v>75</v>
      </c>
      <c r="BM990" s="4">
        <v>0.125</v>
      </c>
      <c r="BU990" s="4">
        <v>30</v>
      </c>
      <c r="CB990" s="4" t="s">
        <v>12</v>
      </c>
      <c r="CC990" s="4">
        <v>200</v>
      </c>
      <c r="CE990" s="4" t="s">
        <v>11</v>
      </c>
      <c r="CF990" s="4">
        <v>200</v>
      </c>
      <c r="CH990" s="4" t="s">
        <v>14</v>
      </c>
      <c r="CI990" s="4">
        <v>200</v>
      </c>
      <c r="DO990" s="4">
        <v>3</v>
      </c>
      <c r="DS990" s="4">
        <v>0.03</v>
      </c>
      <c r="EA990" s="4"/>
      <c r="ED990" s="4">
        <v>99.985</v>
      </c>
      <c r="GA990" s="4">
        <v>0.81</v>
      </c>
      <c r="GI990" s="4"/>
      <c r="GK990" s="1">
        <f>(200-GA990)/2</f>
        <v>99.595</v>
      </c>
      <c r="GL990" s="4">
        <v>99.595</v>
      </c>
      <c r="GP990" s="4">
        <v>2.96</v>
      </c>
      <c r="GX990" s="4"/>
      <c r="GZ990" s="1">
        <f>(200-GP990)/2</f>
        <v>98.52</v>
      </c>
      <c r="HA990" s="4">
        <v>98.52</v>
      </c>
      <c r="HT990" s="4">
        <v>4.3</v>
      </c>
      <c r="ID990" s="1">
        <f>(200-HT990)/2</f>
        <v>97.85</v>
      </c>
      <c r="IE990" s="1">
        <v>97.85</v>
      </c>
    </row>
    <row r="991" customHeight="1" spans="1:313">
      <c r="A991" s="3">
        <v>30</v>
      </c>
      <c r="B991" s="4" t="s">
        <v>934</v>
      </c>
      <c r="C991" s="5" t="s">
        <v>935</v>
      </c>
      <c r="D991" s="4" t="s">
        <v>936</v>
      </c>
      <c r="E991" s="4" t="s">
        <v>937</v>
      </c>
      <c r="N991" s="4" t="s">
        <v>567</v>
      </c>
      <c r="O991" s="4" t="s">
        <v>502</v>
      </c>
      <c r="P991" s="4">
        <v>2.05</v>
      </c>
      <c r="Q991" s="4" t="s">
        <v>542</v>
      </c>
      <c r="Z991" s="4" t="s">
        <v>938</v>
      </c>
      <c r="AB991" s="4" t="s">
        <v>939</v>
      </c>
      <c r="AC991" s="4" t="s">
        <v>940</v>
      </c>
      <c r="AD991" s="4" t="s">
        <v>941</v>
      </c>
      <c r="AE991" s="4">
        <v>1365</v>
      </c>
      <c r="AF991" s="4" t="s">
        <v>942</v>
      </c>
      <c r="BI991" s="4" t="s">
        <v>309</v>
      </c>
      <c r="BN991" s="4">
        <v>1</v>
      </c>
      <c r="BV991" s="4" t="s">
        <v>943</v>
      </c>
      <c r="BW991" s="4" t="s">
        <v>311</v>
      </c>
      <c r="CB991" s="4" t="s">
        <v>944</v>
      </c>
      <c r="CC991" s="4">
        <v>100</v>
      </c>
      <c r="CV991" s="4">
        <v>400</v>
      </c>
      <c r="CX991" s="4" t="s">
        <v>314</v>
      </c>
      <c r="CY991" s="4" t="s">
        <v>315</v>
      </c>
      <c r="DM991" s="4">
        <v>400</v>
      </c>
      <c r="DO991" s="4">
        <v>3</v>
      </c>
      <c r="FP991" s="4">
        <v>98.2</v>
      </c>
      <c r="FW991" s="1">
        <v>98.2</v>
      </c>
      <c r="KZ991" s="1" t="s">
        <v>945</v>
      </c>
      <c r="LA991" s="1" t="s">
        <v>946</v>
      </c>
    </row>
    <row r="992" customHeight="1" spans="1:313">
      <c r="A992" s="3">
        <v>30</v>
      </c>
      <c r="B992" s="4" t="s">
        <v>934</v>
      </c>
      <c r="C992" s="5" t="s">
        <v>935</v>
      </c>
      <c r="D992" s="4" t="s">
        <v>936</v>
      </c>
      <c r="E992" s="4" t="s">
        <v>937</v>
      </c>
      <c r="N992" s="4" t="s">
        <v>567</v>
      </c>
      <c r="O992" s="4" t="s">
        <v>502</v>
      </c>
      <c r="P992" s="4">
        <v>2.05</v>
      </c>
      <c r="Q992" s="4" t="s">
        <v>542</v>
      </c>
      <c r="Z992" s="4" t="s">
        <v>938</v>
      </c>
      <c r="AB992" s="4" t="s">
        <v>939</v>
      </c>
      <c r="AC992" s="4" t="s">
        <v>940</v>
      </c>
      <c r="AD992" s="4" t="s">
        <v>941</v>
      </c>
      <c r="AE992" s="4">
        <v>1365</v>
      </c>
      <c r="AF992" s="4" t="s">
        <v>942</v>
      </c>
      <c r="BI992" s="4" t="s">
        <v>309</v>
      </c>
      <c r="BN992" s="4">
        <v>1</v>
      </c>
      <c r="BV992" s="4" t="s">
        <v>943</v>
      </c>
      <c r="BW992" s="4" t="s">
        <v>311</v>
      </c>
      <c r="CB992" s="4" t="s">
        <v>947</v>
      </c>
      <c r="CC992" s="4">
        <v>1000</v>
      </c>
      <c r="CV992" s="4">
        <v>1440</v>
      </c>
      <c r="CX992" s="4" t="s">
        <v>314</v>
      </c>
      <c r="CY992" s="4" t="s">
        <v>315</v>
      </c>
      <c r="DM992" s="4">
        <v>1440</v>
      </c>
      <c r="DO992" s="4">
        <v>3</v>
      </c>
      <c r="DW992" s="4">
        <v>423.2</v>
      </c>
      <c r="ED992" s="1">
        <v>42.32</v>
      </c>
      <c r="KZ992" s="1" t="s">
        <v>7</v>
      </c>
      <c r="LA992" s="1" t="s">
        <v>948</v>
      </c>
    </row>
    <row r="993" customHeight="1" spans="1:313">
      <c r="A993" s="3">
        <v>30</v>
      </c>
      <c r="B993" s="4" t="s">
        <v>934</v>
      </c>
      <c r="C993" s="5" t="s">
        <v>935</v>
      </c>
      <c r="D993" s="4" t="s">
        <v>936</v>
      </c>
      <c r="E993" s="4" t="s">
        <v>937</v>
      </c>
      <c r="N993" s="4" t="s">
        <v>567</v>
      </c>
      <c r="O993" s="4" t="s">
        <v>502</v>
      </c>
      <c r="P993" s="4">
        <v>2.05</v>
      </c>
      <c r="Q993" s="4" t="s">
        <v>542</v>
      </c>
      <c r="Z993" s="4" t="s">
        <v>938</v>
      </c>
      <c r="AB993" s="4" t="s">
        <v>939</v>
      </c>
      <c r="AC993" s="4" t="s">
        <v>940</v>
      </c>
      <c r="AD993" s="4" t="s">
        <v>941</v>
      </c>
      <c r="AE993" s="4">
        <v>1365</v>
      </c>
      <c r="AF993" s="4" t="s">
        <v>942</v>
      </c>
      <c r="BI993" s="4" t="s">
        <v>309</v>
      </c>
      <c r="BN993" s="4">
        <v>1</v>
      </c>
      <c r="BV993" s="4" t="s">
        <v>943</v>
      </c>
      <c r="BW993" s="4" t="s">
        <v>311</v>
      </c>
      <c r="CB993" s="4" t="s">
        <v>664</v>
      </c>
      <c r="CC993" s="4">
        <v>1000</v>
      </c>
      <c r="CV993" s="4">
        <v>400</v>
      </c>
      <c r="CX993" s="4" t="s">
        <v>314</v>
      </c>
      <c r="CY993" s="4" t="s">
        <v>315</v>
      </c>
      <c r="DM993" s="4">
        <v>400</v>
      </c>
      <c r="DO993" s="4">
        <v>3</v>
      </c>
      <c r="KZ993" s="1" t="s">
        <v>11</v>
      </c>
      <c r="LA993" s="1" t="s">
        <v>949</v>
      </c>
    </row>
    <row r="994" customHeight="1" spans="1:313">
      <c r="A994" s="3">
        <v>30</v>
      </c>
      <c r="B994" s="4" t="s">
        <v>934</v>
      </c>
      <c r="C994" s="5" t="s">
        <v>935</v>
      </c>
      <c r="D994" s="4" t="s">
        <v>936</v>
      </c>
      <c r="E994" s="4" t="s">
        <v>937</v>
      </c>
      <c r="N994" s="4" t="s">
        <v>567</v>
      </c>
      <c r="O994" s="4" t="s">
        <v>502</v>
      </c>
      <c r="P994" s="4">
        <v>2.05</v>
      </c>
      <c r="Q994" s="4" t="s">
        <v>542</v>
      </c>
      <c r="Z994" s="4" t="s">
        <v>938</v>
      </c>
      <c r="AB994" s="4" t="s">
        <v>939</v>
      </c>
      <c r="AC994" s="4" t="s">
        <v>940</v>
      </c>
      <c r="AD994" s="4" t="s">
        <v>941</v>
      </c>
      <c r="AE994" s="4">
        <v>1365</v>
      </c>
      <c r="AF994" s="4" t="s">
        <v>942</v>
      </c>
      <c r="BI994" s="4" t="s">
        <v>309</v>
      </c>
      <c r="BN994" s="4">
        <v>1</v>
      </c>
      <c r="BW994" s="4" t="s">
        <v>311</v>
      </c>
      <c r="CB994" s="4" t="s">
        <v>944</v>
      </c>
      <c r="CC994" s="4" t="s">
        <v>950</v>
      </c>
      <c r="DB994" s="4" t="s">
        <v>951</v>
      </c>
      <c r="DC994" s="4" t="s">
        <v>313</v>
      </c>
      <c r="DE994" s="4">
        <v>92.5</v>
      </c>
      <c r="DO994" s="4">
        <v>3</v>
      </c>
    </row>
    <row r="995" customHeight="1" spans="1:313">
      <c r="A995" s="3">
        <v>30</v>
      </c>
      <c r="B995" s="4" t="s">
        <v>934</v>
      </c>
      <c r="C995" s="5" t="s">
        <v>935</v>
      </c>
      <c r="D995" s="4" t="s">
        <v>936</v>
      </c>
      <c r="E995" s="4" t="s">
        <v>937</v>
      </c>
      <c r="N995" s="4" t="s">
        <v>567</v>
      </c>
      <c r="O995" s="4" t="s">
        <v>502</v>
      </c>
      <c r="P995" s="4">
        <v>2.05</v>
      </c>
      <c r="Q995" s="4" t="s">
        <v>542</v>
      </c>
      <c r="Z995" s="4" t="s">
        <v>938</v>
      </c>
      <c r="AB995" s="4" t="s">
        <v>939</v>
      </c>
      <c r="AC995" s="4" t="s">
        <v>940</v>
      </c>
      <c r="AD995" s="4" t="s">
        <v>941</v>
      </c>
      <c r="AE995" s="4">
        <v>1365</v>
      </c>
      <c r="AF995" s="4" t="s">
        <v>942</v>
      </c>
      <c r="BI995" s="4" t="s">
        <v>309</v>
      </c>
      <c r="BN995" s="4">
        <v>1</v>
      </c>
      <c r="BW995" s="4" t="s">
        <v>311</v>
      </c>
      <c r="CB995" s="4" t="s">
        <v>947</v>
      </c>
      <c r="CC995" s="4" t="s">
        <v>950</v>
      </c>
      <c r="DB995" s="4" t="s">
        <v>951</v>
      </c>
      <c r="DC995" s="4" t="s">
        <v>313</v>
      </c>
      <c r="DE995" s="4">
        <v>543.48</v>
      </c>
      <c r="DO995" s="4">
        <v>3</v>
      </c>
      <c r="DW995" s="29">
        <v>543.48</v>
      </c>
    </row>
    <row r="996" customHeight="1" spans="1:313">
      <c r="A996" s="3">
        <v>30</v>
      </c>
      <c r="B996" s="4" t="s">
        <v>934</v>
      </c>
      <c r="C996" s="5" t="s">
        <v>935</v>
      </c>
      <c r="D996" s="4" t="s">
        <v>936</v>
      </c>
      <c r="E996" s="4" t="s">
        <v>937</v>
      </c>
      <c r="N996" s="4" t="s">
        <v>567</v>
      </c>
      <c r="O996" s="4" t="s">
        <v>502</v>
      </c>
      <c r="P996" s="4">
        <v>2.05</v>
      </c>
      <c r="Q996" s="4" t="s">
        <v>542</v>
      </c>
      <c r="Z996" s="4" t="s">
        <v>938</v>
      </c>
      <c r="AB996" s="4" t="s">
        <v>939</v>
      </c>
      <c r="AC996" s="4" t="s">
        <v>940</v>
      </c>
      <c r="AD996" s="4" t="s">
        <v>941</v>
      </c>
      <c r="AE996" s="4">
        <v>1365</v>
      </c>
      <c r="AF996" s="4" t="s">
        <v>942</v>
      </c>
      <c r="BI996" s="4" t="s">
        <v>309</v>
      </c>
      <c r="BN996" s="4">
        <v>1</v>
      </c>
      <c r="BW996" s="4" t="s">
        <v>311</v>
      </c>
      <c r="CB996" s="4" t="s">
        <v>664</v>
      </c>
      <c r="CC996" s="4" t="s">
        <v>950</v>
      </c>
      <c r="DB996" s="4" t="s">
        <v>951</v>
      </c>
      <c r="DC996" s="4" t="s">
        <v>313</v>
      </c>
      <c r="DE996" s="4">
        <v>1597.41</v>
      </c>
      <c r="DO996" s="4">
        <v>3</v>
      </c>
      <c r="GE996" s="4">
        <v>1597.41</v>
      </c>
    </row>
    <row r="997" customHeight="1" spans="1:313">
      <c r="A997" s="3">
        <v>30</v>
      </c>
      <c r="B997" s="4" t="s">
        <v>934</v>
      </c>
      <c r="C997" s="5" t="s">
        <v>935</v>
      </c>
      <c r="D997" s="4" t="s">
        <v>936</v>
      </c>
      <c r="E997" s="4" t="s">
        <v>937</v>
      </c>
      <c r="N997" s="4" t="s">
        <v>567</v>
      </c>
      <c r="O997" s="4" t="s">
        <v>502</v>
      </c>
      <c r="P997" s="4">
        <v>2.05</v>
      </c>
      <c r="Q997" s="4" t="s">
        <v>542</v>
      </c>
      <c r="Z997" s="4" t="s">
        <v>938</v>
      </c>
      <c r="AB997" s="4" t="s">
        <v>939</v>
      </c>
      <c r="AC997" s="4" t="s">
        <v>940</v>
      </c>
      <c r="AD997" s="4" t="s">
        <v>941</v>
      </c>
      <c r="AE997" s="4">
        <v>1365</v>
      </c>
      <c r="AF997" s="4" t="s">
        <v>942</v>
      </c>
      <c r="BI997" s="4" t="s">
        <v>309</v>
      </c>
      <c r="BN997" s="4">
        <v>1</v>
      </c>
      <c r="BS997" s="4">
        <v>4.2</v>
      </c>
      <c r="BV997" s="4">
        <v>240</v>
      </c>
      <c r="CB997" s="4" t="s">
        <v>944</v>
      </c>
      <c r="CC997" s="4">
        <v>10</v>
      </c>
      <c r="CE997" s="4" t="s">
        <v>947</v>
      </c>
      <c r="CF997" s="4">
        <v>25</v>
      </c>
      <c r="CH997" s="4" t="s">
        <v>664</v>
      </c>
      <c r="CI997" s="4">
        <v>50</v>
      </c>
      <c r="DO997" s="4">
        <v>3</v>
      </c>
      <c r="FT997" s="4">
        <v>99</v>
      </c>
      <c r="FW997" s="4">
        <v>99</v>
      </c>
      <c r="GI997" s="4">
        <v>99</v>
      </c>
      <c r="GL997" s="4">
        <v>99</v>
      </c>
    </row>
    <row r="998" customHeight="1" spans="1:313">
      <c r="A998" s="3">
        <v>30</v>
      </c>
      <c r="B998" s="4" t="s">
        <v>934</v>
      </c>
      <c r="C998" s="5" t="s">
        <v>935</v>
      </c>
      <c r="D998" s="4" t="s">
        <v>936</v>
      </c>
      <c r="E998" s="4" t="s">
        <v>937</v>
      </c>
      <c r="N998" s="4" t="s">
        <v>567</v>
      </c>
      <c r="O998" s="4" t="s">
        <v>502</v>
      </c>
      <c r="P998" s="4">
        <v>2.05</v>
      </c>
      <c r="Q998" s="4" t="s">
        <v>542</v>
      </c>
      <c r="Z998" s="4" t="s">
        <v>938</v>
      </c>
      <c r="AB998" s="4" t="s">
        <v>939</v>
      </c>
      <c r="AC998" s="4" t="s">
        <v>940</v>
      </c>
      <c r="AD998" s="4" t="s">
        <v>941</v>
      </c>
      <c r="AE998" s="4">
        <v>1365</v>
      </c>
      <c r="AF998" s="4" t="s">
        <v>942</v>
      </c>
      <c r="AH998" s="4" t="s">
        <v>346</v>
      </c>
      <c r="AI998" s="4" t="s">
        <v>952</v>
      </c>
      <c r="AL998" s="4" t="s">
        <v>953</v>
      </c>
      <c r="AM998" s="4">
        <v>6.7</v>
      </c>
      <c r="AQ998" s="4" t="s">
        <v>945</v>
      </c>
      <c r="AR998" s="4">
        <v>107</v>
      </c>
      <c r="AS998" s="4" t="s">
        <v>7</v>
      </c>
      <c r="AT998" s="4">
        <v>1044</v>
      </c>
      <c r="AU998" s="4" t="s">
        <v>11</v>
      </c>
      <c r="AV998" s="4">
        <v>736</v>
      </c>
      <c r="BI998" s="4" t="s">
        <v>321</v>
      </c>
      <c r="BK998" s="4">
        <v>25</v>
      </c>
      <c r="BL998" s="4">
        <v>100</v>
      </c>
      <c r="BM998" s="4">
        <v>0.5</v>
      </c>
      <c r="BO998" s="4">
        <v>0.005</v>
      </c>
      <c r="BV998" s="4" t="s">
        <v>954</v>
      </c>
      <c r="BX998" s="4" t="s">
        <v>955</v>
      </c>
      <c r="CB998" s="4" t="s">
        <v>956</v>
      </c>
      <c r="CC998" s="4">
        <v>2.47</v>
      </c>
      <c r="CE998" s="4" t="s">
        <v>526</v>
      </c>
      <c r="CF998" s="4">
        <v>2.89</v>
      </c>
      <c r="CH998" s="4" t="s">
        <v>670</v>
      </c>
      <c r="CI998" s="4">
        <v>10.03</v>
      </c>
      <c r="DO998" s="4">
        <v>3</v>
      </c>
      <c r="DQ998" s="36">
        <v>2.89</v>
      </c>
      <c r="DR998" s="36">
        <v>0.09</v>
      </c>
      <c r="DS998" s="4">
        <v>2.63</v>
      </c>
      <c r="DT998" s="1">
        <v>0.06</v>
      </c>
      <c r="EC998" s="1">
        <f>(DQ998-DS998)/DQ998*100</f>
        <v>8.99653979238755</v>
      </c>
      <c r="ED998" s="1">
        <v>8.99653979238755</v>
      </c>
      <c r="FJ998" s="1">
        <v>2.46</v>
      </c>
      <c r="FK998" s="1">
        <v>0.37</v>
      </c>
      <c r="FL998" s="4" t="s">
        <v>957</v>
      </c>
      <c r="FM998" s="1">
        <v>0.26</v>
      </c>
      <c r="FV998" s="1" t="e">
        <f>(CC998-FL998)/CC998*100</f>
        <v>#VALUE!</v>
      </c>
      <c r="FW998" s="1">
        <v>0</v>
      </c>
      <c r="FY998" s="1">
        <v>10</v>
      </c>
      <c r="FZ998" s="1">
        <v>0.22</v>
      </c>
      <c r="GA998" s="1" t="s">
        <v>958</v>
      </c>
      <c r="GB998" s="1">
        <v>0.07</v>
      </c>
      <c r="GK998" s="1" t="e">
        <f>(CI998-GA998)/CI998*100</f>
        <v>#VALUE!</v>
      </c>
      <c r="GL998" s="1">
        <v>0</v>
      </c>
    </row>
    <row r="999" customHeight="1" spans="1:313">
      <c r="A999" s="3">
        <v>30</v>
      </c>
      <c r="B999" s="4" t="s">
        <v>934</v>
      </c>
      <c r="C999" s="5" t="s">
        <v>935</v>
      </c>
      <c r="D999" s="4" t="s">
        <v>936</v>
      </c>
      <c r="E999" s="4" t="s">
        <v>937</v>
      </c>
      <c r="N999" s="4" t="s">
        <v>567</v>
      </c>
      <c r="O999" s="4" t="s">
        <v>502</v>
      </c>
      <c r="P999" s="4">
        <v>2.05</v>
      </c>
      <c r="Q999" s="4" t="s">
        <v>542</v>
      </c>
      <c r="Z999" s="4" t="s">
        <v>938</v>
      </c>
      <c r="AB999" s="4" t="s">
        <v>939</v>
      </c>
      <c r="AC999" s="4" t="s">
        <v>940</v>
      </c>
      <c r="AD999" s="4" t="s">
        <v>941</v>
      </c>
      <c r="AE999" s="4">
        <v>1365</v>
      </c>
      <c r="AF999" s="4" t="s">
        <v>942</v>
      </c>
      <c r="AH999" s="4" t="s">
        <v>346</v>
      </c>
      <c r="AI999" s="4" t="s">
        <v>952</v>
      </c>
      <c r="AL999" s="4" t="s">
        <v>953</v>
      </c>
      <c r="AM999" s="4">
        <v>6.7</v>
      </c>
      <c r="AQ999" s="4" t="s">
        <v>945</v>
      </c>
      <c r="AR999" s="4">
        <v>107</v>
      </c>
      <c r="AS999" s="4" t="s">
        <v>7</v>
      </c>
      <c r="AT999" s="4">
        <v>1044</v>
      </c>
      <c r="AU999" s="4" t="s">
        <v>11</v>
      </c>
      <c r="AV999" s="4">
        <v>736</v>
      </c>
      <c r="BI999" s="4" t="s">
        <v>321</v>
      </c>
      <c r="BK999" s="4">
        <v>25</v>
      </c>
      <c r="BL999" s="4">
        <v>100</v>
      </c>
      <c r="BM999" s="4">
        <v>1</v>
      </c>
      <c r="BO999" s="4">
        <v>0.01</v>
      </c>
      <c r="BV999" s="4" t="s">
        <v>954</v>
      </c>
      <c r="BX999" s="4" t="s">
        <v>955</v>
      </c>
      <c r="CB999" s="4" t="s">
        <v>956</v>
      </c>
      <c r="CC999" s="4">
        <v>2.37</v>
      </c>
      <c r="CE999" s="4" t="s">
        <v>526</v>
      </c>
      <c r="CF999" s="4">
        <v>2.77</v>
      </c>
      <c r="CH999" s="4" t="s">
        <v>670</v>
      </c>
      <c r="CI999" s="4">
        <v>9.76</v>
      </c>
      <c r="DO999" s="4">
        <v>3</v>
      </c>
      <c r="DQ999" s="36">
        <v>2.77</v>
      </c>
      <c r="DR999" s="36">
        <v>0.23</v>
      </c>
      <c r="DS999" s="4">
        <v>1.66</v>
      </c>
      <c r="DT999" s="1">
        <v>0.06</v>
      </c>
      <c r="EC999" s="1">
        <f t="shared" ref="EC999:EC1006" si="24">(DQ999-DS999)/DQ999*100</f>
        <v>40.072202166065</v>
      </c>
      <c r="ED999" s="1">
        <v>40.072202166065</v>
      </c>
      <c r="FJ999" s="1">
        <v>2.36</v>
      </c>
      <c r="FK999" s="1">
        <v>0.25</v>
      </c>
      <c r="FL999" s="4">
        <v>2.06</v>
      </c>
      <c r="FM999" s="1">
        <v>0.04</v>
      </c>
      <c r="FV999" s="1">
        <f t="shared" ref="FV999:FV1006" si="25">(CC999-FL999)/CC999*100</f>
        <v>13.0801687763713</v>
      </c>
      <c r="FW999" s="1">
        <v>13.0801687763713</v>
      </c>
      <c r="FY999" s="1">
        <v>9.7</v>
      </c>
      <c r="FZ999" s="1">
        <v>0.7</v>
      </c>
      <c r="GA999" s="1">
        <v>3.16</v>
      </c>
      <c r="GB999" s="1">
        <v>0.07</v>
      </c>
      <c r="GK999" s="1">
        <f t="shared" ref="GK999:GK1006" si="26">(CI999-GA999)/CI999*100</f>
        <v>67.6229508196721</v>
      </c>
      <c r="GL999" s="1">
        <v>67.6229508196721</v>
      </c>
    </row>
    <row r="1000" customHeight="1" spans="1:313">
      <c r="A1000" s="3">
        <v>30</v>
      </c>
      <c r="B1000" s="4" t="s">
        <v>934</v>
      </c>
      <c r="C1000" s="5" t="s">
        <v>935</v>
      </c>
      <c r="D1000" s="4" t="s">
        <v>936</v>
      </c>
      <c r="E1000" s="4" t="s">
        <v>937</v>
      </c>
      <c r="N1000" s="4" t="s">
        <v>567</v>
      </c>
      <c r="O1000" s="4" t="s">
        <v>502</v>
      </c>
      <c r="P1000" s="4">
        <v>2.05</v>
      </c>
      <c r="Q1000" s="4" t="s">
        <v>542</v>
      </c>
      <c r="Z1000" s="4" t="s">
        <v>938</v>
      </c>
      <c r="AB1000" s="4" t="s">
        <v>939</v>
      </c>
      <c r="AC1000" s="4" t="s">
        <v>940</v>
      </c>
      <c r="AD1000" s="4" t="s">
        <v>941</v>
      </c>
      <c r="AE1000" s="4">
        <v>1365</v>
      </c>
      <c r="AF1000" s="4" t="s">
        <v>942</v>
      </c>
      <c r="AH1000" s="4" t="s">
        <v>346</v>
      </c>
      <c r="AI1000" s="4" t="s">
        <v>952</v>
      </c>
      <c r="AL1000" s="4" t="s">
        <v>953</v>
      </c>
      <c r="AM1000" s="4">
        <v>6.7</v>
      </c>
      <c r="AQ1000" s="4" t="s">
        <v>945</v>
      </c>
      <c r="AR1000" s="4">
        <v>107</v>
      </c>
      <c r="AS1000" s="4" t="s">
        <v>7</v>
      </c>
      <c r="AT1000" s="4">
        <v>1044</v>
      </c>
      <c r="AU1000" s="4" t="s">
        <v>11</v>
      </c>
      <c r="AV1000" s="4">
        <v>736</v>
      </c>
      <c r="BI1000" s="4" t="s">
        <v>321</v>
      </c>
      <c r="BK1000" s="4">
        <v>25</v>
      </c>
      <c r="BL1000" s="4">
        <v>100</v>
      </c>
      <c r="BM1000" s="4">
        <v>2</v>
      </c>
      <c r="BO1000" s="4">
        <v>0.02</v>
      </c>
      <c r="BV1000" s="4" t="s">
        <v>954</v>
      </c>
      <c r="BX1000" s="4" t="s">
        <v>955</v>
      </c>
      <c r="CB1000" s="4" t="s">
        <v>956</v>
      </c>
      <c r="CC1000" s="4">
        <v>2.51</v>
      </c>
      <c r="CE1000" s="4" t="s">
        <v>526</v>
      </c>
      <c r="CF1000" s="4">
        <v>2.92</v>
      </c>
      <c r="CH1000" s="4" t="s">
        <v>670</v>
      </c>
      <c r="CI1000" s="4">
        <v>10.14</v>
      </c>
      <c r="DO1000" s="4">
        <v>3</v>
      </c>
      <c r="DQ1000" s="36">
        <v>2.92</v>
      </c>
      <c r="DR1000" s="36">
        <v>0.32</v>
      </c>
      <c r="DS1000" s="4">
        <v>0.94</v>
      </c>
      <c r="DT1000" s="1">
        <v>0.06</v>
      </c>
      <c r="EC1000" s="1">
        <f t="shared" si="24"/>
        <v>67.8082191780822</v>
      </c>
      <c r="ED1000" s="1">
        <v>67.8082191780822</v>
      </c>
      <c r="FJ1000" s="1">
        <v>2.5</v>
      </c>
      <c r="FK1000" s="1">
        <v>0.1</v>
      </c>
      <c r="FL1000" s="4">
        <v>1.97</v>
      </c>
      <c r="FM1000" s="1">
        <v>0.06</v>
      </c>
      <c r="FV1000" s="1">
        <f t="shared" si="25"/>
        <v>21.5139442231076</v>
      </c>
      <c r="FW1000" s="1">
        <v>21.5139442231076</v>
      </c>
      <c r="FY1000" s="1">
        <v>10.11</v>
      </c>
      <c r="FZ1000" s="1">
        <v>0.22</v>
      </c>
      <c r="GA1000" s="1">
        <v>1.07</v>
      </c>
      <c r="GB1000" s="1">
        <v>0.11</v>
      </c>
      <c r="GK1000" s="1">
        <f t="shared" si="26"/>
        <v>89.4477317554241</v>
      </c>
      <c r="GL1000" s="1">
        <v>89.4477317554241</v>
      </c>
    </row>
    <row r="1001" customHeight="1" spans="1:313">
      <c r="A1001" s="3">
        <v>30</v>
      </c>
      <c r="B1001" s="4" t="s">
        <v>934</v>
      </c>
      <c r="C1001" s="5" t="s">
        <v>935</v>
      </c>
      <c r="D1001" s="4" t="s">
        <v>936</v>
      </c>
      <c r="E1001" s="4" t="s">
        <v>937</v>
      </c>
      <c r="N1001" s="4" t="s">
        <v>567</v>
      </c>
      <c r="O1001" s="4" t="s">
        <v>502</v>
      </c>
      <c r="P1001" s="4">
        <v>2.05</v>
      </c>
      <c r="Q1001" s="4" t="s">
        <v>542</v>
      </c>
      <c r="Z1001" s="4" t="s">
        <v>938</v>
      </c>
      <c r="AB1001" s="4" t="s">
        <v>939</v>
      </c>
      <c r="AC1001" s="4" t="s">
        <v>940</v>
      </c>
      <c r="AD1001" s="4" t="s">
        <v>941</v>
      </c>
      <c r="AE1001" s="4">
        <v>1365</v>
      </c>
      <c r="AF1001" s="4" t="s">
        <v>942</v>
      </c>
      <c r="AH1001" s="4" t="s">
        <v>346</v>
      </c>
      <c r="AI1001" s="4" t="s">
        <v>952</v>
      </c>
      <c r="AL1001" s="4" t="s">
        <v>953</v>
      </c>
      <c r="AM1001" s="4">
        <v>6.7</v>
      </c>
      <c r="AQ1001" s="4" t="s">
        <v>945</v>
      </c>
      <c r="AR1001" s="4">
        <v>107</v>
      </c>
      <c r="AS1001" s="4" t="s">
        <v>7</v>
      </c>
      <c r="AT1001" s="4">
        <v>1044</v>
      </c>
      <c r="AU1001" s="4" t="s">
        <v>11</v>
      </c>
      <c r="AV1001" s="4">
        <v>736</v>
      </c>
      <c r="BI1001" s="4" t="s">
        <v>321</v>
      </c>
      <c r="BK1001" s="4">
        <v>25</v>
      </c>
      <c r="BL1001" s="4">
        <v>100</v>
      </c>
      <c r="BM1001" s="4">
        <v>0.5</v>
      </c>
      <c r="BO1001" s="4">
        <v>0.005</v>
      </c>
      <c r="BV1001" s="4" t="s">
        <v>959</v>
      </c>
      <c r="BX1001" s="4" t="s">
        <v>955</v>
      </c>
      <c r="CB1001" s="4" t="s">
        <v>956</v>
      </c>
      <c r="CC1001" s="4">
        <v>2.47</v>
      </c>
      <c r="CE1001" s="4" t="s">
        <v>526</v>
      </c>
      <c r="CF1001" s="4">
        <v>2.89</v>
      </c>
      <c r="CH1001" s="4" t="s">
        <v>670</v>
      </c>
      <c r="CI1001" s="4">
        <v>10.03</v>
      </c>
      <c r="DO1001" s="4">
        <v>3</v>
      </c>
      <c r="DQ1001" s="36">
        <v>2.89</v>
      </c>
      <c r="DR1001" s="36">
        <v>0.09</v>
      </c>
      <c r="DS1001" s="4">
        <v>2</v>
      </c>
      <c r="DT1001" s="1">
        <v>0.04</v>
      </c>
      <c r="EC1001" s="1">
        <f t="shared" si="24"/>
        <v>30.7958477508651</v>
      </c>
      <c r="ED1001" s="1">
        <v>30.7958477508651</v>
      </c>
      <c r="FJ1001" s="1">
        <v>2.46</v>
      </c>
      <c r="FK1001" s="1">
        <v>0.37</v>
      </c>
      <c r="FL1001" s="4">
        <v>2</v>
      </c>
      <c r="FM1001" s="1">
        <v>0.06</v>
      </c>
      <c r="FV1001" s="1">
        <f t="shared" si="25"/>
        <v>19.0283400809717</v>
      </c>
      <c r="FW1001" s="1">
        <v>19.0283400809717</v>
      </c>
      <c r="FY1001" s="1">
        <v>10</v>
      </c>
      <c r="FZ1001" s="1">
        <v>0.22</v>
      </c>
      <c r="GA1001" s="1">
        <v>1.64</v>
      </c>
      <c r="GB1001" s="1">
        <v>0.07</v>
      </c>
      <c r="GK1001" s="1">
        <f t="shared" si="26"/>
        <v>83.6490528414756</v>
      </c>
      <c r="GL1001" s="1">
        <v>83.6490528414756</v>
      </c>
    </row>
    <row r="1002" customHeight="1" spans="1:313">
      <c r="A1002" s="3">
        <v>30</v>
      </c>
      <c r="B1002" s="4" t="s">
        <v>934</v>
      </c>
      <c r="C1002" s="5" t="s">
        <v>935</v>
      </c>
      <c r="D1002" s="4" t="s">
        <v>936</v>
      </c>
      <c r="E1002" s="4" t="s">
        <v>937</v>
      </c>
      <c r="N1002" s="4" t="s">
        <v>567</v>
      </c>
      <c r="O1002" s="4" t="s">
        <v>502</v>
      </c>
      <c r="P1002" s="4">
        <v>2.05</v>
      </c>
      <c r="Q1002" s="4" t="s">
        <v>542</v>
      </c>
      <c r="Z1002" s="4" t="s">
        <v>938</v>
      </c>
      <c r="AB1002" s="4" t="s">
        <v>939</v>
      </c>
      <c r="AC1002" s="4" t="s">
        <v>940</v>
      </c>
      <c r="AD1002" s="4" t="s">
        <v>941</v>
      </c>
      <c r="AE1002" s="4">
        <v>1365</v>
      </c>
      <c r="AF1002" s="4" t="s">
        <v>942</v>
      </c>
      <c r="AH1002" s="4" t="s">
        <v>346</v>
      </c>
      <c r="AI1002" s="4" t="s">
        <v>952</v>
      </c>
      <c r="AL1002" s="4" t="s">
        <v>953</v>
      </c>
      <c r="AM1002" s="4">
        <v>6.7</v>
      </c>
      <c r="AQ1002" s="4" t="s">
        <v>945</v>
      </c>
      <c r="AR1002" s="4">
        <v>107</v>
      </c>
      <c r="AS1002" s="4" t="s">
        <v>7</v>
      </c>
      <c r="AT1002" s="4">
        <v>1044</v>
      </c>
      <c r="AU1002" s="4" t="s">
        <v>11</v>
      </c>
      <c r="AV1002" s="4">
        <v>736</v>
      </c>
      <c r="BI1002" s="4" t="s">
        <v>321</v>
      </c>
      <c r="BK1002" s="4">
        <v>25</v>
      </c>
      <c r="BL1002" s="4">
        <v>100</v>
      </c>
      <c r="BM1002" s="4">
        <v>1</v>
      </c>
      <c r="BO1002" s="4">
        <v>0.01</v>
      </c>
      <c r="BV1002" s="4" t="s">
        <v>959</v>
      </c>
      <c r="BX1002" s="4" t="s">
        <v>955</v>
      </c>
      <c r="CB1002" s="4" t="s">
        <v>956</v>
      </c>
      <c r="CC1002" s="4">
        <v>2.37</v>
      </c>
      <c r="CE1002" s="4" t="s">
        <v>526</v>
      </c>
      <c r="CF1002" s="4">
        <v>2.77</v>
      </c>
      <c r="CH1002" s="4" t="s">
        <v>670</v>
      </c>
      <c r="CI1002" s="4">
        <v>9.76</v>
      </c>
      <c r="DO1002" s="4">
        <v>3</v>
      </c>
      <c r="DQ1002" s="36">
        <v>2.77</v>
      </c>
      <c r="DR1002" s="36">
        <v>0.23</v>
      </c>
      <c r="DS1002" s="4">
        <v>0.93</v>
      </c>
      <c r="DT1002" s="1">
        <v>0.04</v>
      </c>
      <c r="EC1002" s="1">
        <f t="shared" si="24"/>
        <v>66.4259927797834</v>
      </c>
      <c r="ED1002" s="1">
        <v>66.4259927797834</v>
      </c>
      <c r="FJ1002" s="1">
        <v>2.36</v>
      </c>
      <c r="FK1002" s="1">
        <v>0.25</v>
      </c>
      <c r="FL1002" s="4">
        <v>1.68</v>
      </c>
      <c r="FM1002" s="1">
        <v>0.02</v>
      </c>
      <c r="FV1002" s="1">
        <f t="shared" si="25"/>
        <v>29.1139240506329</v>
      </c>
      <c r="FW1002" s="1">
        <v>29.1139240506329</v>
      </c>
      <c r="FY1002" s="1">
        <v>9.7</v>
      </c>
      <c r="FZ1002" s="1">
        <v>0.7</v>
      </c>
      <c r="GA1002" s="1">
        <v>0.38</v>
      </c>
      <c r="GB1002" s="1">
        <v>0.07</v>
      </c>
      <c r="GK1002" s="1">
        <f t="shared" si="26"/>
        <v>96.1065573770492</v>
      </c>
      <c r="GL1002" s="1">
        <v>96.1065573770492</v>
      </c>
    </row>
    <row r="1003" customHeight="1" spans="1:313">
      <c r="A1003" s="3">
        <v>30</v>
      </c>
      <c r="B1003" s="4" t="s">
        <v>934</v>
      </c>
      <c r="C1003" s="5" t="s">
        <v>935</v>
      </c>
      <c r="D1003" s="4" t="s">
        <v>936</v>
      </c>
      <c r="E1003" s="4" t="s">
        <v>937</v>
      </c>
      <c r="N1003" s="4" t="s">
        <v>567</v>
      </c>
      <c r="O1003" s="4" t="s">
        <v>502</v>
      </c>
      <c r="P1003" s="4">
        <v>2.05</v>
      </c>
      <c r="Q1003" s="4" t="s">
        <v>542</v>
      </c>
      <c r="Z1003" s="4" t="s">
        <v>938</v>
      </c>
      <c r="AB1003" s="4" t="s">
        <v>939</v>
      </c>
      <c r="AC1003" s="4" t="s">
        <v>940</v>
      </c>
      <c r="AD1003" s="4" t="s">
        <v>941</v>
      </c>
      <c r="AE1003" s="4">
        <v>1365</v>
      </c>
      <c r="AF1003" s="4" t="s">
        <v>942</v>
      </c>
      <c r="AH1003" s="4" t="s">
        <v>346</v>
      </c>
      <c r="AI1003" s="4" t="s">
        <v>952</v>
      </c>
      <c r="AL1003" s="4" t="s">
        <v>953</v>
      </c>
      <c r="AM1003" s="4">
        <v>6.7</v>
      </c>
      <c r="AQ1003" s="4" t="s">
        <v>945</v>
      </c>
      <c r="AR1003" s="4">
        <v>107</v>
      </c>
      <c r="AS1003" s="4" t="s">
        <v>7</v>
      </c>
      <c r="AT1003" s="4">
        <v>1044</v>
      </c>
      <c r="AU1003" s="4" t="s">
        <v>11</v>
      </c>
      <c r="AV1003" s="4">
        <v>736</v>
      </c>
      <c r="BI1003" s="4" t="s">
        <v>321</v>
      </c>
      <c r="BK1003" s="4">
        <v>25</v>
      </c>
      <c r="BL1003" s="4">
        <v>100</v>
      </c>
      <c r="BM1003" s="4">
        <v>2</v>
      </c>
      <c r="BO1003" s="4">
        <v>0.02</v>
      </c>
      <c r="BV1003" s="4" t="s">
        <v>959</v>
      </c>
      <c r="BX1003" s="4" t="s">
        <v>955</v>
      </c>
      <c r="CB1003" s="4" t="s">
        <v>956</v>
      </c>
      <c r="CC1003" s="4">
        <v>2.51</v>
      </c>
      <c r="CE1003" s="4" t="s">
        <v>526</v>
      </c>
      <c r="CF1003" s="4">
        <v>2.92</v>
      </c>
      <c r="CH1003" s="4" t="s">
        <v>670</v>
      </c>
      <c r="CI1003" s="4">
        <v>10.14</v>
      </c>
      <c r="DO1003" s="4">
        <v>3</v>
      </c>
      <c r="DQ1003" s="36">
        <v>2.92</v>
      </c>
      <c r="DR1003" s="36">
        <v>0.32</v>
      </c>
      <c r="DS1003" s="4">
        <v>0.82</v>
      </c>
      <c r="DT1003" s="1">
        <v>0.02</v>
      </c>
      <c r="EC1003" s="1">
        <f t="shared" si="24"/>
        <v>71.9178082191781</v>
      </c>
      <c r="ED1003" s="1">
        <v>71.9178082191781</v>
      </c>
      <c r="FJ1003" s="1">
        <v>2.5</v>
      </c>
      <c r="FK1003" s="1">
        <v>0.1</v>
      </c>
      <c r="FL1003" s="4">
        <v>1.42</v>
      </c>
      <c r="FM1003" s="1">
        <v>0.04</v>
      </c>
      <c r="FV1003" s="1">
        <f t="shared" si="25"/>
        <v>43.4262948207171</v>
      </c>
      <c r="FW1003" s="1">
        <v>43.4262948207171</v>
      </c>
      <c r="FY1003" s="1">
        <v>10.11</v>
      </c>
      <c r="FZ1003" s="1">
        <v>0.22</v>
      </c>
      <c r="GA1003" s="1">
        <v>0.38</v>
      </c>
      <c r="GB1003" s="1">
        <v>0.04</v>
      </c>
      <c r="GK1003" s="1">
        <f t="shared" si="26"/>
        <v>96.2524654832347</v>
      </c>
      <c r="GL1003" s="1">
        <v>96.2524654832347</v>
      </c>
    </row>
    <row r="1004" customHeight="1" spans="1:313">
      <c r="A1004" s="3">
        <v>30</v>
      </c>
      <c r="B1004" s="4" t="s">
        <v>934</v>
      </c>
      <c r="C1004" s="5" t="s">
        <v>935</v>
      </c>
      <c r="D1004" s="4" t="s">
        <v>936</v>
      </c>
      <c r="E1004" s="4" t="s">
        <v>937</v>
      </c>
      <c r="N1004" s="4" t="s">
        <v>567</v>
      </c>
      <c r="O1004" s="4" t="s">
        <v>502</v>
      </c>
      <c r="P1004" s="4">
        <v>2.05</v>
      </c>
      <c r="Q1004" s="4" t="s">
        <v>542</v>
      </c>
      <c r="Z1004" s="4" t="s">
        <v>938</v>
      </c>
      <c r="AB1004" s="4" t="s">
        <v>939</v>
      </c>
      <c r="AC1004" s="4" t="s">
        <v>940</v>
      </c>
      <c r="AD1004" s="4" t="s">
        <v>941</v>
      </c>
      <c r="AE1004" s="4">
        <v>1365</v>
      </c>
      <c r="AF1004" s="4" t="s">
        <v>942</v>
      </c>
      <c r="AH1004" s="4" t="s">
        <v>346</v>
      </c>
      <c r="AI1004" s="4" t="s">
        <v>952</v>
      </c>
      <c r="AL1004" s="4" t="s">
        <v>953</v>
      </c>
      <c r="AM1004" s="4">
        <v>6.7</v>
      </c>
      <c r="AQ1004" s="4" t="s">
        <v>945</v>
      </c>
      <c r="AR1004" s="4">
        <v>107</v>
      </c>
      <c r="AS1004" s="4" t="s">
        <v>7</v>
      </c>
      <c r="AT1004" s="4">
        <v>1044</v>
      </c>
      <c r="AU1004" s="4" t="s">
        <v>11</v>
      </c>
      <c r="AV1004" s="4">
        <v>736</v>
      </c>
      <c r="BI1004" s="4" t="s">
        <v>321</v>
      </c>
      <c r="BK1004" s="4">
        <v>25</v>
      </c>
      <c r="BL1004" s="4">
        <v>100</v>
      </c>
      <c r="BM1004" s="4">
        <v>0.5</v>
      </c>
      <c r="BO1004" s="4">
        <v>0.005</v>
      </c>
      <c r="BV1004" s="4" t="s">
        <v>322</v>
      </c>
      <c r="BX1004" s="4" t="s">
        <v>955</v>
      </c>
      <c r="CB1004" s="4" t="s">
        <v>956</v>
      </c>
      <c r="CC1004" s="4">
        <v>2.47</v>
      </c>
      <c r="CE1004" s="4" t="s">
        <v>526</v>
      </c>
      <c r="CF1004" s="4">
        <v>2.89</v>
      </c>
      <c r="CH1004" s="4" t="s">
        <v>670</v>
      </c>
      <c r="CI1004" s="4">
        <v>10.03</v>
      </c>
      <c r="DO1004" s="4">
        <v>3</v>
      </c>
      <c r="DQ1004" s="36">
        <v>2.89</v>
      </c>
      <c r="DR1004" s="36">
        <v>0.09</v>
      </c>
      <c r="DS1004" s="4">
        <v>0.49</v>
      </c>
      <c r="DT1004" s="1">
        <v>0.02</v>
      </c>
      <c r="EC1004" s="1">
        <f t="shared" si="24"/>
        <v>83.0449826989619</v>
      </c>
      <c r="ED1004" s="1">
        <v>83.0449826989619</v>
      </c>
      <c r="FJ1004" s="1">
        <v>2.46</v>
      </c>
      <c r="FK1004" s="1">
        <v>0.37</v>
      </c>
      <c r="FL1004" s="4">
        <v>1.37</v>
      </c>
      <c r="FM1004" s="1">
        <v>0.21</v>
      </c>
      <c r="FV1004" s="1">
        <f t="shared" si="25"/>
        <v>44.5344129554656</v>
      </c>
      <c r="FW1004" s="1">
        <v>44.5344129554656</v>
      </c>
      <c r="FY1004" s="1">
        <v>10</v>
      </c>
      <c r="FZ1004" s="1">
        <v>0.22</v>
      </c>
      <c r="GA1004" s="1">
        <v>0.7</v>
      </c>
      <c r="GB1004" s="1">
        <v>0.22</v>
      </c>
      <c r="GK1004" s="1">
        <f t="shared" si="26"/>
        <v>93.0209371884347</v>
      </c>
      <c r="GL1004" s="1">
        <v>93.0209371884347</v>
      </c>
    </row>
    <row r="1005" customHeight="1" spans="1:313">
      <c r="A1005" s="3">
        <v>30</v>
      </c>
      <c r="B1005" s="4" t="s">
        <v>934</v>
      </c>
      <c r="C1005" s="5" t="s">
        <v>935</v>
      </c>
      <c r="D1005" s="4" t="s">
        <v>936</v>
      </c>
      <c r="E1005" s="4" t="s">
        <v>937</v>
      </c>
      <c r="N1005" s="4" t="s">
        <v>567</v>
      </c>
      <c r="O1005" s="4" t="s">
        <v>502</v>
      </c>
      <c r="P1005" s="4">
        <v>2.05</v>
      </c>
      <c r="Q1005" s="4" t="s">
        <v>542</v>
      </c>
      <c r="Z1005" s="4" t="s">
        <v>938</v>
      </c>
      <c r="AB1005" s="4" t="s">
        <v>939</v>
      </c>
      <c r="AC1005" s="4" t="s">
        <v>940</v>
      </c>
      <c r="AD1005" s="4" t="s">
        <v>941</v>
      </c>
      <c r="AE1005" s="4">
        <v>1365</v>
      </c>
      <c r="AF1005" s="4" t="s">
        <v>942</v>
      </c>
      <c r="AH1005" s="4" t="s">
        <v>346</v>
      </c>
      <c r="AI1005" s="4" t="s">
        <v>952</v>
      </c>
      <c r="AL1005" s="4" t="s">
        <v>953</v>
      </c>
      <c r="AM1005" s="4">
        <v>6.7</v>
      </c>
      <c r="AQ1005" s="4" t="s">
        <v>945</v>
      </c>
      <c r="AR1005" s="4">
        <v>107</v>
      </c>
      <c r="AS1005" s="4" t="s">
        <v>7</v>
      </c>
      <c r="AT1005" s="4">
        <v>1044</v>
      </c>
      <c r="AU1005" s="4" t="s">
        <v>11</v>
      </c>
      <c r="AV1005" s="4">
        <v>736</v>
      </c>
      <c r="BI1005" s="4" t="s">
        <v>321</v>
      </c>
      <c r="BK1005" s="4">
        <v>25</v>
      </c>
      <c r="BL1005" s="4">
        <v>100</v>
      </c>
      <c r="BM1005" s="4">
        <v>1</v>
      </c>
      <c r="BO1005" s="4">
        <v>0.01</v>
      </c>
      <c r="BV1005" s="4" t="s">
        <v>322</v>
      </c>
      <c r="BX1005" s="4" t="s">
        <v>955</v>
      </c>
      <c r="CB1005" s="4" t="s">
        <v>956</v>
      </c>
      <c r="CC1005" s="4">
        <v>2.37</v>
      </c>
      <c r="CE1005" s="4" t="s">
        <v>526</v>
      </c>
      <c r="CF1005" s="4">
        <v>2.77</v>
      </c>
      <c r="CH1005" s="4" t="s">
        <v>670</v>
      </c>
      <c r="CI1005" s="4">
        <v>9.76</v>
      </c>
      <c r="DO1005" s="4">
        <v>3</v>
      </c>
      <c r="DQ1005" s="36">
        <v>2.77</v>
      </c>
      <c r="DR1005" s="36">
        <v>0.23</v>
      </c>
      <c r="DS1005" s="4">
        <v>0.39</v>
      </c>
      <c r="DT1005" s="1">
        <v>0.04</v>
      </c>
      <c r="EC1005" s="1">
        <f t="shared" si="24"/>
        <v>85.9205776173285</v>
      </c>
      <c r="ED1005" s="1">
        <v>85.9205776173285</v>
      </c>
      <c r="FJ1005" s="1">
        <v>2.36</v>
      </c>
      <c r="FK1005" s="1">
        <v>0.25</v>
      </c>
      <c r="FL1005" s="4">
        <v>0.77</v>
      </c>
      <c r="FM1005" s="1">
        <v>0.02</v>
      </c>
      <c r="FV1005" s="1">
        <f t="shared" si="25"/>
        <v>67.5105485232068</v>
      </c>
      <c r="FW1005" s="1">
        <v>67.5105485232068</v>
      </c>
      <c r="FY1005" s="1">
        <v>9.7</v>
      </c>
      <c r="FZ1005" s="1">
        <v>0.7</v>
      </c>
      <c r="GA1005" s="1">
        <v>0.22</v>
      </c>
      <c r="GB1005" s="1">
        <v>0.04</v>
      </c>
      <c r="GK1005" s="1">
        <f t="shared" si="26"/>
        <v>97.7459016393443</v>
      </c>
      <c r="GL1005" s="1">
        <v>97.7459016393443</v>
      </c>
    </row>
    <row r="1006" customHeight="1" spans="1:313">
      <c r="A1006" s="3">
        <v>30</v>
      </c>
      <c r="B1006" s="4" t="s">
        <v>934</v>
      </c>
      <c r="C1006" s="5" t="s">
        <v>935</v>
      </c>
      <c r="D1006" s="4" t="s">
        <v>936</v>
      </c>
      <c r="E1006" s="4" t="s">
        <v>937</v>
      </c>
      <c r="N1006" s="4" t="s">
        <v>567</v>
      </c>
      <c r="O1006" s="4" t="s">
        <v>502</v>
      </c>
      <c r="P1006" s="4">
        <v>2.05</v>
      </c>
      <c r="Q1006" s="4" t="s">
        <v>542</v>
      </c>
      <c r="Z1006" s="4" t="s">
        <v>938</v>
      </c>
      <c r="AB1006" s="4" t="s">
        <v>939</v>
      </c>
      <c r="AC1006" s="4" t="s">
        <v>940</v>
      </c>
      <c r="AD1006" s="4" t="s">
        <v>941</v>
      </c>
      <c r="AE1006" s="4">
        <v>1365</v>
      </c>
      <c r="AF1006" s="4" t="s">
        <v>942</v>
      </c>
      <c r="AH1006" s="4" t="s">
        <v>346</v>
      </c>
      <c r="AI1006" s="4" t="s">
        <v>952</v>
      </c>
      <c r="AL1006" s="4" t="s">
        <v>953</v>
      </c>
      <c r="AM1006" s="4">
        <v>6.7</v>
      </c>
      <c r="AQ1006" s="4" t="s">
        <v>945</v>
      </c>
      <c r="AR1006" s="4">
        <v>107</v>
      </c>
      <c r="AS1006" s="4" t="s">
        <v>7</v>
      </c>
      <c r="AT1006" s="4">
        <v>1044</v>
      </c>
      <c r="AU1006" s="4" t="s">
        <v>11</v>
      </c>
      <c r="AV1006" s="4">
        <v>736</v>
      </c>
      <c r="BI1006" s="4" t="s">
        <v>321</v>
      </c>
      <c r="BK1006" s="4">
        <v>25</v>
      </c>
      <c r="BL1006" s="4">
        <v>100</v>
      </c>
      <c r="BM1006" s="4">
        <v>2</v>
      </c>
      <c r="BO1006" s="4">
        <v>0.02</v>
      </c>
      <c r="BV1006" s="4" t="s">
        <v>322</v>
      </c>
      <c r="BX1006" s="4" t="s">
        <v>955</v>
      </c>
      <c r="CB1006" s="4" t="s">
        <v>956</v>
      </c>
      <c r="CC1006" s="4">
        <v>2.51</v>
      </c>
      <c r="CE1006" s="4" t="s">
        <v>526</v>
      </c>
      <c r="CF1006" s="4">
        <v>2.92</v>
      </c>
      <c r="CH1006" s="4" t="s">
        <v>670</v>
      </c>
      <c r="CI1006" s="4">
        <v>10.14</v>
      </c>
      <c r="DO1006" s="4">
        <v>3</v>
      </c>
      <c r="DQ1006" s="36">
        <v>2.92</v>
      </c>
      <c r="DR1006" s="36">
        <v>0.32</v>
      </c>
      <c r="DS1006" s="4">
        <v>0.17</v>
      </c>
      <c r="DT1006" s="1">
        <v>0.04</v>
      </c>
      <c r="EC1006" s="1">
        <f t="shared" si="24"/>
        <v>94.1780821917808</v>
      </c>
      <c r="ED1006" s="1">
        <v>94.1780821917808</v>
      </c>
      <c r="FJ1006" s="1">
        <v>2.5</v>
      </c>
      <c r="FK1006" s="1">
        <v>0.1</v>
      </c>
      <c r="FL1006" s="4">
        <v>0.43</v>
      </c>
      <c r="FM1006" s="1">
        <v>0.1</v>
      </c>
      <c r="FV1006" s="1">
        <f t="shared" si="25"/>
        <v>82.8685258964143</v>
      </c>
      <c r="FW1006" s="1">
        <v>82.8685258964143</v>
      </c>
      <c r="FY1006" s="1">
        <v>10.11</v>
      </c>
      <c r="FZ1006" s="1">
        <v>0.22</v>
      </c>
      <c r="GA1006" s="1">
        <v>0.41</v>
      </c>
      <c r="GB1006" s="1">
        <v>0.37</v>
      </c>
      <c r="GK1006" s="1">
        <f t="shared" si="26"/>
        <v>95.956607495069</v>
      </c>
      <c r="GL1006" s="1">
        <v>95.956607495069</v>
      </c>
    </row>
    <row r="1007" customHeight="1" spans="1:313">
      <c r="A1007" s="3">
        <v>30</v>
      </c>
      <c r="B1007" s="4" t="s">
        <v>934</v>
      </c>
      <c r="C1007" s="5" t="s">
        <v>935</v>
      </c>
      <c r="D1007" s="4" t="s">
        <v>936</v>
      </c>
      <c r="E1007" s="4" t="s">
        <v>937</v>
      </c>
      <c r="N1007" s="4" t="s">
        <v>567</v>
      </c>
      <c r="O1007" s="4" t="s">
        <v>502</v>
      </c>
      <c r="P1007" s="4">
        <v>2.05</v>
      </c>
      <c r="Q1007" s="4" t="s">
        <v>542</v>
      </c>
      <c r="Z1007" s="4" t="s">
        <v>938</v>
      </c>
      <c r="AB1007" s="4" t="s">
        <v>939</v>
      </c>
      <c r="AC1007" s="4" t="s">
        <v>940</v>
      </c>
      <c r="AD1007" s="4" t="s">
        <v>941</v>
      </c>
      <c r="AE1007" s="4">
        <v>1365</v>
      </c>
      <c r="AF1007" s="4" t="s">
        <v>942</v>
      </c>
      <c r="AH1007" s="4" t="s">
        <v>346</v>
      </c>
      <c r="AI1007" s="4" t="s">
        <v>952</v>
      </c>
      <c r="AL1007" s="4" t="s">
        <v>953</v>
      </c>
      <c r="AM1007" s="4">
        <v>6.7</v>
      </c>
      <c r="AQ1007" s="4" t="s">
        <v>945</v>
      </c>
      <c r="AR1007" s="4">
        <v>107</v>
      </c>
      <c r="AS1007" s="4" t="s">
        <v>7</v>
      </c>
      <c r="AT1007" s="4">
        <v>1044</v>
      </c>
      <c r="AU1007" s="4" t="s">
        <v>11</v>
      </c>
      <c r="AV1007" s="4">
        <v>736</v>
      </c>
      <c r="DO1007" s="4">
        <v>3</v>
      </c>
    </row>
    <row r="1008" customHeight="1" spans="1:313">
      <c r="A1008" s="3">
        <v>30</v>
      </c>
      <c r="B1008" s="4" t="s">
        <v>934</v>
      </c>
      <c r="C1008" s="5" t="s">
        <v>935</v>
      </c>
      <c r="D1008" s="4" t="s">
        <v>936</v>
      </c>
      <c r="E1008" s="4" t="s">
        <v>937</v>
      </c>
      <c r="N1008" s="4" t="s">
        <v>567</v>
      </c>
      <c r="O1008" s="4" t="s">
        <v>502</v>
      </c>
      <c r="P1008" s="4">
        <v>2.05</v>
      </c>
      <c r="Q1008" s="4" t="s">
        <v>542</v>
      </c>
      <c r="Z1008" s="4" t="s">
        <v>938</v>
      </c>
      <c r="AB1008" s="4" t="s">
        <v>939</v>
      </c>
      <c r="AC1008" s="4" t="s">
        <v>940</v>
      </c>
      <c r="AD1008" s="4" t="s">
        <v>941</v>
      </c>
      <c r="AE1008" s="4">
        <v>1365</v>
      </c>
      <c r="AF1008" s="4" t="s">
        <v>942</v>
      </c>
      <c r="AH1008" s="4" t="s">
        <v>346</v>
      </c>
      <c r="AI1008" s="4" t="s">
        <v>952</v>
      </c>
      <c r="AL1008" s="4" t="s">
        <v>953</v>
      </c>
      <c r="AM1008" s="4">
        <v>6.7</v>
      </c>
      <c r="AQ1008" s="4" t="s">
        <v>945</v>
      </c>
      <c r="AR1008" s="4">
        <v>107</v>
      </c>
      <c r="AS1008" s="4" t="s">
        <v>7</v>
      </c>
      <c r="AT1008" s="4">
        <v>1044</v>
      </c>
      <c r="AU1008" s="4" t="s">
        <v>11</v>
      </c>
      <c r="AV1008" s="4">
        <v>736</v>
      </c>
      <c r="DO1008" s="4">
        <v>3</v>
      </c>
    </row>
    <row r="1009" customHeight="1" spans="1:313">
      <c r="A1009" s="3">
        <v>30</v>
      </c>
      <c r="B1009" s="4" t="s">
        <v>934</v>
      </c>
      <c r="C1009" s="5" t="s">
        <v>935</v>
      </c>
      <c r="D1009" s="4" t="s">
        <v>936</v>
      </c>
      <c r="E1009" s="4" t="s">
        <v>937</v>
      </c>
      <c r="N1009" s="4" t="s">
        <v>567</v>
      </c>
      <c r="O1009" s="4" t="s">
        <v>502</v>
      </c>
      <c r="P1009" s="4">
        <v>2.05</v>
      </c>
      <c r="Q1009" s="4" t="s">
        <v>542</v>
      </c>
      <c r="Z1009" s="4" t="s">
        <v>938</v>
      </c>
      <c r="AB1009" s="4" t="s">
        <v>939</v>
      </c>
      <c r="AC1009" s="4" t="s">
        <v>940</v>
      </c>
      <c r="AD1009" s="4" t="s">
        <v>941</v>
      </c>
      <c r="AE1009" s="4">
        <v>1365</v>
      </c>
      <c r="AF1009" s="4" t="s">
        <v>942</v>
      </c>
      <c r="AH1009" s="4" t="s">
        <v>346</v>
      </c>
      <c r="AI1009" s="4" t="s">
        <v>952</v>
      </c>
      <c r="AL1009" s="4" t="s">
        <v>953</v>
      </c>
      <c r="AM1009" s="4">
        <v>6.7</v>
      </c>
      <c r="AQ1009" s="4" t="s">
        <v>945</v>
      </c>
      <c r="AR1009" s="4">
        <v>107</v>
      </c>
      <c r="AS1009" s="4" t="s">
        <v>7</v>
      </c>
      <c r="AT1009" s="4">
        <v>1044</v>
      </c>
      <c r="AU1009" s="4" t="s">
        <v>11</v>
      </c>
      <c r="AV1009" s="4">
        <v>736</v>
      </c>
      <c r="DO1009" s="4">
        <v>3</v>
      </c>
    </row>
    <row r="1010" customHeight="1" spans="1:313">
      <c r="A1010" s="3">
        <v>30</v>
      </c>
      <c r="B1010" s="4" t="s">
        <v>934</v>
      </c>
      <c r="C1010" s="5" t="s">
        <v>960</v>
      </c>
      <c r="D1010" s="4" t="s">
        <v>961</v>
      </c>
      <c r="E1010" s="4" t="s">
        <v>962</v>
      </c>
      <c r="N1010" s="4" t="s">
        <v>567</v>
      </c>
      <c r="O1010" s="4" t="s">
        <v>502</v>
      </c>
      <c r="P1010" s="4">
        <v>2.03</v>
      </c>
      <c r="Q1010" s="4" t="s">
        <v>540</v>
      </c>
      <c r="Z1010" s="4" t="s">
        <v>963</v>
      </c>
      <c r="AC1010" s="4" t="s">
        <v>964</v>
      </c>
      <c r="AD1010" s="4" t="s">
        <v>965</v>
      </c>
      <c r="AE1010" s="4">
        <v>1381</v>
      </c>
      <c r="AF1010" s="4" t="s">
        <v>966</v>
      </c>
      <c r="BI1010" s="4" t="s">
        <v>309</v>
      </c>
      <c r="BN1010" s="4">
        <v>1</v>
      </c>
      <c r="BV1010" s="4" t="s">
        <v>943</v>
      </c>
      <c r="BW1010" s="4" t="s">
        <v>311</v>
      </c>
      <c r="CB1010" s="4" t="s">
        <v>944</v>
      </c>
      <c r="CC1010" s="4">
        <v>100</v>
      </c>
      <c r="CV1010" s="4">
        <v>400</v>
      </c>
      <c r="CX1010" s="4" t="s">
        <v>314</v>
      </c>
      <c r="CY1010" s="4" t="s">
        <v>315</v>
      </c>
      <c r="DM1010" s="4">
        <v>400</v>
      </c>
      <c r="DO1010" s="4">
        <v>3</v>
      </c>
      <c r="FP1010" s="4">
        <v>58.1</v>
      </c>
      <c r="KZ1010" s="1" t="s">
        <v>945</v>
      </c>
      <c r="LA1010" s="1" t="s">
        <v>946</v>
      </c>
    </row>
    <row r="1011" customHeight="1" spans="1:313">
      <c r="A1011" s="3">
        <v>30</v>
      </c>
      <c r="B1011" s="4" t="s">
        <v>934</v>
      </c>
      <c r="C1011" s="5" t="s">
        <v>960</v>
      </c>
      <c r="D1011" s="4" t="s">
        <v>961</v>
      </c>
      <c r="E1011" s="4" t="s">
        <v>962</v>
      </c>
      <c r="N1011" s="4" t="s">
        <v>567</v>
      </c>
      <c r="O1011" s="4" t="s">
        <v>502</v>
      </c>
      <c r="P1011" s="4">
        <v>2.03</v>
      </c>
      <c r="Q1011" s="4" t="s">
        <v>540</v>
      </c>
      <c r="Z1011" s="4" t="s">
        <v>963</v>
      </c>
      <c r="AC1011" s="4" t="s">
        <v>964</v>
      </c>
      <c r="AD1011" s="4" t="s">
        <v>965</v>
      </c>
      <c r="AE1011" s="4">
        <v>1381</v>
      </c>
      <c r="AF1011" s="4" t="s">
        <v>966</v>
      </c>
      <c r="BI1011" s="4" t="s">
        <v>309</v>
      </c>
      <c r="BN1011" s="4">
        <v>1</v>
      </c>
      <c r="BV1011" s="4" t="s">
        <v>943</v>
      </c>
      <c r="BW1011" s="4" t="s">
        <v>311</v>
      </c>
      <c r="CB1011" s="4" t="s">
        <v>947</v>
      </c>
      <c r="CC1011" s="4">
        <v>1000</v>
      </c>
      <c r="CV1011" s="4">
        <v>400</v>
      </c>
      <c r="CX1011" s="4" t="s">
        <v>314</v>
      </c>
      <c r="CY1011" s="4" t="s">
        <v>315</v>
      </c>
      <c r="DM1011" s="4">
        <v>400</v>
      </c>
      <c r="DO1011" s="4">
        <v>3</v>
      </c>
      <c r="DW1011" s="4">
        <v>110.1</v>
      </c>
      <c r="ED1011" s="1">
        <v>11.01</v>
      </c>
      <c r="KZ1011" s="1" t="s">
        <v>7</v>
      </c>
      <c r="LA1011" s="1" t="s">
        <v>967</v>
      </c>
    </row>
    <row r="1012" customHeight="1" spans="1:313">
      <c r="A1012" s="3">
        <v>30</v>
      </c>
      <c r="B1012" s="4" t="s">
        <v>934</v>
      </c>
      <c r="C1012" s="5" t="s">
        <v>960</v>
      </c>
      <c r="D1012" s="4" t="s">
        <v>961</v>
      </c>
      <c r="E1012" s="4" t="s">
        <v>962</v>
      </c>
      <c r="N1012" s="4" t="s">
        <v>567</v>
      </c>
      <c r="O1012" s="4" t="s">
        <v>502</v>
      </c>
      <c r="P1012" s="4">
        <v>2.03</v>
      </c>
      <c r="Q1012" s="4" t="s">
        <v>540</v>
      </c>
      <c r="Z1012" s="4" t="s">
        <v>963</v>
      </c>
      <c r="AC1012" s="4" t="s">
        <v>964</v>
      </c>
      <c r="AD1012" s="4" t="s">
        <v>965</v>
      </c>
      <c r="AE1012" s="4">
        <v>1381</v>
      </c>
      <c r="AF1012" s="4" t="s">
        <v>966</v>
      </c>
      <c r="BI1012" s="4" t="s">
        <v>309</v>
      </c>
      <c r="BN1012" s="4">
        <v>1</v>
      </c>
      <c r="BV1012" s="4" t="s">
        <v>943</v>
      </c>
      <c r="BW1012" s="4" t="s">
        <v>311</v>
      </c>
      <c r="CB1012" s="4" t="s">
        <v>664</v>
      </c>
      <c r="CC1012" s="4">
        <v>1000</v>
      </c>
      <c r="CV1012" s="4">
        <v>400</v>
      </c>
      <c r="CX1012" s="4" t="s">
        <v>314</v>
      </c>
      <c r="CY1012" s="4" t="s">
        <v>315</v>
      </c>
      <c r="DM1012" s="4">
        <v>400</v>
      </c>
      <c r="DO1012" s="4">
        <v>3</v>
      </c>
      <c r="GE1012" s="4">
        <v>298.5</v>
      </c>
      <c r="GL1012" s="1">
        <v>29.85</v>
      </c>
      <c r="KZ1012" s="1" t="s">
        <v>11</v>
      </c>
      <c r="LA1012" s="1" t="s">
        <v>949</v>
      </c>
    </row>
    <row r="1013" customHeight="1" spans="1:313">
      <c r="A1013" s="3">
        <v>30</v>
      </c>
      <c r="B1013" s="4" t="s">
        <v>934</v>
      </c>
      <c r="C1013" s="5" t="s">
        <v>960</v>
      </c>
      <c r="D1013" s="4" t="s">
        <v>961</v>
      </c>
      <c r="E1013" s="4" t="s">
        <v>962</v>
      </c>
      <c r="N1013" s="4" t="s">
        <v>567</v>
      </c>
      <c r="O1013" s="4" t="s">
        <v>502</v>
      </c>
      <c r="P1013" s="4">
        <v>2.03</v>
      </c>
      <c r="Q1013" s="4" t="s">
        <v>540</v>
      </c>
      <c r="Z1013" s="4" t="s">
        <v>963</v>
      </c>
      <c r="AC1013" s="4" t="s">
        <v>964</v>
      </c>
      <c r="AD1013" s="4" t="s">
        <v>965</v>
      </c>
      <c r="AE1013" s="4">
        <v>1381</v>
      </c>
      <c r="AF1013" s="4" t="s">
        <v>966</v>
      </c>
      <c r="BI1013" s="4" t="s">
        <v>309</v>
      </c>
      <c r="BN1013" s="4">
        <v>1</v>
      </c>
      <c r="BW1013" s="4" t="s">
        <v>311</v>
      </c>
      <c r="CB1013" s="4" t="s">
        <v>944</v>
      </c>
      <c r="CC1013" s="4" t="s">
        <v>950</v>
      </c>
      <c r="DB1013" s="4" t="s">
        <v>951</v>
      </c>
      <c r="DC1013" s="4" t="s">
        <v>313</v>
      </c>
      <c r="DE1013" s="4">
        <v>55.86</v>
      </c>
      <c r="DO1013" s="4">
        <v>3</v>
      </c>
    </row>
    <row r="1014" customHeight="1" spans="1:313">
      <c r="A1014" s="3">
        <v>30</v>
      </c>
      <c r="B1014" s="4" t="s">
        <v>934</v>
      </c>
      <c r="C1014" s="5" t="s">
        <v>960</v>
      </c>
      <c r="D1014" s="4" t="s">
        <v>961</v>
      </c>
      <c r="E1014" s="4" t="s">
        <v>962</v>
      </c>
      <c r="N1014" s="4" t="s">
        <v>567</v>
      </c>
      <c r="O1014" s="4" t="s">
        <v>502</v>
      </c>
      <c r="P1014" s="4">
        <v>2.03</v>
      </c>
      <c r="Q1014" s="4" t="s">
        <v>540</v>
      </c>
      <c r="Z1014" s="4" t="s">
        <v>963</v>
      </c>
      <c r="AC1014" s="4" t="s">
        <v>964</v>
      </c>
      <c r="AD1014" s="4" t="s">
        <v>965</v>
      </c>
      <c r="AE1014" s="4">
        <v>1381</v>
      </c>
      <c r="AF1014" s="4" t="s">
        <v>966</v>
      </c>
      <c r="BI1014" s="4" t="s">
        <v>309</v>
      </c>
      <c r="BN1014" s="4">
        <v>1</v>
      </c>
      <c r="BW1014" s="4" t="s">
        <v>311</v>
      </c>
      <c r="CB1014" s="4" t="s">
        <v>947</v>
      </c>
      <c r="CC1014" s="4" t="s">
        <v>950</v>
      </c>
      <c r="DB1014" s="4" t="s">
        <v>951</v>
      </c>
      <c r="DC1014" s="4" t="s">
        <v>313</v>
      </c>
      <c r="DE1014" s="4">
        <v>387.59</v>
      </c>
      <c r="DO1014" s="4">
        <v>3</v>
      </c>
      <c r="DW1014" s="29">
        <v>387.59</v>
      </c>
    </row>
    <row r="1015" customHeight="1" spans="1:313">
      <c r="A1015" s="3">
        <v>30</v>
      </c>
      <c r="B1015" s="4" t="s">
        <v>934</v>
      </c>
      <c r="C1015" s="5" t="s">
        <v>960</v>
      </c>
      <c r="D1015" s="4" t="s">
        <v>961</v>
      </c>
      <c r="E1015" s="4" t="s">
        <v>962</v>
      </c>
      <c r="N1015" s="4" t="s">
        <v>567</v>
      </c>
      <c r="O1015" s="4" t="s">
        <v>502</v>
      </c>
      <c r="P1015" s="4">
        <v>2.03</v>
      </c>
      <c r="Q1015" s="4" t="s">
        <v>540</v>
      </c>
      <c r="Z1015" s="4" t="s">
        <v>963</v>
      </c>
      <c r="AC1015" s="4" t="s">
        <v>964</v>
      </c>
      <c r="AD1015" s="4" t="s">
        <v>965</v>
      </c>
      <c r="AE1015" s="4">
        <v>1381</v>
      </c>
      <c r="AF1015" s="4" t="s">
        <v>966</v>
      </c>
      <c r="BI1015" s="4" t="s">
        <v>309</v>
      </c>
      <c r="BN1015" s="4">
        <v>1</v>
      </c>
      <c r="BW1015" s="4" t="s">
        <v>311</v>
      </c>
      <c r="CB1015" s="4" t="s">
        <v>664</v>
      </c>
      <c r="CC1015" s="4" t="s">
        <v>950</v>
      </c>
      <c r="DB1015" s="4" t="s">
        <v>951</v>
      </c>
      <c r="DC1015" s="4" t="s">
        <v>313</v>
      </c>
      <c r="DE1015" s="4">
        <v>869.56</v>
      </c>
      <c r="DO1015" s="4">
        <v>3</v>
      </c>
      <c r="GE1015" s="29">
        <v>869.56</v>
      </c>
    </row>
    <row r="1016" customHeight="1" spans="1:313">
      <c r="A1016" s="3">
        <v>30</v>
      </c>
      <c r="B1016" s="4" t="s">
        <v>934</v>
      </c>
      <c r="C1016" s="5" t="s">
        <v>960</v>
      </c>
      <c r="D1016" s="4" t="s">
        <v>961</v>
      </c>
      <c r="E1016" s="4" t="s">
        <v>962</v>
      </c>
      <c r="N1016" s="4" t="s">
        <v>567</v>
      </c>
      <c r="O1016" s="4" t="s">
        <v>502</v>
      </c>
      <c r="P1016" s="4">
        <v>2.03</v>
      </c>
      <c r="Q1016" s="4" t="s">
        <v>540</v>
      </c>
      <c r="Z1016" s="4" t="s">
        <v>963</v>
      </c>
      <c r="AC1016" s="4" t="s">
        <v>964</v>
      </c>
      <c r="AD1016" s="4" t="s">
        <v>965</v>
      </c>
      <c r="AE1016" s="4">
        <v>1381</v>
      </c>
      <c r="AF1016" s="4" t="s">
        <v>966</v>
      </c>
      <c r="BI1016" s="4" t="s">
        <v>309</v>
      </c>
      <c r="BN1016" s="4">
        <v>1</v>
      </c>
      <c r="BS1016" s="4">
        <v>4.2</v>
      </c>
      <c r="BV1016" s="4">
        <v>240</v>
      </c>
      <c r="CB1016" s="4" t="s">
        <v>944</v>
      </c>
      <c r="CC1016" s="4">
        <v>10</v>
      </c>
      <c r="CE1016" s="4" t="s">
        <v>947</v>
      </c>
      <c r="CF1016" s="4">
        <v>25</v>
      </c>
      <c r="CH1016" s="4" t="s">
        <v>664</v>
      </c>
      <c r="CI1016" s="4">
        <v>50</v>
      </c>
      <c r="DO1016" s="4">
        <v>3</v>
      </c>
      <c r="EA1016" s="4">
        <v>99</v>
      </c>
      <c r="ED1016" s="4">
        <v>99</v>
      </c>
      <c r="FT1016" s="4">
        <v>99</v>
      </c>
      <c r="FW1016" s="4">
        <v>99</v>
      </c>
      <c r="GI1016" s="1">
        <v>99</v>
      </c>
      <c r="GL1016" s="1">
        <v>99</v>
      </c>
    </row>
    <row r="1017" customHeight="1" spans="1:313">
      <c r="A1017" s="3">
        <v>30</v>
      </c>
      <c r="B1017" s="4" t="s">
        <v>934</v>
      </c>
      <c r="C1017" s="5" t="s">
        <v>960</v>
      </c>
      <c r="D1017" s="4" t="s">
        <v>961</v>
      </c>
      <c r="E1017" s="4" t="s">
        <v>962</v>
      </c>
      <c r="N1017" s="4" t="s">
        <v>567</v>
      </c>
      <c r="O1017" s="4" t="s">
        <v>502</v>
      </c>
      <c r="P1017" s="4">
        <v>2.03</v>
      </c>
      <c r="Q1017" s="4" t="s">
        <v>540</v>
      </c>
      <c r="Z1017" s="4" t="s">
        <v>963</v>
      </c>
      <c r="AC1017" s="4" t="s">
        <v>964</v>
      </c>
      <c r="AD1017" s="4" t="s">
        <v>965</v>
      </c>
      <c r="AE1017" s="4">
        <v>1381</v>
      </c>
      <c r="AF1017" s="4" t="s">
        <v>966</v>
      </c>
      <c r="AH1017" s="4" t="s">
        <v>346</v>
      </c>
      <c r="AI1017" s="4" t="s">
        <v>952</v>
      </c>
      <c r="AL1017" s="4" t="s">
        <v>953</v>
      </c>
      <c r="AM1017" s="4">
        <v>6.7</v>
      </c>
      <c r="AQ1017" s="4" t="s">
        <v>945</v>
      </c>
      <c r="AR1017" s="4">
        <v>107</v>
      </c>
      <c r="AS1017" s="4" t="s">
        <v>7</v>
      </c>
      <c r="AT1017" s="4">
        <v>1044</v>
      </c>
      <c r="AU1017" s="4" t="s">
        <v>11</v>
      </c>
      <c r="AV1017" s="4">
        <v>736</v>
      </c>
      <c r="BI1017" s="4" t="s">
        <v>321</v>
      </c>
      <c r="BK1017" s="4">
        <v>25</v>
      </c>
      <c r="BL1017" s="4">
        <v>100</v>
      </c>
      <c r="BM1017" s="4">
        <v>0.5</v>
      </c>
      <c r="BO1017" s="4">
        <v>0.005</v>
      </c>
      <c r="BV1017" s="4" t="s">
        <v>954</v>
      </c>
      <c r="BX1017" s="4" t="s">
        <v>955</v>
      </c>
      <c r="CB1017" s="4" t="s">
        <v>956</v>
      </c>
      <c r="CC1017" s="4">
        <v>2.31</v>
      </c>
      <c r="CE1017" s="4" t="s">
        <v>526</v>
      </c>
      <c r="CF1017" s="4">
        <v>2.89</v>
      </c>
      <c r="CH1017" s="4" t="s">
        <v>670</v>
      </c>
      <c r="CI1017" s="4">
        <v>10.05</v>
      </c>
      <c r="DO1017" s="4">
        <v>3</v>
      </c>
      <c r="DQ1017" s="1">
        <v>2.89</v>
      </c>
      <c r="DR1017" s="1">
        <v>0.09</v>
      </c>
      <c r="DS1017" s="4">
        <v>2.68</v>
      </c>
      <c r="DT1017" s="1">
        <v>0.17</v>
      </c>
      <c r="EC1017" s="1">
        <f t="shared" ref="EC1017:EC1025" si="27">(DQ1017-DS1017)/DQ1017*100</f>
        <v>7.26643598615917</v>
      </c>
      <c r="ED1017" s="1">
        <v>7.26643598615917</v>
      </c>
      <c r="FJ1017" s="1">
        <v>2.31</v>
      </c>
      <c r="FK1017" s="1">
        <v>0.44</v>
      </c>
      <c r="FL1017" s="4" t="s">
        <v>968</v>
      </c>
      <c r="FM1017" s="1">
        <v>0.04</v>
      </c>
      <c r="FV1017" s="1" t="e">
        <f t="shared" ref="FV1017:FV1025" si="28">(CC1017-FL1017)/CC1017*100</f>
        <v>#VALUE!</v>
      </c>
      <c r="FW1017" s="1">
        <v>0</v>
      </c>
      <c r="FY1017" s="1">
        <v>10.22</v>
      </c>
      <c r="FZ1017" s="1">
        <v>0</v>
      </c>
      <c r="GA1017" s="1">
        <v>9.26</v>
      </c>
      <c r="GB1017" s="1">
        <v>0.04</v>
      </c>
      <c r="GK1017" s="1">
        <f>(CI1017-GA1017)/CI1017*100</f>
        <v>7.86069651741294</v>
      </c>
      <c r="GL1017" s="1">
        <v>7.86069651741294</v>
      </c>
    </row>
    <row r="1018" customHeight="1" spans="1:313">
      <c r="A1018" s="3">
        <v>30</v>
      </c>
      <c r="B1018" s="4" t="s">
        <v>934</v>
      </c>
      <c r="C1018" s="5" t="s">
        <v>960</v>
      </c>
      <c r="D1018" s="4" t="s">
        <v>961</v>
      </c>
      <c r="E1018" s="4" t="s">
        <v>962</v>
      </c>
      <c r="N1018" s="4" t="s">
        <v>567</v>
      </c>
      <c r="O1018" s="4" t="s">
        <v>502</v>
      </c>
      <c r="P1018" s="4">
        <v>2.03</v>
      </c>
      <c r="Q1018" s="4" t="s">
        <v>540</v>
      </c>
      <c r="Z1018" s="4" t="s">
        <v>963</v>
      </c>
      <c r="AC1018" s="4" t="s">
        <v>964</v>
      </c>
      <c r="AD1018" s="4" t="s">
        <v>965</v>
      </c>
      <c r="AE1018" s="4">
        <v>1381</v>
      </c>
      <c r="AF1018" s="4" t="s">
        <v>966</v>
      </c>
      <c r="AH1018" s="4" t="s">
        <v>346</v>
      </c>
      <c r="AI1018" s="4" t="s">
        <v>952</v>
      </c>
      <c r="AL1018" s="4" t="s">
        <v>953</v>
      </c>
      <c r="AM1018" s="4">
        <v>6.7</v>
      </c>
      <c r="AQ1018" s="4" t="s">
        <v>945</v>
      </c>
      <c r="AR1018" s="4">
        <v>107</v>
      </c>
      <c r="AS1018" s="4" t="s">
        <v>7</v>
      </c>
      <c r="AT1018" s="4">
        <v>1044</v>
      </c>
      <c r="AU1018" s="4" t="s">
        <v>11</v>
      </c>
      <c r="AV1018" s="4">
        <v>736</v>
      </c>
      <c r="BI1018" s="4" t="s">
        <v>321</v>
      </c>
      <c r="BK1018" s="4">
        <v>25</v>
      </c>
      <c r="BL1018" s="4">
        <v>100</v>
      </c>
      <c r="BM1018" s="4">
        <v>1</v>
      </c>
      <c r="BO1018" s="4">
        <v>0.01</v>
      </c>
      <c r="BV1018" s="4" t="s">
        <v>954</v>
      </c>
      <c r="BX1018" s="4" t="s">
        <v>955</v>
      </c>
      <c r="CB1018" s="4" t="s">
        <v>956</v>
      </c>
      <c r="CC1018" s="4">
        <v>2.04</v>
      </c>
      <c r="CE1018" s="4" t="s">
        <v>526</v>
      </c>
      <c r="CF1018" s="4">
        <v>2.77</v>
      </c>
      <c r="CH1018" s="4" t="s">
        <v>670</v>
      </c>
      <c r="CI1018" s="4">
        <v>9.73</v>
      </c>
      <c r="DO1018" s="4">
        <v>3</v>
      </c>
      <c r="DQ1018" s="1">
        <v>2.77</v>
      </c>
      <c r="DR1018" s="1">
        <v>0.23</v>
      </c>
      <c r="DS1018" s="4">
        <v>2.5</v>
      </c>
      <c r="DT1018" s="1">
        <v>0.1</v>
      </c>
      <c r="EC1018" s="1">
        <f t="shared" si="27"/>
        <v>9.74729241877256</v>
      </c>
      <c r="ED1018" s="1">
        <v>9.74729241877256</v>
      </c>
      <c r="FJ1018" s="1">
        <v>2.04</v>
      </c>
      <c r="FK1018" s="1">
        <v>0.44</v>
      </c>
      <c r="FL1018" s="4">
        <v>1.68</v>
      </c>
      <c r="FM1018" s="1">
        <v>0.32</v>
      </c>
      <c r="FV1018" s="1">
        <f t="shared" si="28"/>
        <v>17.6470588235294</v>
      </c>
      <c r="FW1018" s="1">
        <v>17.6470588235294</v>
      </c>
      <c r="FY1018" s="1">
        <v>10.41</v>
      </c>
      <c r="FZ1018" s="1">
        <v>0.37</v>
      </c>
      <c r="GA1018" s="1">
        <v>8.95</v>
      </c>
      <c r="GB1018" s="1">
        <v>0.07</v>
      </c>
      <c r="GK1018" s="1">
        <f t="shared" ref="GK1018:GK1025" si="29">(CI1018-GA1018)/CI1018*100</f>
        <v>8.01644398766702</v>
      </c>
      <c r="GL1018" s="1">
        <v>8.01644398766702</v>
      </c>
    </row>
    <row r="1019" customHeight="1" spans="1:313">
      <c r="A1019" s="3">
        <v>30</v>
      </c>
      <c r="B1019" s="4" t="s">
        <v>934</v>
      </c>
      <c r="C1019" s="5" t="s">
        <v>960</v>
      </c>
      <c r="D1019" s="4" t="s">
        <v>961</v>
      </c>
      <c r="E1019" s="4" t="s">
        <v>962</v>
      </c>
      <c r="N1019" s="4" t="s">
        <v>567</v>
      </c>
      <c r="O1019" s="4" t="s">
        <v>502</v>
      </c>
      <c r="P1019" s="4">
        <v>2.03</v>
      </c>
      <c r="Q1019" s="4" t="s">
        <v>540</v>
      </c>
      <c r="Z1019" s="4" t="s">
        <v>963</v>
      </c>
      <c r="AC1019" s="4" t="s">
        <v>964</v>
      </c>
      <c r="AD1019" s="4" t="s">
        <v>965</v>
      </c>
      <c r="AE1019" s="4">
        <v>1381</v>
      </c>
      <c r="AF1019" s="4" t="s">
        <v>966</v>
      </c>
      <c r="AH1019" s="4" t="s">
        <v>346</v>
      </c>
      <c r="AI1019" s="4" t="s">
        <v>952</v>
      </c>
      <c r="AL1019" s="4" t="s">
        <v>953</v>
      </c>
      <c r="AM1019" s="4">
        <v>6.7</v>
      </c>
      <c r="AQ1019" s="4" t="s">
        <v>945</v>
      </c>
      <c r="AR1019" s="4">
        <v>107</v>
      </c>
      <c r="AS1019" s="4" t="s">
        <v>7</v>
      </c>
      <c r="AT1019" s="4">
        <v>1044</v>
      </c>
      <c r="AU1019" s="4" t="s">
        <v>11</v>
      </c>
      <c r="AV1019" s="4">
        <v>736</v>
      </c>
      <c r="BI1019" s="4" t="s">
        <v>321</v>
      </c>
      <c r="BK1019" s="4">
        <v>25</v>
      </c>
      <c r="BL1019" s="4">
        <v>100</v>
      </c>
      <c r="BM1019" s="4">
        <v>2</v>
      </c>
      <c r="BO1019" s="4">
        <v>0.02</v>
      </c>
      <c r="BV1019" s="4" t="s">
        <v>954</v>
      </c>
      <c r="BX1019" s="4" t="s">
        <v>955</v>
      </c>
      <c r="CB1019" s="4" t="s">
        <v>956</v>
      </c>
      <c r="CC1019" s="4">
        <v>2.25</v>
      </c>
      <c r="CE1019" s="4" t="s">
        <v>526</v>
      </c>
      <c r="CF1019" s="4">
        <v>2.92</v>
      </c>
      <c r="CH1019" s="4" t="s">
        <v>670</v>
      </c>
      <c r="CI1019" s="4">
        <v>10.11</v>
      </c>
      <c r="DO1019" s="4">
        <v>3</v>
      </c>
      <c r="DQ1019" s="1">
        <v>2.92</v>
      </c>
      <c r="DR1019" s="1">
        <v>0.33</v>
      </c>
      <c r="DS1019" s="4">
        <v>2.24</v>
      </c>
      <c r="DT1019" s="1">
        <v>0.21</v>
      </c>
      <c r="EC1019" s="1">
        <f t="shared" si="27"/>
        <v>23.2876712328767</v>
      </c>
      <c r="ED1019" s="1">
        <v>23.2876712328767</v>
      </c>
      <c r="FJ1019" s="1">
        <v>2.23</v>
      </c>
      <c r="FK1019" s="1">
        <v>0.17</v>
      </c>
      <c r="FL1019" s="4">
        <v>0.82</v>
      </c>
      <c r="FM1019" s="1">
        <v>0.14</v>
      </c>
      <c r="FV1019" s="1">
        <f t="shared" si="28"/>
        <v>63.5555555555556</v>
      </c>
      <c r="FW1019" s="1">
        <v>63.5555555555556</v>
      </c>
      <c r="FY1019" s="1">
        <v>10.33</v>
      </c>
      <c r="FZ1019" s="1">
        <v>0.19</v>
      </c>
      <c r="GA1019" s="1">
        <v>7.4</v>
      </c>
      <c r="GB1019" s="1">
        <v>0.07</v>
      </c>
      <c r="GK1019" s="1">
        <f t="shared" si="29"/>
        <v>26.8051434223541</v>
      </c>
      <c r="GL1019" s="1">
        <v>26.8051434223541</v>
      </c>
    </row>
    <row r="1020" customHeight="1" spans="1:313">
      <c r="A1020" s="3">
        <v>30</v>
      </c>
      <c r="B1020" s="4" t="s">
        <v>934</v>
      </c>
      <c r="C1020" s="5" t="s">
        <v>960</v>
      </c>
      <c r="D1020" s="4" t="s">
        <v>961</v>
      </c>
      <c r="E1020" s="4" t="s">
        <v>962</v>
      </c>
      <c r="N1020" s="4" t="s">
        <v>567</v>
      </c>
      <c r="O1020" s="4" t="s">
        <v>502</v>
      </c>
      <c r="P1020" s="4">
        <v>2.03</v>
      </c>
      <c r="Q1020" s="4" t="s">
        <v>540</v>
      </c>
      <c r="Z1020" s="4" t="s">
        <v>963</v>
      </c>
      <c r="AC1020" s="4" t="s">
        <v>964</v>
      </c>
      <c r="AD1020" s="4" t="s">
        <v>965</v>
      </c>
      <c r="AE1020" s="4">
        <v>1381</v>
      </c>
      <c r="AF1020" s="4" t="s">
        <v>966</v>
      </c>
      <c r="AH1020" s="4" t="s">
        <v>346</v>
      </c>
      <c r="AI1020" s="4" t="s">
        <v>952</v>
      </c>
      <c r="AL1020" s="4" t="s">
        <v>953</v>
      </c>
      <c r="AM1020" s="4">
        <v>6.7</v>
      </c>
      <c r="AQ1020" s="4" t="s">
        <v>945</v>
      </c>
      <c r="AR1020" s="4">
        <v>107</v>
      </c>
      <c r="AS1020" s="4" t="s">
        <v>7</v>
      </c>
      <c r="AT1020" s="4">
        <v>1044</v>
      </c>
      <c r="AU1020" s="4" t="s">
        <v>11</v>
      </c>
      <c r="AV1020" s="4">
        <v>736</v>
      </c>
      <c r="BI1020" s="4" t="s">
        <v>321</v>
      </c>
      <c r="BK1020" s="4">
        <v>25</v>
      </c>
      <c r="BL1020" s="4">
        <v>100</v>
      </c>
      <c r="BM1020" s="4">
        <v>0.5</v>
      </c>
      <c r="BO1020" s="4">
        <v>0.005</v>
      </c>
      <c r="BV1020" s="4" t="s">
        <v>959</v>
      </c>
      <c r="BX1020" s="4" t="s">
        <v>955</v>
      </c>
      <c r="CB1020" s="4" t="s">
        <v>956</v>
      </c>
      <c r="CC1020" s="4">
        <v>2.31</v>
      </c>
      <c r="CE1020" s="4" t="s">
        <v>526</v>
      </c>
      <c r="CF1020" s="4">
        <v>2.89</v>
      </c>
      <c r="CH1020" s="4" t="s">
        <v>670</v>
      </c>
      <c r="CI1020" s="4">
        <v>10.05</v>
      </c>
      <c r="DO1020" s="4">
        <v>3</v>
      </c>
      <c r="DQ1020" s="1">
        <v>2.89</v>
      </c>
      <c r="DR1020" s="1">
        <v>0.09</v>
      </c>
      <c r="DS1020" s="4">
        <v>2.38</v>
      </c>
      <c r="DT1020" s="1">
        <v>0.1</v>
      </c>
      <c r="EC1020" s="1">
        <f t="shared" si="27"/>
        <v>17.6470588235294</v>
      </c>
      <c r="ED1020" s="1">
        <v>17.6470588235294</v>
      </c>
      <c r="FJ1020" s="1">
        <v>2.31</v>
      </c>
      <c r="FK1020" s="1">
        <v>0.44</v>
      </c>
      <c r="FL1020" s="4">
        <v>1.63</v>
      </c>
      <c r="FM1020" s="1">
        <v>0.04</v>
      </c>
      <c r="FV1020" s="1">
        <f t="shared" si="28"/>
        <v>29.4372294372294</v>
      </c>
      <c r="FW1020" s="1">
        <v>29.4372294372294</v>
      </c>
      <c r="FY1020" s="1">
        <v>10.22</v>
      </c>
      <c r="FZ1020" s="1">
        <v>0</v>
      </c>
      <c r="GA1020" s="1">
        <v>8.16</v>
      </c>
      <c r="GB1020" s="1">
        <v>0.04</v>
      </c>
      <c r="GK1020" s="1">
        <f t="shared" si="29"/>
        <v>18.8059701492537</v>
      </c>
      <c r="GL1020" s="1">
        <v>18.8059701492537</v>
      </c>
    </row>
    <row r="1021" customHeight="1" spans="1:313">
      <c r="A1021" s="3">
        <v>30</v>
      </c>
      <c r="B1021" s="4" t="s">
        <v>934</v>
      </c>
      <c r="C1021" s="5" t="s">
        <v>960</v>
      </c>
      <c r="D1021" s="4" t="s">
        <v>961</v>
      </c>
      <c r="E1021" s="4" t="s">
        <v>962</v>
      </c>
      <c r="N1021" s="4" t="s">
        <v>567</v>
      </c>
      <c r="O1021" s="4" t="s">
        <v>502</v>
      </c>
      <c r="P1021" s="4">
        <v>2.03</v>
      </c>
      <c r="Q1021" s="4" t="s">
        <v>540</v>
      </c>
      <c r="Z1021" s="4" t="s">
        <v>963</v>
      </c>
      <c r="AC1021" s="4" t="s">
        <v>964</v>
      </c>
      <c r="AD1021" s="4" t="s">
        <v>965</v>
      </c>
      <c r="AE1021" s="4">
        <v>1381</v>
      </c>
      <c r="AF1021" s="4" t="s">
        <v>966</v>
      </c>
      <c r="AH1021" s="4" t="s">
        <v>346</v>
      </c>
      <c r="AI1021" s="4" t="s">
        <v>952</v>
      </c>
      <c r="AL1021" s="4" t="s">
        <v>953</v>
      </c>
      <c r="AM1021" s="4">
        <v>6.7</v>
      </c>
      <c r="AQ1021" s="4" t="s">
        <v>945</v>
      </c>
      <c r="AR1021" s="4">
        <v>107</v>
      </c>
      <c r="AS1021" s="4" t="s">
        <v>7</v>
      </c>
      <c r="AT1021" s="4">
        <v>1044</v>
      </c>
      <c r="AU1021" s="4" t="s">
        <v>11</v>
      </c>
      <c r="AV1021" s="4">
        <v>736</v>
      </c>
      <c r="BI1021" s="4" t="s">
        <v>321</v>
      </c>
      <c r="BK1021" s="4">
        <v>25</v>
      </c>
      <c r="BL1021" s="4">
        <v>100</v>
      </c>
      <c r="BM1021" s="4">
        <v>1</v>
      </c>
      <c r="BO1021" s="4">
        <v>0.01</v>
      </c>
      <c r="BV1021" s="4" t="s">
        <v>959</v>
      </c>
      <c r="BX1021" s="4" t="s">
        <v>955</v>
      </c>
      <c r="CB1021" s="4" t="s">
        <v>956</v>
      </c>
      <c r="CC1021" s="4">
        <v>2.04</v>
      </c>
      <c r="CE1021" s="4" t="s">
        <v>526</v>
      </c>
      <c r="CF1021" s="4">
        <v>2.77</v>
      </c>
      <c r="CH1021" s="4" t="s">
        <v>670</v>
      </c>
      <c r="CI1021" s="4">
        <v>9.73</v>
      </c>
      <c r="DO1021" s="4">
        <v>3</v>
      </c>
      <c r="DQ1021" s="1">
        <v>2.77</v>
      </c>
      <c r="DR1021" s="1">
        <v>0.23</v>
      </c>
      <c r="DS1021" s="4">
        <v>1.99</v>
      </c>
      <c r="DT1021" s="1">
        <v>0.06</v>
      </c>
      <c r="EC1021" s="1">
        <f t="shared" si="27"/>
        <v>28.158844765343</v>
      </c>
      <c r="ED1021" s="1">
        <v>28.158844765343</v>
      </c>
      <c r="FJ1021" s="1">
        <v>2.04</v>
      </c>
      <c r="FK1021" s="1">
        <v>0.44</v>
      </c>
      <c r="FL1021" s="4">
        <v>1.32</v>
      </c>
      <c r="FM1021" s="1">
        <v>0.11</v>
      </c>
      <c r="FV1021" s="1">
        <f t="shared" si="28"/>
        <v>35.2941176470588</v>
      </c>
      <c r="FW1021" s="1">
        <v>35.2941176470588</v>
      </c>
      <c r="FY1021" s="1">
        <v>10.41</v>
      </c>
      <c r="FZ1021" s="1">
        <v>0.37</v>
      </c>
      <c r="GA1021" s="1">
        <v>7.46</v>
      </c>
      <c r="GB1021" s="1">
        <v>0.04</v>
      </c>
      <c r="GK1021" s="1">
        <f t="shared" si="29"/>
        <v>23.3299075025694</v>
      </c>
      <c r="GL1021" s="1">
        <v>23.3299075025694</v>
      </c>
    </row>
    <row r="1022" customHeight="1" spans="1:313">
      <c r="A1022" s="3">
        <v>30</v>
      </c>
      <c r="B1022" s="4" t="s">
        <v>934</v>
      </c>
      <c r="C1022" s="5" t="s">
        <v>960</v>
      </c>
      <c r="D1022" s="4" t="s">
        <v>961</v>
      </c>
      <c r="E1022" s="4" t="s">
        <v>962</v>
      </c>
      <c r="N1022" s="4" t="s">
        <v>567</v>
      </c>
      <c r="O1022" s="4" t="s">
        <v>502</v>
      </c>
      <c r="P1022" s="4">
        <v>2.03</v>
      </c>
      <c r="Q1022" s="4" t="s">
        <v>540</v>
      </c>
      <c r="Z1022" s="4" t="s">
        <v>963</v>
      </c>
      <c r="AC1022" s="4" t="s">
        <v>964</v>
      </c>
      <c r="AD1022" s="4" t="s">
        <v>965</v>
      </c>
      <c r="AE1022" s="4">
        <v>1381</v>
      </c>
      <c r="AF1022" s="4" t="s">
        <v>966</v>
      </c>
      <c r="AH1022" s="4" t="s">
        <v>346</v>
      </c>
      <c r="AI1022" s="4" t="s">
        <v>952</v>
      </c>
      <c r="AL1022" s="4" t="s">
        <v>953</v>
      </c>
      <c r="AM1022" s="4">
        <v>6.7</v>
      </c>
      <c r="AQ1022" s="4" t="s">
        <v>945</v>
      </c>
      <c r="AR1022" s="4">
        <v>107</v>
      </c>
      <c r="AS1022" s="4" t="s">
        <v>7</v>
      </c>
      <c r="AT1022" s="4">
        <v>1044</v>
      </c>
      <c r="AU1022" s="4" t="s">
        <v>11</v>
      </c>
      <c r="AV1022" s="4">
        <v>736</v>
      </c>
      <c r="BI1022" s="4" t="s">
        <v>321</v>
      </c>
      <c r="BK1022" s="4">
        <v>25</v>
      </c>
      <c r="BL1022" s="4">
        <v>100</v>
      </c>
      <c r="BM1022" s="4">
        <v>2</v>
      </c>
      <c r="BO1022" s="4">
        <v>0.02</v>
      </c>
      <c r="BV1022" s="4" t="s">
        <v>959</v>
      </c>
      <c r="BX1022" s="4" t="s">
        <v>955</v>
      </c>
      <c r="CB1022" s="4" t="s">
        <v>956</v>
      </c>
      <c r="CC1022" s="4">
        <v>2.25</v>
      </c>
      <c r="CE1022" s="4" t="s">
        <v>526</v>
      </c>
      <c r="CF1022" s="4">
        <v>2.92</v>
      </c>
      <c r="CH1022" s="4" t="s">
        <v>670</v>
      </c>
      <c r="CI1022" s="4">
        <v>10.11</v>
      </c>
      <c r="DO1022" s="4">
        <v>3</v>
      </c>
      <c r="DQ1022" s="1">
        <v>2.92</v>
      </c>
      <c r="DR1022" s="1">
        <v>0.33</v>
      </c>
      <c r="DS1022" s="4">
        <v>1.21</v>
      </c>
      <c r="DT1022" s="1">
        <v>0.02</v>
      </c>
      <c r="EC1022" s="1">
        <f t="shared" si="27"/>
        <v>58.5616438356164</v>
      </c>
      <c r="ED1022" s="1">
        <v>58.5616438356164</v>
      </c>
      <c r="FJ1022" s="1">
        <v>2.23</v>
      </c>
      <c r="FK1022" s="1">
        <v>0.17</v>
      </c>
      <c r="FL1022" s="4">
        <v>0.34</v>
      </c>
      <c r="FM1022" s="1">
        <v>0.09</v>
      </c>
      <c r="FV1022" s="1">
        <f t="shared" si="28"/>
        <v>84.8888888888889</v>
      </c>
      <c r="FW1022" s="1">
        <v>84.8888888888889</v>
      </c>
      <c r="FY1022" s="1">
        <v>10.33</v>
      </c>
      <c r="FZ1022" s="1">
        <v>0.19</v>
      </c>
      <c r="GA1022" s="1">
        <v>4.72</v>
      </c>
      <c r="GB1022" s="1">
        <v>0.11</v>
      </c>
      <c r="GK1022" s="1">
        <f t="shared" si="29"/>
        <v>53.3135509396637</v>
      </c>
      <c r="GL1022" s="1">
        <v>53.3135509396637</v>
      </c>
    </row>
    <row r="1023" customHeight="1" spans="1:313">
      <c r="A1023" s="3">
        <v>30</v>
      </c>
      <c r="B1023" s="4" t="s">
        <v>934</v>
      </c>
      <c r="C1023" s="5" t="s">
        <v>960</v>
      </c>
      <c r="D1023" s="4" t="s">
        <v>961</v>
      </c>
      <c r="E1023" s="4" t="s">
        <v>962</v>
      </c>
      <c r="N1023" s="4" t="s">
        <v>567</v>
      </c>
      <c r="O1023" s="4" t="s">
        <v>502</v>
      </c>
      <c r="P1023" s="4">
        <v>2.03</v>
      </c>
      <c r="Q1023" s="4" t="s">
        <v>540</v>
      </c>
      <c r="Z1023" s="4" t="s">
        <v>963</v>
      </c>
      <c r="AC1023" s="4" t="s">
        <v>964</v>
      </c>
      <c r="AD1023" s="4" t="s">
        <v>965</v>
      </c>
      <c r="AE1023" s="4">
        <v>1381</v>
      </c>
      <c r="AF1023" s="4" t="s">
        <v>966</v>
      </c>
      <c r="AH1023" s="4" t="s">
        <v>346</v>
      </c>
      <c r="AI1023" s="4" t="s">
        <v>952</v>
      </c>
      <c r="AL1023" s="4" t="s">
        <v>953</v>
      </c>
      <c r="AM1023" s="4">
        <v>6.7</v>
      </c>
      <c r="AQ1023" s="4" t="s">
        <v>945</v>
      </c>
      <c r="AR1023" s="4">
        <v>107</v>
      </c>
      <c r="AS1023" s="4" t="s">
        <v>7</v>
      </c>
      <c r="AT1023" s="4">
        <v>1044</v>
      </c>
      <c r="AU1023" s="4" t="s">
        <v>11</v>
      </c>
      <c r="AV1023" s="4">
        <v>736</v>
      </c>
      <c r="BI1023" s="4" t="s">
        <v>321</v>
      </c>
      <c r="BK1023" s="4">
        <v>25</v>
      </c>
      <c r="BL1023" s="4">
        <v>100</v>
      </c>
      <c r="BM1023" s="4">
        <v>0.5</v>
      </c>
      <c r="BO1023" s="4">
        <v>0.005</v>
      </c>
      <c r="BV1023" s="4" t="s">
        <v>322</v>
      </c>
      <c r="BX1023" s="4" t="s">
        <v>955</v>
      </c>
      <c r="CB1023" s="4" t="s">
        <v>956</v>
      </c>
      <c r="CC1023" s="4">
        <v>2.31</v>
      </c>
      <c r="CE1023" s="4" t="s">
        <v>526</v>
      </c>
      <c r="CF1023" s="4">
        <v>2.89</v>
      </c>
      <c r="CH1023" s="4" t="s">
        <v>670</v>
      </c>
      <c r="CI1023" s="4">
        <v>10.05</v>
      </c>
      <c r="DO1023" s="4">
        <v>3</v>
      </c>
      <c r="DQ1023" s="1">
        <v>2.89</v>
      </c>
      <c r="DR1023" s="1">
        <v>0.09</v>
      </c>
      <c r="DS1023" s="4">
        <v>1.07</v>
      </c>
      <c r="DT1023" s="1">
        <v>0.15</v>
      </c>
      <c r="EC1023" s="1">
        <f t="shared" si="27"/>
        <v>62.9757785467128</v>
      </c>
      <c r="ED1023" s="1">
        <v>62.9757785467128</v>
      </c>
      <c r="FJ1023" s="1">
        <v>2.31</v>
      </c>
      <c r="FK1023" s="1">
        <v>0.44</v>
      </c>
      <c r="FL1023" s="4">
        <v>1.27</v>
      </c>
      <c r="FM1023" s="1">
        <v>0.12</v>
      </c>
      <c r="FV1023" s="1">
        <f t="shared" si="28"/>
        <v>45.021645021645</v>
      </c>
      <c r="FW1023" s="1">
        <v>45.021645021645</v>
      </c>
      <c r="FY1023" s="1">
        <v>10.22</v>
      </c>
      <c r="FZ1023" s="1">
        <v>0</v>
      </c>
      <c r="GA1023" s="1">
        <v>4.38</v>
      </c>
      <c r="GB1023" s="1">
        <v>0.3</v>
      </c>
      <c r="GK1023" s="1">
        <f t="shared" si="29"/>
        <v>56.4179104477612</v>
      </c>
      <c r="GL1023" s="1">
        <v>56.4179104477612</v>
      </c>
    </row>
    <row r="1024" customHeight="1" spans="1:313">
      <c r="A1024" s="3">
        <v>30</v>
      </c>
      <c r="B1024" s="4" t="s">
        <v>934</v>
      </c>
      <c r="C1024" s="5" t="s">
        <v>960</v>
      </c>
      <c r="D1024" s="4" t="s">
        <v>961</v>
      </c>
      <c r="E1024" s="4" t="s">
        <v>962</v>
      </c>
      <c r="N1024" s="4" t="s">
        <v>567</v>
      </c>
      <c r="O1024" s="4" t="s">
        <v>502</v>
      </c>
      <c r="P1024" s="4">
        <v>2.03</v>
      </c>
      <c r="Q1024" s="4" t="s">
        <v>540</v>
      </c>
      <c r="Z1024" s="4" t="s">
        <v>963</v>
      </c>
      <c r="AC1024" s="4" t="s">
        <v>964</v>
      </c>
      <c r="AD1024" s="4" t="s">
        <v>965</v>
      </c>
      <c r="AE1024" s="4">
        <v>1381</v>
      </c>
      <c r="AF1024" s="4" t="s">
        <v>966</v>
      </c>
      <c r="AH1024" s="4" t="s">
        <v>346</v>
      </c>
      <c r="AI1024" s="4" t="s">
        <v>952</v>
      </c>
      <c r="AL1024" s="4" t="s">
        <v>953</v>
      </c>
      <c r="AM1024" s="4">
        <v>6.7</v>
      </c>
      <c r="AQ1024" s="4" t="s">
        <v>945</v>
      </c>
      <c r="AR1024" s="4">
        <v>107</v>
      </c>
      <c r="AS1024" s="4" t="s">
        <v>7</v>
      </c>
      <c r="AT1024" s="4">
        <v>1044</v>
      </c>
      <c r="AU1024" s="4" t="s">
        <v>11</v>
      </c>
      <c r="AV1024" s="4">
        <v>736</v>
      </c>
      <c r="BI1024" s="4" t="s">
        <v>321</v>
      </c>
      <c r="BK1024" s="4">
        <v>25</v>
      </c>
      <c r="BL1024" s="4">
        <v>100</v>
      </c>
      <c r="BM1024" s="4">
        <v>1</v>
      </c>
      <c r="BO1024" s="4">
        <v>0.01</v>
      </c>
      <c r="BV1024" s="4" t="s">
        <v>322</v>
      </c>
      <c r="BX1024" s="4" t="s">
        <v>955</v>
      </c>
      <c r="CB1024" s="4" t="s">
        <v>956</v>
      </c>
      <c r="CC1024" s="4">
        <v>2.04</v>
      </c>
      <c r="CE1024" s="4" t="s">
        <v>526</v>
      </c>
      <c r="CF1024" s="4">
        <v>2.77</v>
      </c>
      <c r="CH1024" s="4" t="s">
        <v>670</v>
      </c>
      <c r="CI1024" s="4">
        <v>9.73</v>
      </c>
      <c r="DO1024" s="4">
        <v>3</v>
      </c>
      <c r="DQ1024" s="1">
        <v>2.77</v>
      </c>
      <c r="DR1024" s="1">
        <v>0.23</v>
      </c>
      <c r="DS1024" s="4">
        <v>1.14</v>
      </c>
      <c r="DT1024" s="1">
        <v>0.07</v>
      </c>
      <c r="EC1024" s="1">
        <f t="shared" si="27"/>
        <v>58.8447653429603</v>
      </c>
      <c r="ED1024" s="1">
        <v>58.8447653429603</v>
      </c>
      <c r="FJ1024" s="1">
        <v>2.04</v>
      </c>
      <c r="FK1024" s="1">
        <v>0.44</v>
      </c>
      <c r="FL1024" s="4">
        <v>0.76</v>
      </c>
      <c r="FM1024" s="1">
        <v>0.19</v>
      </c>
      <c r="FV1024" s="1">
        <f t="shared" si="28"/>
        <v>62.7450980392157</v>
      </c>
      <c r="FW1024" s="1">
        <v>62.7450980392157</v>
      </c>
      <c r="FY1024" s="1">
        <v>10.41</v>
      </c>
      <c r="FZ1024" s="1">
        <v>0.37</v>
      </c>
      <c r="GA1024" s="1">
        <v>3.69</v>
      </c>
      <c r="GB1024" s="1">
        <v>0.48</v>
      </c>
      <c r="GK1024" s="1">
        <f t="shared" si="29"/>
        <v>62.0760534429599</v>
      </c>
      <c r="GL1024" s="1">
        <v>62.0760534429599</v>
      </c>
    </row>
    <row r="1025" customHeight="1" spans="1:194">
      <c r="A1025" s="3">
        <v>30</v>
      </c>
      <c r="B1025" s="4" t="s">
        <v>934</v>
      </c>
      <c r="C1025" s="5" t="s">
        <v>960</v>
      </c>
      <c r="D1025" s="4" t="s">
        <v>961</v>
      </c>
      <c r="E1025" s="4" t="s">
        <v>962</v>
      </c>
      <c r="N1025" s="4" t="s">
        <v>567</v>
      </c>
      <c r="O1025" s="4" t="s">
        <v>502</v>
      </c>
      <c r="P1025" s="4">
        <v>2.03</v>
      </c>
      <c r="Q1025" s="4" t="s">
        <v>540</v>
      </c>
      <c r="Z1025" s="4" t="s">
        <v>963</v>
      </c>
      <c r="AC1025" s="4" t="s">
        <v>964</v>
      </c>
      <c r="AD1025" s="4" t="s">
        <v>965</v>
      </c>
      <c r="AE1025" s="4">
        <v>1381</v>
      </c>
      <c r="AF1025" s="4" t="s">
        <v>966</v>
      </c>
      <c r="AH1025" s="4" t="s">
        <v>346</v>
      </c>
      <c r="AI1025" s="4" t="s">
        <v>952</v>
      </c>
      <c r="AL1025" s="4" t="s">
        <v>953</v>
      </c>
      <c r="AM1025" s="4">
        <v>6.7</v>
      </c>
      <c r="AQ1025" s="4" t="s">
        <v>945</v>
      </c>
      <c r="AR1025" s="4">
        <v>107</v>
      </c>
      <c r="AS1025" s="4" t="s">
        <v>7</v>
      </c>
      <c r="AT1025" s="4">
        <v>1044</v>
      </c>
      <c r="AU1025" s="4" t="s">
        <v>11</v>
      </c>
      <c r="AV1025" s="4">
        <v>736</v>
      </c>
      <c r="BI1025" s="4" t="s">
        <v>321</v>
      </c>
      <c r="BK1025" s="4">
        <v>25</v>
      </c>
      <c r="BL1025" s="4">
        <v>100</v>
      </c>
      <c r="BM1025" s="4">
        <v>2</v>
      </c>
      <c r="BO1025" s="4">
        <v>0.02</v>
      </c>
      <c r="BV1025" s="4" t="s">
        <v>322</v>
      </c>
      <c r="BX1025" s="4" t="s">
        <v>955</v>
      </c>
      <c r="CB1025" s="4" t="s">
        <v>956</v>
      </c>
      <c r="CC1025" s="4">
        <v>2.25</v>
      </c>
      <c r="CE1025" s="4" t="s">
        <v>526</v>
      </c>
      <c r="CF1025" s="4">
        <v>2.92</v>
      </c>
      <c r="CH1025" s="4" t="s">
        <v>670</v>
      </c>
      <c r="CI1025" s="4">
        <v>10.11</v>
      </c>
      <c r="DO1025" s="4">
        <v>3</v>
      </c>
      <c r="DQ1025" s="1">
        <v>2.92</v>
      </c>
      <c r="DR1025" s="1">
        <v>0.33</v>
      </c>
      <c r="DS1025" s="4">
        <v>0.56</v>
      </c>
      <c r="DT1025" s="1">
        <v>0.06</v>
      </c>
      <c r="EC1025" s="1">
        <f t="shared" si="27"/>
        <v>80.8219178082192</v>
      </c>
      <c r="ED1025" s="1">
        <v>80.8219178082192</v>
      </c>
      <c r="FJ1025" s="1">
        <v>2.23</v>
      </c>
      <c r="FK1025" s="1">
        <v>0.17</v>
      </c>
      <c r="FL1025" s="4">
        <v>0.23</v>
      </c>
      <c r="FM1025" s="1">
        <v>0.02</v>
      </c>
      <c r="FV1025" s="1">
        <f t="shared" si="28"/>
        <v>89.7777777777778</v>
      </c>
      <c r="FW1025" s="1">
        <v>89.7777777777778</v>
      </c>
      <c r="FY1025" s="1">
        <v>10.33</v>
      </c>
      <c r="FZ1025" s="1">
        <v>0.19</v>
      </c>
      <c r="GA1025" s="1">
        <v>1.01</v>
      </c>
      <c r="GB1025" s="1">
        <v>0.04</v>
      </c>
      <c r="GK1025" s="1">
        <f t="shared" si="29"/>
        <v>90.0098911968348</v>
      </c>
      <c r="GL1025" s="1">
        <v>90.0098911968348</v>
      </c>
    </row>
    <row r="1026" customHeight="1" spans="1:194">
      <c r="A1026" s="3">
        <v>30</v>
      </c>
      <c r="B1026" s="4" t="s">
        <v>934</v>
      </c>
      <c r="C1026" s="5" t="s">
        <v>960</v>
      </c>
      <c r="D1026" s="4" t="s">
        <v>961</v>
      </c>
      <c r="E1026" s="4" t="s">
        <v>962</v>
      </c>
      <c r="N1026" s="4" t="s">
        <v>567</v>
      </c>
      <c r="O1026" s="4" t="s">
        <v>502</v>
      </c>
      <c r="P1026" s="4">
        <v>2.03</v>
      </c>
      <c r="Q1026" s="4" t="s">
        <v>540</v>
      </c>
      <c r="Z1026" s="4" t="s">
        <v>963</v>
      </c>
      <c r="AC1026" s="4" t="s">
        <v>964</v>
      </c>
      <c r="AD1026" s="4" t="s">
        <v>965</v>
      </c>
      <c r="AE1026" s="4">
        <v>1381</v>
      </c>
      <c r="AF1026" s="4" t="s">
        <v>966</v>
      </c>
      <c r="AH1026" s="4" t="s">
        <v>346</v>
      </c>
      <c r="AI1026" s="4" t="s">
        <v>952</v>
      </c>
      <c r="AL1026" s="4" t="s">
        <v>953</v>
      </c>
      <c r="AM1026" s="4">
        <v>6.7</v>
      </c>
      <c r="AQ1026" s="4" t="s">
        <v>945</v>
      </c>
      <c r="AR1026" s="4">
        <v>107</v>
      </c>
      <c r="AS1026" s="4" t="s">
        <v>7</v>
      </c>
      <c r="AT1026" s="4">
        <v>1044</v>
      </c>
      <c r="AU1026" s="4" t="s">
        <v>11</v>
      </c>
      <c r="AV1026" s="4">
        <v>736</v>
      </c>
      <c r="DO1026" s="4">
        <v>3</v>
      </c>
    </row>
    <row r="1027" customHeight="1" spans="1:194">
      <c r="A1027" s="3">
        <v>30</v>
      </c>
      <c r="B1027" s="4" t="s">
        <v>934</v>
      </c>
      <c r="C1027" s="5" t="s">
        <v>960</v>
      </c>
      <c r="D1027" s="4" t="s">
        <v>961</v>
      </c>
      <c r="E1027" s="4" t="s">
        <v>962</v>
      </c>
      <c r="N1027" s="4" t="s">
        <v>567</v>
      </c>
      <c r="O1027" s="4" t="s">
        <v>502</v>
      </c>
      <c r="P1027" s="4">
        <v>2.03</v>
      </c>
      <c r="Q1027" s="4" t="s">
        <v>540</v>
      </c>
      <c r="Z1027" s="4" t="s">
        <v>963</v>
      </c>
      <c r="AC1027" s="4" t="s">
        <v>964</v>
      </c>
      <c r="AD1027" s="4" t="s">
        <v>965</v>
      </c>
      <c r="AE1027" s="4">
        <v>1381</v>
      </c>
      <c r="AF1027" s="4" t="s">
        <v>966</v>
      </c>
      <c r="AH1027" s="4" t="s">
        <v>346</v>
      </c>
      <c r="AI1027" s="4" t="s">
        <v>952</v>
      </c>
      <c r="AL1027" s="4" t="s">
        <v>953</v>
      </c>
      <c r="AM1027" s="4">
        <v>6.7</v>
      </c>
      <c r="AQ1027" s="4" t="s">
        <v>945</v>
      </c>
      <c r="AR1027" s="4">
        <v>107</v>
      </c>
      <c r="AS1027" s="4" t="s">
        <v>7</v>
      </c>
      <c r="AT1027" s="4">
        <v>1044</v>
      </c>
      <c r="AU1027" s="4" t="s">
        <v>11</v>
      </c>
      <c r="AV1027" s="4">
        <v>736</v>
      </c>
      <c r="DO1027" s="4">
        <v>3</v>
      </c>
    </row>
    <row r="1028" customHeight="1" spans="1:194">
      <c r="A1028" s="3">
        <v>30</v>
      </c>
      <c r="B1028" s="4" t="s">
        <v>934</v>
      </c>
      <c r="C1028" s="5" t="s">
        <v>960</v>
      </c>
      <c r="D1028" s="4" t="s">
        <v>961</v>
      </c>
      <c r="E1028" s="4" t="s">
        <v>962</v>
      </c>
      <c r="N1028" s="4" t="s">
        <v>567</v>
      </c>
      <c r="O1028" s="4" t="s">
        <v>502</v>
      </c>
      <c r="P1028" s="4">
        <v>2.03</v>
      </c>
      <c r="Q1028" s="4" t="s">
        <v>540</v>
      </c>
      <c r="Z1028" s="4" t="s">
        <v>963</v>
      </c>
      <c r="AC1028" s="4" t="s">
        <v>964</v>
      </c>
      <c r="AD1028" s="4" t="s">
        <v>965</v>
      </c>
      <c r="AE1028" s="4">
        <v>1381</v>
      </c>
      <c r="AF1028" s="4" t="s">
        <v>966</v>
      </c>
      <c r="AH1028" s="4" t="s">
        <v>346</v>
      </c>
      <c r="AI1028" s="4" t="s">
        <v>952</v>
      </c>
      <c r="AL1028" s="4" t="s">
        <v>953</v>
      </c>
      <c r="AM1028" s="4">
        <v>6.7</v>
      </c>
      <c r="AQ1028" s="4" t="s">
        <v>945</v>
      </c>
      <c r="AR1028" s="4">
        <v>107</v>
      </c>
      <c r="AS1028" s="4" t="s">
        <v>7</v>
      </c>
      <c r="AT1028" s="4">
        <v>1044</v>
      </c>
      <c r="AU1028" s="4" t="s">
        <v>11</v>
      </c>
      <c r="AV1028" s="4">
        <v>736</v>
      </c>
      <c r="DO1028" s="4">
        <v>3</v>
      </c>
    </row>
    <row r="1029" customHeight="1" spans="1:194">
      <c r="A1029" s="39">
        <v>31</v>
      </c>
      <c r="B1029" s="4" t="s">
        <v>969</v>
      </c>
      <c r="C1029" s="5" t="s">
        <v>970</v>
      </c>
      <c r="D1029" s="4" t="s">
        <v>300</v>
      </c>
      <c r="E1029" s="4" t="s">
        <v>971</v>
      </c>
      <c r="H1029" s="4" t="s">
        <v>328</v>
      </c>
      <c r="I1029" s="4" t="s">
        <v>972</v>
      </c>
      <c r="N1029" s="4" t="s">
        <v>567</v>
      </c>
      <c r="O1029" s="4" t="s">
        <v>343</v>
      </c>
      <c r="AC1029" s="4" t="s">
        <v>973</v>
      </c>
      <c r="AE1029" s="4" t="s">
        <v>974</v>
      </c>
      <c r="AF1029" s="4" t="s">
        <v>975</v>
      </c>
      <c r="AH1029" s="4" t="s">
        <v>976</v>
      </c>
      <c r="AI1029" s="4" t="s">
        <v>977</v>
      </c>
      <c r="AL1029" s="4" t="s">
        <v>978</v>
      </c>
      <c r="AM1029" s="4">
        <v>7.65</v>
      </c>
      <c r="AO1029" s="4">
        <v>31</v>
      </c>
      <c r="DO1029" s="4">
        <v>3</v>
      </c>
    </row>
    <row r="1030" customHeight="1" spans="1:194">
      <c r="A1030" s="39">
        <v>31</v>
      </c>
      <c r="B1030" s="4" t="s">
        <v>969</v>
      </c>
      <c r="C1030" s="5" t="s">
        <v>970</v>
      </c>
      <c r="D1030" s="4" t="s">
        <v>300</v>
      </c>
      <c r="E1030" s="4" t="s">
        <v>971</v>
      </c>
      <c r="H1030" s="4" t="s">
        <v>328</v>
      </c>
      <c r="I1030" s="4" t="s">
        <v>972</v>
      </c>
      <c r="N1030" s="4" t="s">
        <v>567</v>
      </c>
      <c r="O1030" s="4" t="s">
        <v>343</v>
      </c>
      <c r="AC1030" s="4" t="s">
        <v>973</v>
      </c>
      <c r="AE1030" s="4" t="s">
        <v>974</v>
      </c>
      <c r="AF1030" s="4" t="s">
        <v>975</v>
      </c>
      <c r="AH1030" s="4" t="s">
        <v>976</v>
      </c>
      <c r="AI1030" s="4" t="s">
        <v>977</v>
      </c>
      <c r="AL1030" s="4" t="s">
        <v>978</v>
      </c>
      <c r="AM1030" s="4">
        <v>7.65</v>
      </c>
      <c r="AO1030" s="4">
        <v>31</v>
      </c>
      <c r="DO1030" s="4">
        <v>3</v>
      </c>
    </row>
    <row r="1031" customHeight="1" spans="1:194">
      <c r="A1031" s="39">
        <v>31</v>
      </c>
      <c r="B1031" s="4" t="s">
        <v>969</v>
      </c>
      <c r="C1031" s="5" t="s">
        <v>970</v>
      </c>
      <c r="D1031" s="4" t="s">
        <v>300</v>
      </c>
      <c r="E1031" s="4" t="s">
        <v>971</v>
      </c>
      <c r="H1031" s="4" t="s">
        <v>328</v>
      </c>
      <c r="I1031" s="4" t="s">
        <v>972</v>
      </c>
      <c r="N1031" s="4" t="s">
        <v>567</v>
      </c>
      <c r="O1031" s="4" t="s">
        <v>343</v>
      </c>
      <c r="AC1031" s="4" t="s">
        <v>973</v>
      </c>
      <c r="AE1031" s="4" t="s">
        <v>974</v>
      </c>
      <c r="AF1031" s="4" t="s">
        <v>975</v>
      </c>
      <c r="AH1031" s="4" t="s">
        <v>976</v>
      </c>
      <c r="AI1031" s="4" t="s">
        <v>977</v>
      </c>
      <c r="AL1031" s="4" t="s">
        <v>978</v>
      </c>
      <c r="AM1031" s="4">
        <v>7.65</v>
      </c>
      <c r="AO1031" s="4">
        <v>31</v>
      </c>
      <c r="DO1031" s="4">
        <v>3</v>
      </c>
    </row>
    <row r="1032" customHeight="1" spans="1:194">
      <c r="A1032" s="39">
        <v>31</v>
      </c>
      <c r="B1032" s="4" t="s">
        <v>969</v>
      </c>
      <c r="C1032" s="5" t="s">
        <v>970</v>
      </c>
      <c r="D1032" s="4" t="s">
        <v>300</v>
      </c>
      <c r="E1032" s="4" t="s">
        <v>971</v>
      </c>
      <c r="H1032" s="4" t="s">
        <v>328</v>
      </c>
      <c r="I1032" s="4" t="s">
        <v>972</v>
      </c>
      <c r="N1032" s="4" t="s">
        <v>567</v>
      </c>
      <c r="O1032" s="4" t="s">
        <v>343</v>
      </c>
      <c r="AC1032" s="4" t="s">
        <v>973</v>
      </c>
      <c r="AE1032" s="4" t="s">
        <v>974</v>
      </c>
      <c r="AF1032" s="4" t="s">
        <v>975</v>
      </c>
      <c r="AH1032" s="4" t="s">
        <v>976</v>
      </c>
      <c r="AI1032" s="4" t="s">
        <v>977</v>
      </c>
      <c r="AL1032" s="4" t="s">
        <v>978</v>
      </c>
      <c r="AM1032" s="4">
        <v>7.65</v>
      </c>
      <c r="AO1032" s="4">
        <v>31</v>
      </c>
      <c r="DO1032" s="4">
        <v>3</v>
      </c>
    </row>
    <row r="1033" customHeight="1" spans="1:194">
      <c r="A1033" s="39">
        <v>31</v>
      </c>
      <c r="B1033" s="4" t="s">
        <v>969</v>
      </c>
      <c r="C1033" s="5" t="s">
        <v>970</v>
      </c>
      <c r="D1033" s="4" t="s">
        <v>300</v>
      </c>
      <c r="E1033" s="4" t="s">
        <v>971</v>
      </c>
      <c r="H1033" s="4" t="s">
        <v>328</v>
      </c>
      <c r="I1033" s="4" t="s">
        <v>972</v>
      </c>
      <c r="N1033" s="4" t="s">
        <v>567</v>
      </c>
      <c r="O1033" s="4" t="s">
        <v>343</v>
      </c>
      <c r="AC1033" s="4" t="s">
        <v>973</v>
      </c>
      <c r="AE1033" s="4" t="s">
        <v>974</v>
      </c>
      <c r="AF1033" s="4" t="s">
        <v>975</v>
      </c>
      <c r="AH1033" s="4" t="s">
        <v>976</v>
      </c>
      <c r="AI1033" s="4" t="s">
        <v>977</v>
      </c>
      <c r="AL1033" s="4" t="s">
        <v>978</v>
      </c>
      <c r="AM1033" s="4">
        <v>7.65</v>
      </c>
      <c r="AO1033" s="4">
        <v>31</v>
      </c>
      <c r="DO1033" s="4">
        <v>3</v>
      </c>
    </row>
    <row r="1034" customHeight="1" spans="1:194">
      <c r="A1034" s="39">
        <v>31</v>
      </c>
      <c r="B1034" s="4" t="s">
        <v>969</v>
      </c>
      <c r="C1034" s="5" t="s">
        <v>979</v>
      </c>
      <c r="D1034" s="4" t="s">
        <v>980</v>
      </c>
      <c r="E1034" s="4" t="s">
        <v>981</v>
      </c>
      <c r="I1034" s="4" t="s">
        <v>982</v>
      </c>
      <c r="N1034" s="4" t="s">
        <v>567</v>
      </c>
      <c r="O1034" s="4" t="s">
        <v>343</v>
      </c>
      <c r="AE1034" s="4" t="s">
        <v>983</v>
      </c>
      <c r="AF1034" s="4" t="s">
        <v>984</v>
      </c>
      <c r="AH1034" s="4" t="s">
        <v>976</v>
      </c>
      <c r="AI1034" s="4" t="s">
        <v>977</v>
      </c>
      <c r="AL1034" s="4" t="s">
        <v>978</v>
      </c>
      <c r="AM1034" s="4">
        <v>7.65</v>
      </c>
      <c r="AO1034" s="4">
        <v>31</v>
      </c>
      <c r="DO1034" s="4">
        <v>3</v>
      </c>
    </row>
    <row r="1035" customHeight="1" spans="1:194">
      <c r="A1035" s="39">
        <v>31</v>
      </c>
      <c r="B1035" s="4" t="s">
        <v>969</v>
      </c>
      <c r="C1035" s="5" t="s">
        <v>979</v>
      </c>
      <c r="D1035" s="4" t="s">
        <v>980</v>
      </c>
      <c r="E1035" s="4" t="s">
        <v>981</v>
      </c>
      <c r="I1035" s="4" t="s">
        <v>982</v>
      </c>
      <c r="N1035" s="4" t="s">
        <v>567</v>
      </c>
      <c r="O1035" s="4" t="s">
        <v>343</v>
      </c>
      <c r="AE1035" s="4" t="s">
        <v>983</v>
      </c>
      <c r="AF1035" s="4" t="s">
        <v>984</v>
      </c>
      <c r="AH1035" s="4" t="s">
        <v>976</v>
      </c>
      <c r="AI1035" s="4" t="s">
        <v>977</v>
      </c>
      <c r="AL1035" s="4" t="s">
        <v>978</v>
      </c>
      <c r="AM1035" s="4">
        <v>7.65</v>
      </c>
      <c r="AO1035" s="4">
        <v>31</v>
      </c>
      <c r="DO1035" s="4">
        <v>3</v>
      </c>
    </row>
    <row r="1036" customHeight="1" spans="1:194">
      <c r="A1036" s="39">
        <v>31</v>
      </c>
      <c r="B1036" s="4" t="s">
        <v>969</v>
      </c>
      <c r="C1036" s="5" t="s">
        <v>979</v>
      </c>
      <c r="D1036" s="4" t="s">
        <v>980</v>
      </c>
      <c r="E1036" s="4" t="s">
        <v>981</v>
      </c>
      <c r="I1036" s="4" t="s">
        <v>982</v>
      </c>
      <c r="N1036" s="4" t="s">
        <v>567</v>
      </c>
      <c r="O1036" s="4" t="s">
        <v>343</v>
      </c>
      <c r="AE1036" s="4" t="s">
        <v>983</v>
      </c>
      <c r="AF1036" s="4" t="s">
        <v>984</v>
      </c>
      <c r="AH1036" s="4" t="s">
        <v>976</v>
      </c>
      <c r="AI1036" s="4" t="s">
        <v>977</v>
      </c>
      <c r="AL1036" s="4" t="s">
        <v>978</v>
      </c>
      <c r="AM1036" s="4">
        <v>7.65</v>
      </c>
      <c r="AO1036" s="4">
        <v>31</v>
      </c>
      <c r="DO1036" s="4">
        <v>3</v>
      </c>
    </row>
    <row r="1037" customHeight="1" spans="1:194">
      <c r="A1037" s="39">
        <v>31</v>
      </c>
      <c r="B1037" s="4" t="s">
        <v>969</v>
      </c>
      <c r="C1037" s="5" t="s">
        <v>979</v>
      </c>
      <c r="D1037" s="4" t="s">
        <v>980</v>
      </c>
      <c r="E1037" s="4" t="s">
        <v>981</v>
      </c>
      <c r="I1037" s="4" t="s">
        <v>982</v>
      </c>
      <c r="N1037" s="4" t="s">
        <v>567</v>
      </c>
      <c r="O1037" s="4" t="s">
        <v>343</v>
      </c>
      <c r="AE1037" s="4" t="s">
        <v>983</v>
      </c>
      <c r="AF1037" s="4" t="s">
        <v>984</v>
      </c>
      <c r="AH1037" s="4" t="s">
        <v>976</v>
      </c>
      <c r="AI1037" s="4" t="s">
        <v>977</v>
      </c>
      <c r="AL1037" s="4" t="s">
        <v>978</v>
      </c>
      <c r="AM1037" s="4">
        <v>7.65</v>
      </c>
      <c r="AO1037" s="4">
        <v>31</v>
      </c>
      <c r="DO1037" s="4">
        <v>3</v>
      </c>
    </row>
    <row r="1038" customHeight="1" spans="1:194">
      <c r="A1038" s="39">
        <v>31</v>
      </c>
      <c r="B1038" s="4" t="s">
        <v>969</v>
      </c>
      <c r="C1038" s="5" t="s">
        <v>979</v>
      </c>
      <c r="D1038" s="4" t="s">
        <v>980</v>
      </c>
      <c r="E1038" s="4" t="s">
        <v>981</v>
      </c>
      <c r="I1038" s="4" t="s">
        <v>982</v>
      </c>
      <c r="N1038" s="4" t="s">
        <v>567</v>
      </c>
      <c r="O1038" s="4" t="s">
        <v>343</v>
      </c>
      <c r="AE1038" s="4" t="s">
        <v>983</v>
      </c>
      <c r="AF1038" s="4" t="s">
        <v>984</v>
      </c>
      <c r="AH1038" s="4" t="s">
        <v>976</v>
      </c>
      <c r="AI1038" s="4" t="s">
        <v>977</v>
      </c>
      <c r="AL1038" s="4" t="s">
        <v>978</v>
      </c>
      <c r="AM1038" s="4">
        <v>7.65</v>
      </c>
      <c r="AO1038" s="4">
        <v>31</v>
      </c>
      <c r="DO1038" s="4">
        <v>3</v>
      </c>
    </row>
    <row r="1039" customHeight="1" spans="1:194">
      <c r="A1039" s="39">
        <v>31</v>
      </c>
      <c r="B1039" s="4" t="s">
        <v>969</v>
      </c>
      <c r="C1039" s="5" t="s">
        <v>979</v>
      </c>
      <c r="D1039" s="4" t="s">
        <v>980</v>
      </c>
      <c r="E1039" s="4" t="s">
        <v>981</v>
      </c>
      <c r="I1039" s="4" t="s">
        <v>982</v>
      </c>
      <c r="N1039" s="4" t="s">
        <v>567</v>
      </c>
      <c r="O1039" s="4" t="s">
        <v>343</v>
      </c>
      <c r="AE1039" s="4" t="s">
        <v>983</v>
      </c>
      <c r="AF1039" s="4" t="s">
        <v>984</v>
      </c>
      <c r="AH1039" s="4" t="s">
        <v>976</v>
      </c>
      <c r="AI1039" s="4" t="s">
        <v>977</v>
      </c>
      <c r="AL1039" s="4" t="s">
        <v>978</v>
      </c>
      <c r="AM1039" s="4">
        <v>7.65</v>
      </c>
      <c r="AO1039" s="4">
        <v>31</v>
      </c>
      <c r="DO1039" s="4">
        <v>3</v>
      </c>
    </row>
    <row r="1040" customHeight="1" spans="1:194">
      <c r="A1040" s="39">
        <v>31</v>
      </c>
      <c r="B1040" s="4" t="s">
        <v>969</v>
      </c>
      <c r="C1040" s="5" t="s">
        <v>979</v>
      </c>
      <c r="D1040" s="4" t="s">
        <v>980</v>
      </c>
      <c r="E1040" s="4" t="s">
        <v>981</v>
      </c>
      <c r="I1040" s="4" t="s">
        <v>982</v>
      </c>
      <c r="N1040" s="4" t="s">
        <v>567</v>
      </c>
      <c r="O1040" s="4" t="s">
        <v>343</v>
      </c>
      <c r="AE1040" s="4" t="s">
        <v>983</v>
      </c>
      <c r="AF1040" s="4" t="s">
        <v>984</v>
      </c>
      <c r="AH1040" s="4" t="s">
        <v>976</v>
      </c>
      <c r="AI1040" s="4" t="s">
        <v>977</v>
      </c>
      <c r="AL1040" s="4" t="s">
        <v>978</v>
      </c>
      <c r="AM1040" s="4">
        <v>7.65</v>
      </c>
      <c r="AO1040" s="4">
        <v>31</v>
      </c>
      <c r="DO1040" s="4">
        <v>3</v>
      </c>
    </row>
    <row r="1041" customHeight="1" spans="1:179">
      <c r="A1041" s="39">
        <v>31</v>
      </c>
      <c r="B1041" s="4" t="s">
        <v>969</v>
      </c>
      <c r="C1041" s="5" t="s">
        <v>979</v>
      </c>
      <c r="D1041" s="4" t="s">
        <v>980</v>
      </c>
      <c r="E1041" s="4" t="s">
        <v>981</v>
      </c>
      <c r="I1041" s="4" t="s">
        <v>982</v>
      </c>
      <c r="N1041" s="4" t="s">
        <v>567</v>
      </c>
      <c r="O1041" s="4" t="s">
        <v>343</v>
      </c>
      <c r="AE1041" s="4" t="s">
        <v>983</v>
      </c>
      <c r="AF1041" s="4" t="s">
        <v>984</v>
      </c>
      <c r="AH1041" s="4" t="s">
        <v>976</v>
      </c>
      <c r="AI1041" s="4" t="s">
        <v>977</v>
      </c>
      <c r="AL1041" s="4" t="s">
        <v>978</v>
      </c>
      <c r="AM1041" s="4">
        <v>7.65</v>
      </c>
      <c r="AO1041" s="4">
        <v>31</v>
      </c>
      <c r="DO1041" s="4">
        <v>3</v>
      </c>
    </row>
    <row r="1042" customHeight="1" spans="1:179">
      <c r="A1042" s="39">
        <v>31</v>
      </c>
      <c r="B1042" s="4" t="s">
        <v>969</v>
      </c>
      <c r="C1042" s="5" t="s">
        <v>979</v>
      </c>
      <c r="D1042" s="4" t="s">
        <v>980</v>
      </c>
      <c r="E1042" s="4" t="s">
        <v>981</v>
      </c>
      <c r="I1042" s="4" t="s">
        <v>982</v>
      </c>
      <c r="N1042" s="4" t="s">
        <v>567</v>
      </c>
      <c r="O1042" s="4" t="s">
        <v>343</v>
      </c>
      <c r="AE1042" s="4" t="s">
        <v>983</v>
      </c>
      <c r="AF1042" s="4" t="s">
        <v>984</v>
      </c>
      <c r="AH1042" s="4" t="s">
        <v>976</v>
      </c>
      <c r="AI1042" s="4" t="s">
        <v>977</v>
      </c>
      <c r="AL1042" s="4" t="s">
        <v>978</v>
      </c>
      <c r="AM1042" s="4">
        <v>7.65</v>
      </c>
      <c r="AO1042" s="4">
        <v>31</v>
      </c>
      <c r="DO1042" s="4">
        <v>3</v>
      </c>
    </row>
    <row r="1043" customHeight="1" spans="1:179">
      <c r="A1043" s="39">
        <v>31</v>
      </c>
      <c r="B1043" s="4" t="s">
        <v>969</v>
      </c>
      <c r="C1043" s="5" t="s">
        <v>979</v>
      </c>
      <c r="D1043" s="4" t="s">
        <v>980</v>
      </c>
      <c r="E1043" s="4" t="s">
        <v>981</v>
      </c>
      <c r="I1043" s="4" t="s">
        <v>982</v>
      </c>
      <c r="N1043" s="4" t="s">
        <v>567</v>
      </c>
      <c r="O1043" s="4" t="s">
        <v>343</v>
      </c>
      <c r="AE1043" s="4" t="s">
        <v>983</v>
      </c>
      <c r="AF1043" s="4" t="s">
        <v>984</v>
      </c>
      <c r="AH1043" s="4" t="s">
        <v>976</v>
      </c>
      <c r="AI1043" s="4" t="s">
        <v>977</v>
      </c>
      <c r="AL1043" s="4" t="s">
        <v>978</v>
      </c>
      <c r="AM1043" s="4">
        <v>7.65</v>
      </c>
      <c r="AO1043" s="4">
        <v>31</v>
      </c>
      <c r="DO1043" s="4">
        <v>3</v>
      </c>
    </row>
    <row r="1044" customHeight="1" spans="1:179">
      <c r="A1044" s="39">
        <v>31</v>
      </c>
      <c r="B1044" s="4" t="s">
        <v>969</v>
      </c>
      <c r="C1044" s="5" t="s">
        <v>979</v>
      </c>
      <c r="D1044" s="4" t="s">
        <v>980</v>
      </c>
      <c r="E1044" s="4" t="s">
        <v>981</v>
      </c>
      <c r="I1044" s="4" t="s">
        <v>982</v>
      </c>
      <c r="N1044" s="4" t="s">
        <v>567</v>
      </c>
      <c r="O1044" s="4" t="s">
        <v>343</v>
      </c>
      <c r="AE1044" s="4" t="s">
        <v>983</v>
      </c>
      <c r="AF1044" s="4" t="s">
        <v>984</v>
      </c>
      <c r="AH1044" s="4" t="s">
        <v>976</v>
      </c>
      <c r="AI1044" s="4" t="s">
        <v>977</v>
      </c>
      <c r="AL1044" s="4" t="s">
        <v>978</v>
      </c>
      <c r="AM1044" s="4">
        <v>7.65</v>
      </c>
      <c r="AO1044" s="4">
        <v>31</v>
      </c>
      <c r="DO1044" s="4">
        <v>3</v>
      </c>
    </row>
    <row r="1045" customHeight="1" spans="1:179">
      <c r="A1045" s="3">
        <v>32</v>
      </c>
      <c r="B1045" s="4" t="s">
        <v>985</v>
      </c>
      <c r="C1045" s="5" t="s">
        <v>986</v>
      </c>
      <c r="D1045" s="4" t="s">
        <v>300</v>
      </c>
      <c r="N1045" s="4" t="s">
        <v>567</v>
      </c>
      <c r="O1045" s="4" t="s">
        <v>343</v>
      </c>
      <c r="P1045" s="4">
        <v>2</v>
      </c>
      <c r="Q1045" s="4" t="s">
        <v>540</v>
      </c>
      <c r="AB1045" s="4" t="s">
        <v>987</v>
      </c>
      <c r="AC1045" s="4" t="s">
        <v>988</v>
      </c>
      <c r="AD1045" s="4" t="s">
        <v>989</v>
      </c>
      <c r="AH1045" s="4" t="s">
        <v>371</v>
      </c>
      <c r="AI1045" s="4" t="s">
        <v>990</v>
      </c>
      <c r="AM1045" s="4">
        <v>8.1</v>
      </c>
      <c r="AN1045" s="4" t="s">
        <v>574</v>
      </c>
      <c r="AQ1045" s="4" t="s">
        <v>424</v>
      </c>
      <c r="AR1045" s="4">
        <v>13.5</v>
      </c>
      <c r="AS1045" s="4" t="s">
        <v>8</v>
      </c>
      <c r="AT1045" s="4">
        <v>23.5</v>
      </c>
      <c r="BI1045" s="4" t="s">
        <v>321</v>
      </c>
      <c r="BK1045" s="4">
        <v>25</v>
      </c>
      <c r="BL1045" s="4">
        <v>1</v>
      </c>
      <c r="BM1045" s="4">
        <v>0.1</v>
      </c>
      <c r="BO1045" s="4">
        <v>0.1</v>
      </c>
      <c r="BS1045" s="4" t="s">
        <v>991</v>
      </c>
      <c r="BU1045" s="4">
        <v>250</v>
      </c>
      <c r="BV1045" s="4" t="s">
        <v>992</v>
      </c>
      <c r="BW1045" s="4">
        <v>25</v>
      </c>
      <c r="CB1045" s="4" t="s">
        <v>429</v>
      </c>
      <c r="CD1045" s="4">
        <v>200</v>
      </c>
      <c r="CX1045" s="4" t="s">
        <v>314</v>
      </c>
      <c r="CZ1045" s="4" t="s">
        <v>590</v>
      </c>
      <c r="DA1045" s="4" t="s">
        <v>993</v>
      </c>
      <c r="DO1045" s="4">
        <v>3</v>
      </c>
    </row>
    <row r="1046" customHeight="1" spans="1:179">
      <c r="A1046" s="3">
        <v>32</v>
      </c>
      <c r="B1046" s="4" t="s">
        <v>985</v>
      </c>
      <c r="C1046" s="5" t="s">
        <v>986</v>
      </c>
      <c r="D1046" s="4" t="s">
        <v>300</v>
      </c>
      <c r="N1046" s="4" t="s">
        <v>567</v>
      </c>
      <c r="O1046" s="4" t="s">
        <v>343</v>
      </c>
      <c r="P1046" s="4">
        <v>2</v>
      </c>
      <c r="Q1046" s="4" t="s">
        <v>540</v>
      </c>
      <c r="AB1046" s="4" t="s">
        <v>987</v>
      </c>
      <c r="AC1046" s="4" t="s">
        <v>988</v>
      </c>
      <c r="AD1046" s="4" t="s">
        <v>989</v>
      </c>
      <c r="AH1046" s="4" t="s">
        <v>371</v>
      </c>
      <c r="AI1046" s="4" t="s">
        <v>990</v>
      </c>
      <c r="AM1046" s="4">
        <v>8.1</v>
      </c>
      <c r="AN1046" s="4" t="s">
        <v>574</v>
      </c>
      <c r="AQ1046" s="4" t="s">
        <v>424</v>
      </c>
      <c r="AR1046" s="4">
        <v>13.5</v>
      </c>
      <c r="AS1046" s="4" t="s">
        <v>8</v>
      </c>
      <c r="AT1046" s="4">
        <v>23.5</v>
      </c>
      <c r="BI1046" s="4" t="s">
        <v>321</v>
      </c>
      <c r="BK1046" s="4">
        <v>25</v>
      </c>
      <c r="BL1046" s="4">
        <v>1</v>
      </c>
      <c r="BM1046" s="4">
        <v>0.1</v>
      </c>
      <c r="BO1046" s="4">
        <v>0.1</v>
      </c>
      <c r="BS1046" s="4" t="s">
        <v>991</v>
      </c>
      <c r="BU1046" s="4">
        <v>250</v>
      </c>
      <c r="BV1046" s="4" t="s">
        <v>992</v>
      </c>
      <c r="BW1046" s="4">
        <v>25</v>
      </c>
      <c r="CB1046" s="4" t="s">
        <v>372</v>
      </c>
      <c r="CD1046" s="4">
        <v>200</v>
      </c>
      <c r="CX1046" s="4" t="s">
        <v>314</v>
      </c>
      <c r="CZ1046" s="4" t="s">
        <v>590</v>
      </c>
      <c r="DA1046" s="4" t="s">
        <v>993</v>
      </c>
      <c r="DO1046" s="4">
        <v>3</v>
      </c>
      <c r="EL1046" s="1">
        <v>22.49</v>
      </c>
      <c r="EM1046" s="1">
        <v>1.05</v>
      </c>
      <c r="ER1046" s="1">
        <f>EL1046/200*100</f>
        <v>11.245</v>
      </c>
      <c r="ES1046" s="1">
        <v>11.245</v>
      </c>
      <c r="FP1046" s="1">
        <v>10.11</v>
      </c>
      <c r="FQ1046" s="1">
        <v>0.68</v>
      </c>
      <c r="FW1046" s="1">
        <v>5.05</v>
      </c>
    </row>
    <row r="1047" customHeight="1" spans="1:179">
      <c r="A1047" s="3">
        <v>32</v>
      </c>
      <c r="B1047" s="4" t="s">
        <v>985</v>
      </c>
      <c r="C1047" s="5" t="s">
        <v>986</v>
      </c>
      <c r="D1047" s="4" t="s">
        <v>300</v>
      </c>
      <c r="N1047" s="4" t="s">
        <v>567</v>
      </c>
      <c r="O1047" s="4" t="s">
        <v>343</v>
      </c>
      <c r="P1047" s="4">
        <v>2</v>
      </c>
      <c r="Q1047" s="4" t="s">
        <v>540</v>
      </c>
      <c r="AB1047" s="4" t="s">
        <v>987</v>
      </c>
      <c r="AC1047" s="4" t="s">
        <v>988</v>
      </c>
      <c r="AD1047" s="4" t="s">
        <v>989</v>
      </c>
      <c r="AH1047" s="4" t="s">
        <v>371</v>
      </c>
      <c r="AI1047" s="4" t="s">
        <v>990</v>
      </c>
      <c r="AM1047" s="4">
        <v>8.1</v>
      </c>
      <c r="AN1047" s="4" t="s">
        <v>574</v>
      </c>
      <c r="AQ1047" s="4" t="s">
        <v>424</v>
      </c>
      <c r="AR1047" s="4">
        <v>13.5</v>
      </c>
      <c r="AS1047" s="4" t="s">
        <v>8</v>
      </c>
      <c r="AT1047" s="4">
        <v>23.5</v>
      </c>
      <c r="BI1047" s="4" t="s">
        <v>321</v>
      </c>
      <c r="BK1047" s="4">
        <v>25</v>
      </c>
      <c r="BL1047" s="4">
        <v>1</v>
      </c>
      <c r="BM1047" s="4">
        <v>0.1</v>
      </c>
      <c r="BO1047" s="4">
        <v>0.1</v>
      </c>
      <c r="BS1047" s="4" t="s">
        <v>991</v>
      </c>
      <c r="BU1047" s="4">
        <v>250</v>
      </c>
      <c r="BW1047" s="4">
        <v>25</v>
      </c>
      <c r="CB1047" s="4" t="s">
        <v>429</v>
      </c>
      <c r="CD1047" s="4" t="s">
        <v>994</v>
      </c>
      <c r="DB1047" s="4" t="s">
        <v>951</v>
      </c>
      <c r="DD1047" s="4">
        <v>38.2</v>
      </c>
      <c r="DE1047" s="4">
        <v>40.1</v>
      </c>
      <c r="DO1047" s="4">
        <v>3</v>
      </c>
      <c r="FP1047" s="4">
        <v>38.2</v>
      </c>
    </row>
    <row r="1048" customHeight="1" spans="1:179">
      <c r="A1048" s="3">
        <v>32</v>
      </c>
      <c r="B1048" s="4" t="s">
        <v>985</v>
      </c>
      <c r="C1048" s="5" t="s">
        <v>986</v>
      </c>
      <c r="D1048" s="4" t="s">
        <v>300</v>
      </c>
      <c r="N1048" s="4" t="s">
        <v>567</v>
      </c>
      <c r="O1048" s="4" t="s">
        <v>343</v>
      </c>
      <c r="P1048" s="4">
        <v>2</v>
      </c>
      <c r="Q1048" s="4" t="s">
        <v>540</v>
      </c>
      <c r="AB1048" s="4" t="s">
        <v>987</v>
      </c>
      <c r="AC1048" s="4" t="s">
        <v>988</v>
      </c>
      <c r="AD1048" s="4" t="s">
        <v>989</v>
      </c>
      <c r="AH1048" s="4" t="s">
        <v>371</v>
      </c>
      <c r="AI1048" s="4" t="s">
        <v>990</v>
      </c>
      <c r="AM1048" s="4">
        <v>8.1</v>
      </c>
      <c r="AN1048" s="4" t="s">
        <v>574</v>
      </c>
      <c r="AQ1048" s="4" t="s">
        <v>424</v>
      </c>
      <c r="AR1048" s="4">
        <v>13.5</v>
      </c>
      <c r="AS1048" s="4" t="s">
        <v>8</v>
      </c>
      <c r="AT1048" s="4">
        <v>23.5</v>
      </c>
      <c r="BI1048" s="4" t="s">
        <v>321</v>
      </c>
      <c r="BK1048" s="4">
        <v>25</v>
      </c>
      <c r="BL1048" s="4">
        <v>1</v>
      </c>
      <c r="BM1048" s="4">
        <v>0.1</v>
      </c>
      <c r="BO1048" s="4">
        <v>0.1</v>
      </c>
      <c r="BS1048" s="4" t="s">
        <v>991</v>
      </c>
      <c r="BU1048" s="4">
        <v>250</v>
      </c>
      <c r="BW1048" s="4">
        <v>25</v>
      </c>
      <c r="CB1048" s="4" t="s">
        <v>372</v>
      </c>
      <c r="CD1048" s="4" t="s">
        <v>994</v>
      </c>
      <c r="DB1048" s="4" t="s">
        <v>951</v>
      </c>
      <c r="DD1048" s="4">
        <v>6.8</v>
      </c>
      <c r="DE1048" s="4">
        <v>14.28</v>
      </c>
      <c r="DO1048" s="4">
        <v>3</v>
      </c>
      <c r="EL1048" s="4">
        <v>6.8</v>
      </c>
    </row>
    <row r="1049" customHeight="1" spans="1:179">
      <c r="A1049" s="3">
        <v>32</v>
      </c>
      <c r="B1049" s="4" t="s">
        <v>985</v>
      </c>
      <c r="C1049" s="5" t="s">
        <v>995</v>
      </c>
      <c r="D1049" s="4" t="s">
        <v>996</v>
      </c>
      <c r="E1049" s="4" t="s">
        <v>997</v>
      </c>
      <c r="H1049" s="4" t="s">
        <v>328</v>
      </c>
      <c r="I1049" s="4" t="s">
        <v>998</v>
      </c>
      <c r="N1049" s="4" t="s">
        <v>567</v>
      </c>
      <c r="O1049" s="4" t="s">
        <v>343</v>
      </c>
      <c r="P1049" s="4">
        <v>2</v>
      </c>
      <c r="Q1049" s="4" t="s">
        <v>540</v>
      </c>
      <c r="X1049" s="4">
        <v>0.7438</v>
      </c>
      <c r="AB1049" s="4" t="s">
        <v>999</v>
      </c>
      <c r="AH1049" s="4" t="s">
        <v>371</v>
      </c>
      <c r="AI1049" s="4" t="s">
        <v>990</v>
      </c>
      <c r="AM1049" s="4">
        <v>8.1</v>
      </c>
      <c r="AN1049" s="4" t="s">
        <v>574</v>
      </c>
      <c r="AQ1049" s="4" t="s">
        <v>424</v>
      </c>
      <c r="AR1049" s="4">
        <v>13.5</v>
      </c>
      <c r="AS1049" s="4" t="s">
        <v>8</v>
      </c>
      <c r="AT1049" s="4">
        <v>23.5</v>
      </c>
      <c r="BI1049" s="4" t="s">
        <v>321</v>
      </c>
      <c r="BK1049" s="4">
        <v>25</v>
      </c>
      <c r="BL1049" s="4">
        <v>1</v>
      </c>
      <c r="BM1049" s="4">
        <v>0.1</v>
      </c>
      <c r="BO1049" s="4">
        <v>0.1</v>
      </c>
      <c r="BS1049" s="4" t="s">
        <v>991</v>
      </c>
      <c r="BU1049" s="4">
        <v>250</v>
      </c>
      <c r="BV1049" s="4" t="s">
        <v>992</v>
      </c>
      <c r="BW1049" s="4">
        <v>25</v>
      </c>
      <c r="CB1049" s="4" t="s">
        <v>429</v>
      </c>
      <c r="CD1049" s="4">
        <v>200</v>
      </c>
      <c r="CX1049" s="4" t="s">
        <v>314</v>
      </c>
      <c r="CZ1049" s="4" t="s">
        <v>328</v>
      </c>
      <c r="DA1049" s="4" t="s">
        <v>1000</v>
      </c>
      <c r="DO1049" s="4">
        <v>3</v>
      </c>
      <c r="EL1049" s="1">
        <v>59.12</v>
      </c>
      <c r="EM1049" s="1">
        <v>1.05</v>
      </c>
      <c r="ER1049" s="1">
        <f>EL1049/200*100</f>
        <v>29.56</v>
      </c>
      <c r="ES1049" s="1">
        <v>29.56</v>
      </c>
      <c r="FP1049" s="1">
        <v>29.28</v>
      </c>
      <c r="FQ1049" s="1">
        <v>0.5</v>
      </c>
      <c r="FW1049" s="1">
        <v>14.64</v>
      </c>
    </row>
    <row r="1050" customHeight="1" spans="1:179">
      <c r="A1050" s="3">
        <v>32</v>
      </c>
      <c r="B1050" s="4" t="s">
        <v>985</v>
      </c>
      <c r="C1050" s="5" t="s">
        <v>995</v>
      </c>
      <c r="D1050" s="4" t="s">
        <v>996</v>
      </c>
      <c r="E1050" s="4" t="s">
        <v>997</v>
      </c>
      <c r="H1050" s="4" t="s">
        <v>328</v>
      </c>
      <c r="I1050" s="4" t="s">
        <v>998</v>
      </c>
      <c r="N1050" s="4" t="s">
        <v>567</v>
      </c>
      <c r="O1050" s="4" t="s">
        <v>343</v>
      </c>
      <c r="P1050" s="4">
        <v>2</v>
      </c>
      <c r="Q1050" s="4" t="s">
        <v>540</v>
      </c>
      <c r="X1050" s="4">
        <v>0.7438</v>
      </c>
      <c r="AB1050" s="4" t="s">
        <v>999</v>
      </c>
      <c r="AH1050" s="4" t="s">
        <v>371</v>
      </c>
      <c r="AI1050" s="4" t="s">
        <v>990</v>
      </c>
      <c r="AM1050" s="4">
        <v>8.1</v>
      </c>
      <c r="AN1050" s="4" t="s">
        <v>574</v>
      </c>
      <c r="AQ1050" s="4" t="s">
        <v>424</v>
      </c>
      <c r="AR1050" s="4">
        <v>13.5</v>
      </c>
      <c r="AS1050" s="4" t="s">
        <v>8</v>
      </c>
      <c r="AT1050" s="4">
        <v>23.5</v>
      </c>
      <c r="BI1050" s="4" t="s">
        <v>321</v>
      </c>
      <c r="BK1050" s="4">
        <v>25</v>
      </c>
      <c r="BL1050" s="4">
        <v>1</v>
      </c>
      <c r="BM1050" s="4">
        <v>0.1</v>
      </c>
      <c r="BO1050" s="4">
        <v>0.1</v>
      </c>
      <c r="BS1050" s="4" t="s">
        <v>991</v>
      </c>
      <c r="BU1050" s="4">
        <v>250</v>
      </c>
      <c r="BV1050" s="4" t="s">
        <v>992</v>
      </c>
      <c r="BW1050" s="4">
        <v>25</v>
      </c>
      <c r="CB1050" s="4" t="s">
        <v>372</v>
      </c>
      <c r="CD1050" s="4">
        <v>200</v>
      </c>
      <c r="CX1050" s="4" t="s">
        <v>314</v>
      </c>
      <c r="CZ1050" s="4" t="s">
        <v>328</v>
      </c>
      <c r="DA1050" s="4" t="s">
        <v>1000</v>
      </c>
      <c r="DO1050" s="4">
        <v>3</v>
      </c>
    </row>
    <row r="1051" customHeight="1" spans="1:179">
      <c r="A1051" s="3">
        <v>32</v>
      </c>
      <c r="B1051" s="4" t="s">
        <v>985</v>
      </c>
      <c r="C1051" s="5" t="s">
        <v>995</v>
      </c>
      <c r="D1051" s="4" t="s">
        <v>996</v>
      </c>
      <c r="E1051" s="4" t="s">
        <v>997</v>
      </c>
      <c r="H1051" s="4" t="s">
        <v>328</v>
      </c>
      <c r="I1051" s="4" t="s">
        <v>998</v>
      </c>
      <c r="N1051" s="4" t="s">
        <v>567</v>
      </c>
      <c r="O1051" s="4" t="s">
        <v>343</v>
      </c>
      <c r="P1051" s="4">
        <v>2</v>
      </c>
      <c r="Q1051" s="4" t="s">
        <v>540</v>
      </c>
      <c r="X1051" s="4">
        <v>0.7438</v>
      </c>
      <c r="AB1051" s="4" t="s">
        <v>999</v>
      </c>
      <c r="AH1051" s="4" t="s">
        <v>371</v>
      </c>
      <c r="AI1051" s="4" t="s">
        <v>990</v>
      </c>
      <c r="AM1051" s="4">
        <v>8.1</v>
      </c>
      <c r="AN1051" s="4" t="s">
        <v>574</v>
      </c>
      <c r="AQ1051" s="4" t="s">
        <v>424</v>
      </c>
      <c r="AR1051" s="4">
        <v>13.5</v>
      </c>
      <c r="AS1051" s="4" t="s">
        <v>8</v>
      </c>
      <c r="AT1051" s="4">
        <v>23.5</v>
      </c>
      <c r="BI1051" s="4" t="s">
        <v>321</v>
      </c>
      <c r="BK1051" s="4">
        <v>25</v>
      </c>
      <c r="BL1051" s="4">
        <v>1</v>
      </c>
      <c r="BM1051" s="4">
        <v>0.1</v>
      </c>
      <c r="BO1051" s="4">
        <v>0.1</v>
      </c>
      <c r="BS1051" s="4" t="s">
        <v>991</v>
      </c>
      <c r="BU1051" s="4">
        <v>250</v>
      </c>
      <c r="BW1051" s="4">
        <v>25</v>
      </c>
      <c r="CB1051" s="4" t="s">
        <v>429</v>
      </c>
      <c r="CD1051" s="4" t="s">
        <v>994</v>
      </c>
      <c r="DB1051" s="4" t="s">
        <v>951</v>
      </c>
      <c r="DD1051" s="4">
        <v>69.8</v>
      </c>
      <c r="DE1051" s="4">
        <v>62.11</v>
      </c>
      <c r="DO1051" s="4">
        <v>3</v>
      </c>
      <c r="FP1051" s="4">
        <v>69.8</v>
      </c>
    </row>
    <row r="1052" customHeight="1" spans="1:179">
      <c r="A1052" s="3">
        <v>32</v>
      </c>
      <c r="B1052" s="4" t="s">
        <v>985</v>
      </c>
      <c r="C1052" s="5" t="s">
        <v>995</v>
      </c>
      <c r="D1052" s="4" t="s">
        <v>996</v>
      </c>
      <c r="E1052" s="4" t="s">
        <v>997</v>
      </c>
      <c r="H1052" s="4" t="s">
        <v>328</v>
      </c>
      <c r="I1052" s="4" t="s">
        <v>998</v>
      </c>
      <c r="N1052" s="4" t="s">
        <v>567</v>
      </c>
      <c r="O1052" s="4" t="s">
        <v>343</v>
      </c>
      <c r="P1052" s="4">
        <v>2</v>
      </c>
      <c r="Q1052" s="4" t="s">
        <v>540</v>
      </c>
      <c r="X1052" s="4">
        <v>0.7438</v>
      </c>
      <c r="AB1052" s="4" t="s">
        <v>999</v>
      </c>
      <c r="AH1052" s="4" t="s">
        <v>371</v>
      </c>
      <c r="AI1052" s="4" t="s">
        <v>990</v>
      </c>
      <c r="AM1052" s="4">
        <v>8.1</v>
      </c>
      <c r="AN1052" s="4" t="s">
        <v>574</v>
      </c>
      <c r="AQ1052" s="4" t="s">
        <v>424</v>
      </c>
      <c r="AR1052" s="4">
        <v>13.5</v>
      </c>
      <c r="AS1052" s="4" t="s">
        <v>8</v>
      </c>
      <c r="AT1052" s="4">
        <v>23.5</v>
      </c>
      <c r="BI1052" s="4" t="s">
        <v>321</v>
      </c>
      <c r="BK1052" s="4">
        <v>25</v>
      </c>
      <c r="BL1052" s="4">
        <v>1</v>
      </c>
      <c r="BM1052" s="4">
        <v>0.1</v>
      </c>
      <c r="BO1052" s="4">
        <v>0.1</v>
      </c>
      <c r="BS1052" s="4" t="s">
        <v>991</v>
      </c>
      <c r="BU1052" s="4">
        <v>250</v>
      </c>
      <c r="BW1052" s="4">
        <v>25</v>
      </c>
      <c r="CB1052" s="4" t="s">
        <v>372</v>
      </c>
      <c r="CD1052" s="4" t="s">
        <v>994</v>
      </c>
      <c r="DB1052" s="4" t="s">
        <v>951</v>
      </c>
      <c r="DD1052" s="4">
        <v>27.5</v>
      </c>
      <c r="DE1052" s="4">
        <v>28.82</v>
      </c>
      <c r="DO1052" s="4">
        <v>3</v>
      </c>
      <c r="EL1052" s="4">
        <v>27.5</v>
      </c>
    </row>
    <row r="1053" customHeight="1" spans="1:179">
      <c r="A1053" s="3">
        <v>32</v>
      </c>
      <c r="B1053" s="4" t="s">
        <v>985</v>
      </c>
      <c r="C1053" s="5" t="s">
        <v>995</v>
      </c>
      <c r="D1053" s="4" t="s">
        <v>996</v>
      </c>
      <c r="E1053" s="4" t="s">
        <v>997</v>
      </c>
      <c r="H1053" s="4" t="s">
        <v>328</v>
      </c>
      <c r="I1053" s="4" t="s">
        <v>998</v>
      </c>
      <c r="N1053" s="4" t="s">
        <v>567</v>
      </c>
      <c r="O1053" s="4" t="s">
        <v>343</v>
      </c>
      <c r="P1053" s="4">
        <v>2</v>
      </c>
      <c r="Q1053" s="4" t="s">
        <v>540</v>
      </c>
      <c r="X1053" s="4">
        <v>0.7438</v>
      </c>
      <c r="AB1053" s="4" t="s">
        <v>999</v>
      </c>
      <c r="AH1053" s="4" t="s">
        <v>371</v>
      </c>
      <c r="AI1053" s="4" t="s">
        <v>990</v>
      </c>
      <c r="AM1053" s="4">
        <v>8.1</v>
      </c>
      <c r="AN1053" s="4" t="s">
        <v>574</v>
      </c>
      <c r="AQ1053" s="4" t="s">
        <v>424</v>
      </c>
      <c r="AR1053" s="4">
        <v>13.5</v>
      </c>
      <c r="AS1053" s="4" t="s">
        <v>8</v>
      </c>
      <c r="AT1053" s="4">
        <v>23.5</v>
      </c>
      <c r="BI1053" s="4" t="s">
        <v>321</v>
      </c>
      <c r="BK1053" s="4">
        <v>25</v>
      </c>
      <c r="BL1053" s="4">
        <v>1</v>
      </c>
      <c r="BM1053" s="4">
        <v>0.1</v>
      </c>
      <c r="BN1053" s="4">
        <v>4</v>
      </c>
      <c r="BO1053" s="4">
        <v>0.1</v>
      </c>
      <c r="BS1053" s="4" t="s">
        <v>991</v>
      </c>
      <c r="BU1053" s="4">
        <v>250</v>
      </c>
      <c r="BW1053" s="4">
        <v>25</v>
      </c>
      <c r="CB1053" s="4" t="s">
        <v>429</v>
      </c>
      <c r="CD1053" s="4">
        <v>100</v>
      </c>
      <c r="CR1053" s="4" t="s">
        <v>512</v>
      </c>
      <c r="CT1053" s="4">
        <v>100</v>
      </c>
      <c r="DO1053" s="4">
        <v>3</v>
      </c>
      <c r="FT1053" s="4">
        <v>92.79</v>
      </c>
      <c r="FW1053" s="4">
        <v>92.79</v>
      </c>
    </row>
    <row r="1054" customHeight="1" spans="1:179">
      <c r="A1054" s="3">
        <v>32</v>
      </c>
      <c r="B1054" s="4" t="s">
        <v>985</v>
      </c>
      <c r="C1054" s="5" t="s">
        <v>995</v>
      </c>
      <c r="D1054" s="4" t="s">
        <v>996</v>
      </c>
      <c r="E1054" s="4" t="s">
        <v>997</v>
      </c>
      <c r="H1054" s="4" t="s">
        <v>328</v>
      </c>
      <c r="I1054" s="4" t="s">
        <v>998</v>
      </c>
      <c r="N1054" s="4" t="s">
        <v>567</v>
      </c>
      <c r="O1054" s="4" t="s">
        <v>343</v>
      </c>
      <c r="P1054" s="4">
        <v>2</v>
      </c>
      <c r="Q1054" s="4" t="s">
        <v>540</v>
      </c>
      <c r="X1054" s="4">
        <v>0.7438</v>
      </c>
      <c r="AB1054" s="4" t="s">
        <v>999</v>
      </c>
      <c r="AH1054" s="4" t="s">
        <v>371</v>
      </c>
      <c r="AI1054" s="4" t="s">
        <v>990</v>
      </c>
      <c r="AM1054" s="4">
        <v>8.1</v>
      </c>
      <c r="AN1054" s="4" t="s">
        <v>574</v>
      </c>
      <c r="AQ1054" s="4" t="s">
        <v>424</v>
      </c>
      <c r="AR1054" s="4">
        <v>13.5</v>
      </c>
      <c r="AS1054" s="4" t="s">
        <v>8</v>
      </c>
      <c r="AT1054" s="4">
        <v>23.5</v>
      </c>
      <c r="BI1054" s="4" t="s">
        <v>321</v>
      </c>
      <c r="BK1054" s="4">
        <v>25</v>
      </c>
      <c r="BL1054" s="4">
        <v>1</v>
      </c>
      <c r="BM1054" s="4">
        <v>0.1</v>
      </c>
      <c r="BN1054" s="4">
        <v>4</v>
      </c>
      <c r="BO1054" s="4">
        <v>0.1</v>
      </c>
      <c r="BS1054" s="4" t="s">
        <v>991</v>
      </c>
      <c r="BU1054" s="4">
        <v>250</v>
      </c>
      <c r="BW1054" s="4">
        <v>25</v>
      </c>
      <c r="CB1054" s="4" t="s">
        <v>8</v>
      </c>
      <c r="CD1054" s="4">
        <v>100</v>
      </c>
      <c r="CR1054" s="4" t="s">
        <v>512</v>
      </c>
      <c r="CT1054" s="4">
        <v>100</v>
      </c>
      <c r="DO1054" s="4">
        <v>3</v>
      </c>
      <c r="EP1054" s="4">
        <v>94.98</v>
      </c>
      <c r="ES1054" s="4">
        <v>94.98</v>
      </c>
    </row>
    <row r="1055" customHeight="1" spans="1:179">
      <c r="A1055" s="3">
        <v>32</v>
      </c>
      <c r="B1055" s="4" t="s">
        <v>985</v>
      </c>
      <c r="C1055" s="5" t="s">
        <v>995</v>
      </c>
      <c r="D1055" s="4" t="s">
        <v>996</v>
      </c>
      <c r="E1055" s="4" t="s">
        <v>997</v>
      </c>
      <c r="H1055" s="4" t="s">
        <v>328</v>
      </c>
      <c r="I1055" s="4" t="s">
        <v>998</v>
      </c>
      <c r="N1055" s="4" t="s">
        <v>567</v>
      </c>
      <c r="O1055" s="4" t="s">
        <v>343</v>
      </c>
      <c r="P1055" s="4">
        <v>2</v>
      </c>
      <c r="Q1055" s="4" t="s">
        <v>540</v>
      </c>
      <c r="X1055" s="4">
        <v>0.7438</v>
      </c>
      <c r="AB1055" s="4" t="s">
        <v>999</v>
      </c>
      <c r="AH1055" s="4" t="s">
        <v>371</v>
      </c>
      <c r="AI1055" s="4" t="s">
        <v>990</v>
      </c>
      <c r="AM1055" s="4">
        <v>8.1</v>
      </c>
      <c r="AN1055" s="4" t="s">
        <v>574</v>
      </c>
      <c r="AQ1055" s="4" t="s">
        <v>424</v>
      </c>
      <c r="AR1055" s="4">
        <v>13.5</v>
      </c>
      <c r="AS1055" s="4" t="s">
        <v>8</v>
      </c>
      <c r="AT1055" s="4">
        <v>23.5</v>
      </c>
      <c r="BI1055" s="4" t="s">
        <v>321</v>
      </c>
      <c r="BK1055" s="4">
        <v>25</v>
      </c>
      <c r="BL1055" s="4">
        <v>1</v>
      </c>
      <c r="BM1055" s="4">
        <v>0.1</v>
      </c>
      <c r="BN1055" s="4">
        <v>4</v>
      </c>
      <c r="BO1055" s="4">
        <v>0.1</v>
      </c>
      <c r="BS1055" s="4" t="s">
        <v>991</v>
      </c>
      <c r="BU1055" s="4">
        <v>250</v>
      </c>
      <c r="BW1055" s="4">
        <v>25</v>
      </c>
      <c r="CB1055" s="4" t="s">
        <v>429</v>
      </c>
      <c r="CD1055" s="4">
        <v>15</v>
      </c>
      <c r="CR1055" s="4" t="s">
        <v>8</v>
      </c>
      <c r="CT1055" s="4">
        <v>15</v>
      </c>
      <c r="DO1055" s="4">
        <v>3</v>
      </c>
      <c r="EL1055" s="36">
        <v>7.24</v>
      </c>
      <c r="EM1055" s="36">
        <v>2.47</v>
      </c>
      <c r="ER1055" s="1">
        <f>EL1055/CD1055*100</f>
        <v>48.2666666666667</v>
      </c>
      <c r="ES1055" s="1">
        <v>48.2666666666667</v>
      </c>
      <c r="FP1055" s="36">
        <v>9.53</v>
      </c>
      <c r="FQ1055" s="36">
        <v>2.82</v>
      </c>
      <c r="FT1055" s="4">
        <v>50</v>
      </c>
      <c r="FW1055" s="4">
        <v>50</v>
      </c>
    </row>
    <row r="1056" customHeight="1" spans="1:179">
      <c r="A1056" s="3">
        <v>32</v>
      </c>
      <c r="B1056" s="4" t="s">
        <v>985</v>
      </c>
      <c r="C1056" s="5" t="s">
        <v>995</v>
      </c>
      <c r="D1056" s="4" t="s">
        <v>996</v>
      </c>
      <c r="E1056" s="4" t="s">
        <v>997</v>
      </c>
      <c r="H1056" s="4" t="s">
        <v>328</v>
      </c>
      <c r="I1056" s="4" t="s">
        <v>998</v>
      </c>
      <c r="N1056" s="4" t="s">
        <v>567</v>
      </c>
      <c r="O1056" s="4" t="s">
        <v>343</v>
      </c>
      <c r="P1056" s="4">
        <v>2</v>
      </c>
      <c r="Q1056" s="4" t="s">
        <v>540</v>
      </c>
      <c r="X1056" s="4">
        <v>0.7438</v>
      </c>
      <c r="AB1056" s="4" t="s">
        <v>999</v>
      </c>
      <c r="AH1056" s="4" t="s">
        <v>371</v>
      </c>
      <c r="AI1056" s="4" t="s">
        <v>990</v>
      </c>
      <c r="AM1056" s="4">
        <v>8.1</v>
      </c>
      <c r="AN1056" s="4" t="s">
        <v>574</v>
      </c>
      <c r="AQ1056" s="4" t="s">
        <v>424</v>
      </c>
      <c r="AR1056" s="4">
        <v>13.5</v>
      </c>
      <c r="AS1056" s="4" t="s">
        <v>8</v>
      </c>
      <c r="AT1056" s="4">
        <v>23.5</v>
      </c>
      <c r="BI1056" s="4" t="s">
        <v>321</v>
      </c>
      <c r="BK1056" s="4">
        <v>25</v>
      </c>
      <c r="BL1056" s="4">
        <v>1</v>
      </c>
      <c r="BM1056" s="4">
        <v>0.1</v>
      </c>
      <c r="BN1056" s="4">
        <v>4</v>
      </c>
      <c r="BO1056" s="4">
        <v>0.1</v>
      </c>
      <c r="BS1056" s="4" t="s">
        <v>991</v>
      </c>
      <c r="BU1056" s="4">
        <v>250</v>
      </c>
      <c r="BW1056" s="4">
        <v>25</v>
      </c>
      <c r="CB1056" s="4" t="s">
        <v>429</v>
      </c>
      <c r="CD1056" s="4">
        <v>35</v>
      </c>
      <c r="CR1056" s="4" t="s">
        <v>8</v>
      </c>
      <c r="CT1056" s="4">
        <v>35</v>
      </c>
      <c r="DO1056" s="4">
        <v>3</v>
      </c>
      <c r="EL1056" s="36">
        <v>12</v>
      </c>
      <c r="EM1056" s="36">
        <v>2.82</v>
      </c>
      <c r="ER1056" s="1">
        <f>EL1056/CD1056*100</f>
        <v>34.2857142857143</v>
      </c>
      <c r="ES1056" s="1">
        <v>34.2857142857143</v>
      </c>
      <c r="FP1056" s="36">
        <v>18.53</v>
      </c>
      <c r="FQ1056" s="36">
        <v>2.82</v>
      </c>
      <c r="FT1056" s="4">
        <v>41.85</v>
      </c>
      <c r="FW1056" s="4">
        <v>41.85</v>
      </c>
    </row>
    <row r="1057" customHeight="1" spans="1:179">
      <c r="A1057" s="3">
        <v>32</v>
      </c>
      <c r="B1057" s="4" t="s">
        <v>985</v>
      </c>
      <c r="C1057" s="5" t="s">
        <v>995</v>
      </c>
      <c r="D1057" s="4" t="s">
        <v>996</v>
      </c>
      <c r="E1057" s="4" t="s">
        <v>997</v>
      </c>
      <c r="H1057" s="4" t="s">
        <v>328</v>
      </c>
      <c r="I1057" s="4" t="s">
        <v>998</v>
      </c>
      <c r="N1057" s="4" t="s">
        <v>567</v>
      </c>
      <c r="O1057" s="4" t="s">
        <v>343</v>
      </c>
      <c r="P1057" s="4">
        <v>2</v>
      </c>
      <c r="Q1057" s="4" t="s">
        <v>540</v>
      </c>
      <c r="X1057" s="4">
        <v>0.7438</v>
      </c>
      <c r="AB1057" s="4" t="s">
        <v>999</v>
      </c>
      <c r="AH1057" s="4" t="s">
        <v>371</v>
      </c>
      <c r="AI1057" s="4" t="s">
        <v>990</v>
      </c>
      <c r="AM1057" s="4">
        <v>8.1</v>
      </c>
      <c r="AN1057" s="4" t="s">
        <v>574</v>
      </c>
      <c r="AQ1057" s="4" t="s">
        <v>424</v>
      </c>
      <c r="AR1057" s="4">
        <v>13.5</v>
      </c>
      <c r="AS1057" s="4" t="s">
        <v>8</v>
      </c>
      <c r="AT1057" s="4">
        <v>23.5</v>
      </c>
      <c r="BI1057" s="4" t="s">
        <v>321</v>
      </c>
      <c r="BK1057" s="4">
        <v>25</v>
      </c>
      <c r="BL1057" s="4">
        <v>1</v>
      </c>
      <c r="BM1057" s="4">
        <v>0.1</v>
      </c>
      <c r="BN1057" s="4">
        <v>4</v>
      </c>
      <c r="BO1057" s="4">
        <v>0.1</v>
      </c>
      <c r="BS1057" s="4" t="s">
        <v>991</v>
      </c>
      <c r="BU1057" s="4">
        <v>250</v>
      </c>
      <c r="BW1057" s="4">
        <v>25</v>
      </c>
      <c r="CB1057" s="4" t="s">
        <v>429</v>
      </c>
      <c r="CD1057" s="4">
        <v>100</v>
      </c>
      <c r="CR1057" s="4" t="s">
        <v>8</v>
      </c>
      <c r="CT1057" s="4">
        <v>100</v>
      </c>
      <c r="DO1057" s="4">
        <v>3</v>
      </c>
      <c r="EL1057" s="36">
        <v>4.76</v>
      </c>
      <c r="EM1057" s="36">
        <v>2.12</v>
      </c>
      <c r="ER1057" s="1">
        <f>EL1057/CD1057*100</f>
        <v>4.76</v>
      </c>
      <c r="ES1057" s="1">
        <v>4.76</v>
      </c>
      <c r="FP1057" s="36">
        <v>41.47</v>
      </c>
      <c r="FQ1057" s="36">
        <v>3.18</v>
      </c>
      <c r="FT1057" s="4">
        <v>97.96</v>
      </c>
      <c r="FW1057" s="4">
        <v>97.96</v>
      </c>
    </row>
    <row r="1058" customHeight="1" spans="1:179">
      <c r="A1058" s="3">
        <v>32</v>
      </c>
      <c r="B1058" s="4" t="s">
        <v>985</v>
      </c>
      <c r="C1058" s="5" t="s">
        <v>995</v>
      </c>
      <c r="D1058" s="4" t="s">
        <v>996</v>
      </c>
      <c r="E1058" s="4" t="s">
        <v>997</v>
      </c>
      <c r="H1058" s="4" t="s">
        <v>328</v>
      </c>
      <c r="I1058" s="4" t="s">
        <v>998</v>
      </c>
      <c r="N1058" s="4" t="s">
        <v>567</v>
      </c>
      <c r="O1058" s="4" t="s">
        <v>343</v>
      </c>
      <c r="P1058" s="4">
        <v>2</v>
      </c>
      <c r="Q1058" s="4" t="s">
        <v>540</v>
      </c>
      <c r="X1058" s="4">
        <v>0.7438</v>
      </c>
      <c r="AB1058" s="4" t="s">
        <v>999</v>
      </c>
      <c r="AH1058" s="4" t="s">
        <v>371</v>
      </c>
      <c r="AI1058" s="4" t="s">
        <v>990</v>
      </c>
      <c r="AM1058" s="4">
        <v>8.1</v>
      </c>
      <c r="AN1058" s="4" t="s">
        <v>574</v>
      </c>
      <c r="AQ1058" s="4" t="s">
        <v>424</v>
      </c>
      <c r="AR1058" s="4">
        <v>13.5</v>
      </c>
      <c r="AS1058" s="4" t="s">
        <v>8</v>
      </c>
      <c r="AT1058" s="4">
        <v>23.5</v>
      </c>
      <c r="BI1058" s="4" t="s">
        <v>321</v>
      </c>
      <c r="BK1058" s="4">
        <v>25</v>
      </c>
      <c r="BL1058" s="4">
        <v>1</v>
      </c>
      <c r="BM1058" s="4">
        <v>0.1</v>
      </c>
      <c r="BN1058" s="4">
        <v>4</v>
      </c>
      <c r="BO1058" s="4">
        <v>0.1</v>
      </c>
      <c r="BS1058" s="4" t="s">
        <v>991</v>
      </c>
      <c r="BU1058" s="4">
        <v>250</v>
      </c>
      <c r="BW1058" s="4">
        <v>25</v>
      </c>
      <c r="CB1058" s="4" t="s">
        <v>429</v>
      </c>
      <c r="CD1058" s="4">
        <v>200</v>
      </c>
      <c r="CR1058" s="4" t="s">
        <v>8</v>
      </c>
      <c r="CT1058" s="4">
        <v>200</v>
      </c>
      <c r="DO1058" s="4">
        <v>3</v>
      </c>
      <c r="EL1058" s="36">
        <v>3.71</v>
      </c>
      <c r="EM1058" s="36">
        <v>3</v>
      </c>
      <c r="ER1058" s="1">
        <f>EL1058/CD1058*100</f>
        <v>1.855</v>
      </c>
      <c r="ES1058" s="1">
        <v>1.855</v>
      </c>
      <c r="FP1058" s="36">
        <v>58.59</v>
      </c>
      <c r="FQ1058" s="36">
        <v>2.65</v>
      </c>
      <c r="FT1058" s="4">
        <v>97.96</v>
      </c>
      <c r="FW1058" s="4">
        <v>97.96</v>
      </c>
    </row>
    <row r="1059" customHeight="1" spans="1:179">
      <c r="A1059" s="3">
        <v>32</v>
      </c>
      <c r="B1059" s="4" t="s">
        <v>985</v>
      </c>
      <c r="C1059" s="5" t="s">
        <v>995</v>
      </c>
      <c r="D1059" s="4" t="s">
        <v>996</v>
      </c>
      <c r="E1059" s="4" t="s">
        <v>997</v>
      </c>
      <c r="H1059" s="4" t="s">
        <v>328</v>
      </c>
      <c r="I1059" s="4" t="s">
        <v>998</v>
      </c>
      <c r="N1059" s="4" t="s">
        <v>567</v>
      </c>
      <c r="O1059" s="4" t="s">
        <v>343</v>
      </c>
      <c r="P1059" s="4">
        <v>2</v>
      </c>
      <c r="Q1059" s="4" t="s">
        <v>540</v>
      </c>
      <c r="X1059" s="4">
        <v>0.7438</v>
      </c>
      <c r="AB1059" s="4" t="s">
        <v>999</v>
      </c>
      <c r="AH1059" s="4" t="s">
        <v>371</v>
      </c>
      <c r="AI1059" s="4" t="s">
        <v>990</v>
      </c>
      <c r="AM1059" s="4">
        <v>8.1</v>
      </c>
      <c r="AN1059" s="4" t="s">
        <v>574</v>
      </c>
      <c r="AQ1059" s="4" t="s">
        <v>424</v>
      </c>
      <c r="AR1059" s="4">
        <v>13.5</v>
      </c>
      <c r="AS1059" s="4" t="s">
        <v>8</v>
      </c>
      <c r="AT1059" s="4">
        <v>23.5</v>
      </c>
      <c r="BI1059" s="4" t="s">
        <v>321</v>
      </c>
      <c r="BK1059" s="4">
        <v>25</v>
      </c>
      <c r="BL1059" s="4">
        <v>1</v>
      </c>
      <c r="BM1059" s="4">
        <v>0.1</v>
      </c>
      <c r="BN1059" s="4">
        <v>4</v>
      </c>
      <c r="BO1059" s="4">
        <v>0.1</v>
      </c>
      <c r="BS1059" s="4" t="s">
        <v>991</v>
      </c>
      <c r="BU1059" s="4">
        <v>250</v>
      </c>
      <c r="BW1059" s="4">
        <v>25</v>
      </c>
      <c r="CB1059" s="4" t="s">
        <v>429</v>
      </c>
      <c r="CD1059" s="4">
        <v>100</v>
      </c>
      <c r="CR1059" s="4" t="s">
        <v>1001</v>
      </c>
      <c r="CT1059" s="4">
        <v>100</v>
      </c>
      <c r="DO1059" s="4">
        <v>3</v>
      </c>
      <c r="FT1059" s="4">
        <v>88.09</v>
      </c>
      <c r="FW1059" s="4">
        <v>88.09</v>
      </c>
    </row>
    <row r="1060" customHeight="1" spans="1:179">
      <c r="A1060" s="3">
        <v>32</v>
      </c>
      <c r="B1060" s="4" t="s">
        <v>985</v>
      </c>
      <c r="C1060" s="5" t="s">
        <v>995</v>
      </c>
      <c r="D1060" s="4" t="s">
        <v>996</v>
      </c>
      <c r="E1060" s="4" t="s">
        <v>997</v>
      </c>
      <c r="H1060" s="4" t="s">
        <v>328</v>
      </c>
      <c r="I1060" s="4" t="s">
        <v>998</v>
      </c>
      <c r="N1060" s="4" t="s">
        <v>567</v>
      </c>
      <c r="O1060" s="4" t="s">
        <v>343</v>
      </c>
      <c r="P1060" s="4">
        <v>2</v>
      </c>
      <c r="Q1060" s="4" t="s">
        <v>540</v>
      </c>
      <c r="X1060" s="4">
        <v>0.7438</v>
      </c>
      <c r="AB1060" s="4" t="s">
        <v>999</v>
      </c>
      <c r="AH1060" s="4" t="s">
        <v>371</v>
      </c>
      <c r="AI1060" s="4" t="s">
        <v>990</v>
      </c>
      <c r="AM1060" s="4">
        <v>8.1</v>
      </c>
      <c r="AN1060" s="4" t="s">
        <v>574</v>
      </c>
      <c r="AQ1060" s="4" t="s">
        <v>424</v>
      </c>
      <c r="AR1060" s="4">
        <v>13.5</v>
      </c>
      <c r="AS1060" s="4" t="s">
        <v>8</v>
      </c>
      <c r="AT1060" s="4">
        <v>23.5</v>
      </c>
      <c r="BI1060" s="4" t="s">
        <v>321</v>
      </c>
      <c r="BK1060" s="4">
        <v>25</v>
      </c>
      <c r="BL1060" s="4">
        <v>1</v>
      </c>
      <c r="BM1060" s="4">
        <v>0.1</v>
      </c>
      <c r="BN1060" s="4">
        <v>4</v>
      </c>
      <c r="BO1060" s="4">
        <v>0.1</v>
      </c>
      <c r="BS1060" s="4" t="s">
        <v>991</v>
      </c>
      <c r="BU1060" s="4">
        <v>250</v>
      </c>
      <c r="BW1060" s="4">
        <v>25</v>
      </c>
      <c r="CB1060" s="4" t="s">
        <v>429</v>
      </c>
      <c r="CD1060" s="4">
        <v>100</v>
      </c>
      <c r="CR1060" s="4" t="s">
        <v>1002</v>
      </c>
      <c r="CT1060" s="4">
        <v>100</v>
      </c>
      <c r="DO1060" s="4">
        <v>3</v>
      </c>
      <c r="FT1060" s="4">
        <v>88.87</v>
      </c>
      <c r="FW1060" s="4">
        <v>88.87</v>
      </c>
    </row>
    <row r="1061" customHeight="1" spans="1:179">
      <c r="A1061" s="3">
        <v>32</v>
      </c>
      <c r="B1061" s="4" t="s">
        <v>985</v>
      </c>
      <c r="C1061" s="5" t="s">
        <v>995</v>
      </c>
      <c r="D1061" s="4" t="s">
        <v>996</v>
      </c>
      <c r="E1061" s="4" t="s">
        <v>997</v>
      </c>
      <c r="H1061" s="4" t="s">
        <v>328</v>
      </c>
      <c r="I1061" s="4" t="s">
        <v>998</v>
      </c>
      <c r="N1061" s="4" t="s">
        <v>567</v>
      </c>
      <c r="O1061" s="4" t="s">
        <v>343</v>
      </c>
      <c r="P1061" s="4">
        <v>2</v>
      </c>
      <c r="Q1061" s="4" t="s">
        <v>540</v>
      </c>
      <c r="X1061" s="4">
        <v>0.7438</v>
      </c>
      <c r="AB1061" s="4" t="s">
        <v>999</v>
      </c>
      <c r="AH1061" s="4" t="s">
        <v>371</v>
      </c>
      <c r="AI1061" s="4" t="s">
        <v>990</v>
      </c>
      <c r="AM1061" s="4">
        <v>8.1</v>
      </c>
      <c r="AN1061" s="4" t="s">
        <v>574</v>
      </c>
      <c r="AQ1061" s="4" t="s">
        <v>424</v>
      </c>
      <c r="AR1061" s="4">
        <v>13.5</v>
      </c>
      <c r="AS1061" s="4" t="s">
        <v>8</v>
      </c>
      <c r="AT1061" s="4">
        <v>23.5</v>
      </c>
      <c r="BI1061" s="4" t="s">
        <v>321</v>
      </c>
      <c r="BK1061" s="4">
        <v>25</v>
      </c>
      <c r="BL1061" s="4">
        <v>1</v>
      </c>
      <c r="BM1061" s="4">
        <v>0.1</v>
      </c>
      <c r="BN1061" s="4">
        <v>4</v>
      </c>
      <c r="BO1061" s="4">
        <v>0.1</v>
      </c>
      <c r="BS1061" s="4" t="s">
        <v>991</v>
      </c>
      <c r="BU1061" s="4">
        <v>250</v>
      </c>
      <c r="BW1061" s="4">
        <v>25</v>
      </c>
      <c r="CB1061" s="4" t="s">
        <v>429</v>
      </c>
      <c r="CD1061" s="4">
        <v>100</v>
      </c>
      <c r="CR1061" s="4" t="s">
        <v>1003</v>
      </c>
      <c r="CT1061" s="4">
        <v>100</v>
      </c>
      <c r="DO1061" s="4">
        <v>3</v>
      </c>
      <c r="FT1061" s="4">
        <v>42.95</v>
      </c>
      <c r="FW1061" s="4">
        <v>42.95</v>
      </c>
    </row>
    <row r="1062" customHeight="1" spans="1:179">
      <c r="A1062" s="3">
        <v>32</v>
      </c>
      <c r="B1062" s="4" t="s">
        <v>985</v>
      </c>
      <c r="C1062" s="5" t="s">
        <v>995</v>
      </c>
      <c r="D1062" s="4" t="s">
        <v>996</v>
      </c>
      <c r="E1062" s="4" t="s">
        <v>997</v>
      </c>
      <c r="H1062" s="4" t="s">
        <v>328</v>
      </c>
      <c r="I1062" s="4" t="s">
        <v>998</v>
      </c>
      <c r="N1062" s="4" t="s">
        <v>567</v>
      </c>
      <c r="O1062" s="4" t="s">
        <v>343</v>
      </c>
      <c r="P1062" s="4">
        <v>2</v>
      </c>
      <c r="Q1062" s="4" t="s">
        <v>540</v>
      </c>
      <c r="X1062" s="4">
        <v>0.7438</v>
      </c>
      <c r="AB1062" s="4" t="s">
        <v>999</v>
      </c>
      <c r="AH1062" s="4" t="s">
        <v>371</v>
      </c>
      <c r="AI1062" s="4" t="s">
        <v>990</v>
      </c>
      <c r="AM1062" s="4">
        <v>8.1</v>
      </c>
      <c r="AN1062" s="4" t="s">
        <v>574</v>
      </c>
      <c r="AQ1062" s="4" t="s">
        <v>424</v>
      </c>
      <c r="AR1062" s="4">
        <v>13.5</v>
      </c>
      <c r="AS1062" s="4" t="s">
        <v>8</v>
      </c>
      <c r="AT1062" s="4">
        <v>23.5</v>
      </c>
      <c r="BI1062" s="4" t="s">
        <v>321</v>
      </c>
      <c r="BK1062" s="4">
        <v>25</v>
      </c>
      <c r="BL1062" s="4">
        <v>1</v>
      </c>
      <c r="BM1062" s="4">
        <v>0.1</v>
      </c>
      <c r="BN1062" s="4">
        <v>4</v>
      </c>
      <c r="BO1062" s="4">
        <v>0.1</v>
      </c>
      <c r="BS1062" s="4" t="s">
        <v>991</v>
      </c>
      <c r="BU1062" s="4">
        <v>250</v>
      </c>
      <c r="BW1062" s="4">
        <v>25</v>
      </c>
      <c r="CB1062" s="4" t="s">
        <v>429</v>
      </c>
      <c r="CD1062" s="4">
        <v>100</v>
      </c>
      <c r="CR1062" s="4" t="s">
        <v>542</v>
      </c>
      <c r="CT1062" s="4">
        <v>100</v>
      </c>
      <c r="DO1062" s="4">
        <v>3</v>
      </c>
      <c r="FT1062" s="4">
        <v>32.92</v>
      </c>
      <c r="FW1062" s="4">
        <v>32.92</v>
      </c>
    </row>
    <row r="1063" customHeight="1" spans="1:179">
      <c r="A1063" s="3">
        <v>32</v>
      </c>
      <c r="B1063" s="4" t="s">
        <v>985</v>
      </c>
      <c r="C1063" s="5" t="s">
        <v>995</v>
      </c>
      <c r="D1063" s="4" t="s">
        <v>996</v>
      </c>
      <c r="E1063" s="4" t="s">
        <v>997</v>
      </c>
      <c r="H1063" s="4" t="s">
        <v>328</v>
      </c>
      <c r="I1063" s="4" t="s">
        <v>998</v>
      </c>
      <c r="N1063" s="4" t="s">
        <v>567</v>
      </c>
      <c r="O1063" s="4" t="s">
        <v>343</v>
      </c>
      <c r="P1063" s="4">
        <v>2</v>
      </c>
      <c r="Q1063" s="4" t="s">
        <v>540</v>
      </c>
      <c r="X1063" s="4">
        <v>0.7438</v>
      </c>
      <c r="AB1063" s="4" t="s">
        <v>999</v>
      </c>
      <c r="AH1063" s="4" t="s">
        <v>371</v>
      </c>
      <c r="AI1063" s="4" t="s">
        <v>990</v>
      </c>
      <c r="AM1063" s="4">
        <v>8.1</v>
      </c>
      <c r="AN1063" s="4" t="s">
        <v>574</v>
      </c>
      <c r="AQ1063" s="4" t="s">
        <v>424</v>
      </c>
      <c r="AR1063" s="4">
        <v>13.5</v>
      </c>
      <c r="AS1063" s="4" t="s">
        <v>8</v>
      </c>
      <c r="AT1063" s="4">
        <v>23.5</v>
      </c>
      <c r="BI1063" s="4" t="s">
        <v>321</v>
      </c>
      <c r="BK1063" s="4">
        <v>25</v>
      </c>
      <c r="BL1063" s="4">
        <v>1</v>
      </c>
      <c r="BM1063" s="4">
        <v>0.1</v>
      </c>
      <c r="BN1063" s="4">
        <v>4</v>
      </c>
      <c r="BO1063" s="4">
        <v>0.1</v>
      </c>
      <c r="BS1063" s="4" t="s">
        <v>991</v>
      </c>
      <c r="BU1063" s="4">
        <v>250</v>
      </c>
      <c r="BW1063" s="4">
        <v>25</v>
      </c>
      <c r="CB1063" s="4" t="s">
        <v>429</v>
      </c>
      <c r="CD1063" s="4">
        <v>100</v>
      </c>
      <c r="CR1063" s="4" t="s">
        <v>1004</v>
      </c>
      <c r="CT1063" s="4">
        <v>100</v>
      </c>
      <c r="DO1063" s="4">
        <v>3</v>
      </c>
      <c r="FT1063" s="4">
        <v>95.93</v>
      </c>
      <c r="FW1063" s="4">
        <v>95.93</v>
      </c>
    </row>
    <row r="1064" customHeight="1" spans="1:179">
      <c r="A1064" s="3">
        <v>32</v>
      </c>
      <c r="B1064" s="4" t="s">
        <v>985</v>
      </c>
      <c r="C1064" s="5" t="s">
        <v>995</v>
      </c>
      <c r="D1064" s="4" t="s">
        <v>996</v>
      </c>
      <c r="E1064" s="4" t="s">
        <v>997</v>
      </c>
      <c r="H1064" s="4" t="s">
        <v>328</v>
      </c>
      <c r="I1064" s="4" t="s">
        <v>998</v>
      </c>
      <c r="N1064" s="4" t="s">
        <v>567</v>
      </c>
      <c r="O1064" s="4" t="s">
        <v>343</v>
      </c>
      <c r="P1064" s="4">
        <v>2</v>
      </c>
      <c r="Q1064" s="4" t="s">
        <v>540</v>
      </c>
      <c r="X1064" s="4">
        <v>0.7438</v>
      </c>
      <c r="AB1064" s="4" t="s">
        <v>999</v>
      </c>
      <c r="AH1064" s="4" t="s">
        <v>371</v>
      </c>
      <c r="AI1064" s="4" t="s">
        <v>990</v>
      </c>
      <c r="AM1064" s="4">
        <v>8.1</v>
      </c>
      <c r="AN1064" s="4" t="s">
        <v>574</v>
      </c>
      <c r="AQ1064" s="4" t="s">
        <v>424</v>
      </c>
      <c r="AR1064" s="4">
        <v>13.5</v>
      </c>
      <c r="AS1064" s="4" t="s">
        <v>8</v>
      </c>
      <c r="AT1064" s="4">
        <v>23.5</v>
      </c>
      <c r="BI1064" s="4" t="s">
        <v>321</v>
      </c>
      <c r="BK1064" s="4">
        <v>25</v>
      </c>
      <c r="BL1064" s="4">
        <v>1</v>
      </c>
      <c r="BM1064" s="4">
        <v>0.1</v>
      </c>
      <c r="BN1064" s="4">
        <v>4</v>
      </c>
      <c r="BO1064" s="4">
        <v>0.1</v>
      </c>
      <c r="BS1064" s="4" t="s">
        <v>991</v>
      </c>
      <c r="BU1064" s="4">
        <v>250</v>
      </c>
      <c r="BW1064" s="4">
        <v>25</v>
      </c>
      <c r="CB1064" s="4" t="s">
        <v>429</v>
      </c>
      <c r="CD1064" s="4">
        <v>100</v>
      </c>
      <c r="CR1064" s="4" t="s">
        <v>1005</v>
      </c>
      <c r="CT1064" s="4">
        <v>100</v>
      </c>
      <c r="DO1064" s="4">
        <v>3</v>
      </c>
      <c r="FT1064" s="4">
        <v>96.87</v>
      </c>
      <c r="FW1064" s="4">
        <v>96.87</v>
      </c>
    </row>
    <row r="1065" customHeight="1" spans="1:179">
      <c r="A1065" s="3">
        <v>32</v>
      </c>
      <c r="B1065" s="4" t="s">
        <v>985</v>
      </c>
      <c r="C1065" s="5" t="s">
        <v>995</v>
      </c>
      <c r="D1065" s="4" t="s">
        <v>996</v>
      </c>
      <c r="E1065" s="4" t="s">
        <v>997</v>
      </c>
      <c r="H1065" s="4" t="s">
        <v>328</v>
      </c>
      <c r="I1065" s="4" t="s">
        <v>998</v>
      </c>
      <c r="N1065" s="4" t="s">
        <v>567</v>
      </c>
      <c r="O1065" s="4" t="s">
        <v>343</v>
      </c>
      <c r="P1065" s="4">
        <v>2</v>
      </c>
      <c r="Q1065" s="4" t="s">
        <v>540</v>
      </c>
      <c r="X1065" s="4">
        <v>0.7438</v>
      </c>
      <c r="AB1065" s="4" t="s">
        <v>999</v>
      </c>
      <c r="AH1065" s="4" t="s">
        <v>371</v>
      </c>
      <c r="AI1065" s="4" t="s">
        <v>990</v>
      </c>
      <c r="AM1065" s="4">
        <v>8.1</v>
      </c>
      <c r="AN1065" s="4" t="s">
        <v>574</v>
      </c>
      <c r="AQ1065" s="4" t="s">
        <v>424</v>
      </c>
      <c r="AR1065" s="4">
        <v>13.5</v>
      </c>
      <c r="AS1065" s="4" t="s">
        <v>8</v>
      </c>
      <c r="AT1065" s="4">
        <v>23.5</v>
      </c>
      <c r="BI1065" s="4" t="s">
        <v>321</v>
      </c>
      <c r="BK1065" s="4">
        <v>25</v>
      </c>
      <c r="BL1065" s="4">
        <v>1</v>
      </c>
      <c r="BM1065" s="4">
        <v>0.1</v>
      </c>
      <c r="BN1065" s="4">
        <v>4</v>
      </c>
      <c r="BO1065" s="4">
        <v>0.1</v>
      </c>
      <c r="BS1065" s="4" t="s">
        <v>991</v>
      </c>
      <c r="BU1065" s="4">
        <v>250</v>
      </c>
      <c r="BW1065" s="4">
        <v>25</v>
      </c>
      <c r="CB1065" s="4" t="s">
        <v>8</v>
      </c>
      <c r="CD1065" s="4">
        <v>100</v>
      </c>
      <c r="CR1065" s="4" t="s">
        <v>1001</v>
      </c>
      <c r="CT1065" s="4">
        <v>100</v>
      </c>
      <c r="DO1065" s="4">
        <v>3</v>
      </c>
    </row>
    <row r="1066" customHeight="1" spans="1:179">
      <c r="A1066" s="3">
        <v>32</v>
      </c>
      <c r="B1066" s="4" t="s">
        <v>985</v>
      </c>
      <c r="C1066" s="5" t="s">
        <v>995</v>
      </c>
      <c r="D1066" s="4" t="s">
        <v>996</v>
      </c>
      <c r="E1066" s="4" t="s">
        <v>997</v>
      </c>
      <c r="H1066" s="4" t="s">
        <v>328</v>
      </c>
      <c r="I1066" s="4" t="s">
        <v>998</v>
      </c>
      <c r="N1066" s="4" t="s">
        <v>567</v>
      </c>
      <c r="O1066" s="4" t="s">
        <v>343</v>
      </c>
      <c r="P1066" s="4">
        <v>2</v>
      </c>
      <c r="Q1066" s="4" t="s">
        <v>540</v>
      </c>
      <c r="X1066" s="4">
        <v>0.7438</v>
      </c>
      <c r="AB1066" s="4" t="s">
        <v>999</v>
      </c>
      <c r="AH1066" s="4" t="s">
        <v>371</v>
      </c>
      <c r="AI1066" s="4" t="s">
        <v>990</v>
      </c>
      <c r="AM1066" s="4">
        <v>8.1</v>
      </c>
      <c r="AN1066" s="4" t="s">
        <v>574</v>
      </c>
      <c r="AQ1066" s="4" t="s">
        <v>424</v>
      </c>
      <c r="AR1066" s="4">
        <v>13.5</v>
      </c>
      <c r="AS1066" s="4" t="s">
        <v>8</v>
      </c>
      <c r="AT1066" s="4">
        <v>23.5</v>
      </c>
      <c r="BI1066" s="4" t="s">
        <v>321</v>
      </c>
      <c r="BK1066" s="4">
        <v>25</v>
      </c>
      <c r="BL1066" s="4">
        <v>1</v>
      </c>
      <c r="BM1066" s="4">
        <v>0.1</v>
      </c>
      <c r="BN1066" s="4">
        <v>4</v>
      </c>
      <c r="BO1066" s="4">
        <v>0.1</v>
      </c>
      <c r="BS1066" s="4" t="s">
        <v>991</v>
      </c>
      <c r="BU1066" s="4">
        <v>250</v>
      </c>
      <c r="BW1066" s="4">
        <v>25</v>
      </c>
      <c r="CB1066" s="4" t="s">
        <v>8</v>
      </c>
      <c r="CD1066" s="4">
        <v>100</v>
      </c>
      <c r="CR1066" s="4" t="s">
        <v>1002</v>
      </c>
      <c r="CT1066" s="4">
        <v>100</v>
      </c>
      <c r="DO1066" s="4">
        <v>3</v>
      </c>
    </row>
    <row r="1067" customHeight="1" spans="1:179">
      <c r="A1067" s="3">
        <v>32</v>
      </c>
      <c r="B1067" s="4" t="s">
        <v>985</v>
      </c>
      <c r="C1067" s="5" t="s">
        <v>995</v>
      </c>
      <c r="D1067" s="4" t="s">
        <v>996</v>
      </c>
      <c r="E1067" s="4" t="s">
        <v>997</v>
      </c>
      <c r="H1067" s="4" t="s">
        <v>328</v>
      </c>
      <c r="I1067" s="4" t="s">
        <v>998</v>
      </c>
      <c r="N1067" s="4" t="s">
        <v>567</v>
      </c>
      <c r="O1067" s="4" t="s">
        <v>343</v>
      </c>
      <c r="P1067" s="4">
        <v>2</v>
      </c>
      <c r="Q1067" s="4" t="s">
        <v>540</v>
      </c>
      <c r="X1067" s="4">
        <v>0.7438</v>
      </c>
      <c r="AB1067" s="4" t="s">
        <v>999</v>
      </c>
      <c r="AH1067" s="4" t="s">
        <v>371</v>
      </c>
      <c r="AI1067" s="4" t="s">
        <v>990</v>
      </c>
      <c r="AM1067" s="4">
        <v>8.1</v>
      </c>
      <c r="AN1067" s="4" t="s">
        <v>574</v>
      </c>
      <c r="AQ1067" s="4" t="s">
        <v>424</v>
      </c>
      <c r="AR1067" s="4">
        <v>13.5</v>
      </c>
      <c r="AS1067" s="4" t="s">
        <v>8</v>
      </c>
      <c r="AT1067" s="4">
        <v>23.5</v>
      </c>
      <c r="BI1067" s="4" t="s">
        <v>321</v>
      </c>
      <c r="BK1067" s="4">
        <v>25</v>
      </c>
      <c r="BL1067" s="4">
        <v>1</v>
      </c>
      <c r="BM1067" s="4">
        <v>0.1</v>
      </c>
      <c r="BN1067" s="4">
        <v>4</v>
      </c>
      <c r="BO1067" s="4">
        <v>0.1</v>
      </c>
      <c r="BS1067" s="4" t="s">
        <v>991</v>
      </c>
      <c r="BU1067" s="4">
        <v>250</v>
      </c>
      <c r="BW1067" s="4">
        <v>25</v>
      </c>
      <c r="CB1067" s="4" t="s">
        <v>8</v>
      </c>
      <c r="CD1067" s="4">
        <v>100</v>
      </c>
      <c r="CR1067" s="4" t="s">
        <v>1003</v>
      </c>
      <c r="CT1067" s="4">
        <v>100</v>
      </c>
      <c r="DO1067" s="4">
        <v>3</v>
      </c>
    </row>
    <row r="1068" customHeight="1" spans="1:179">
      <c r="A1068" s="3">
        <v>32</v>
      </c>
      <c r="B1068" s="4" t="s">
        <v>985</v>
      </c>
      <c r="C1068" s="5" t="s">
        <v>995</v>
      </c>
      <c r="D1068" s="4" t="s">
        <v>996</v>
      </c>
      <c r="E1068" s="4" t="s">
        <v>997</v>
      </c>
      <c r="H1068" s="4" t="s">
        <v>328</v>
      </c>
      <c r="I1068" s="4" t="s">
        <v>998</v>
      </c>
      <c r="N1068" s="4" t="s">
        <v>567</v>
      </c>
      <c r="O1068" s="4" t="s">
        <v>343</v>
      </c>
      <c r="P1068" s="4">
        <v>2</v>
      </c>
      <c r="Q1068" s="4" t="s">
        <v>540</v>
      </c>
      <c r="X1068" s="4">
        <v>0.7438</v>
      </c>
      <c r="AB1068" s="4" t="s">
        <v>999</v>
      </c>
      <c r="AH1068" s="4" t="s">
        <v>371</v>
      </c>
      <c r="AI1068" s="4" t="s">
        <v>990</v>
      </c>
      <c r="AM1068" s="4">
        <v>8.1</v>
      </c>
      <c r="AN1068" s="4" t="s">
        <v>574</v>
      </c>
      <c r="AQ1068" s="4" t="s">
        <v>424</v>
      </c>
      <c r="AR1068" s="4">
        <v>13.5</v>
      </c>
      <c r="AS1068" s="4" t="s">
        <v>8</v>
      </c>
      <c r="AT1068" s="4">
        <v>23.5</v>
      </c>
      <c r="BI1068" s="4" t="s">
        <v>321</v>
      </c>
      <c r="BK1068" s="4">
        <v>25</v>
      </c>
      <c r="BL1068" s="4">
        <v>1</v>
      </c>
      <c r="BM1068" s="4">
        <v>0.1</v>
      </c>
      <c r="BN1068" s="4">
        <v>4</v>
      </c>
      <c r="BO1068" s="4">
        <v>0.1</v>
      </c>
      <c r="BS1068" s="4" t="s">
        <v>991</v>
      </c>
      <c r="BU1068" s="4">
        <v>250</v>
      </c>
      <c r="BW1068" s="4">
        <v>25</v>
      </c>
      <c r="CB1068" s="4" t="s">
        <v>8</v>
      </c>
      <c r="CD1068" s="4">
        <v>100</v>
      </c>
      <c r="CR1068" s="4" t="s">
        <v>542</v>
      </c>
      <c r="CT1068" s="4">
        <v>100</v>
      </c>
      <c r="DO1068" s="4">
        <v>3</v>
      </c>
    </row>
    <row r="1069" customHeight="1" spans="1:179">
      <c r="A1069" s="3">
        <v>32</v>
      </c>
      <c r="B1069" s="4" t="s">
        <v>985</v>
      </c>
      <c r="C1069" s="5" t="s">
        <v>995</v>
      </c>
      <c r="D1069" s="4" t="s">
        <v>996</v>
      </c>
      <c r="E1069" s="4" t="s">
        <v>997</v>
      </c>
      <c r="H1069" s="4" t="s">
        <v>328</v>
      </c>
      <c r="I1069" s="4" t="s">
        <v>998</v>
      </c>
      <c r="N1069" s="4" t="s">
        <v>567</v>
      </c>
      <c r="O1069" s="4" t="s">
        <v>343</v>
      </c>
      <c r="P1069" s="4">
        <v>2</v>
      </c>
      <c r="Q1069" s="4" t="s">
        <v>540</v>
      </c>
      <c r="X1069" s="4">
        <v>0.7438</v>
      </c>
      <c r="AB1069" s="4" t="s">
        <v>999</v>
      </c>
      <c r="AH1069" s="4" t="s">
        <v>371</v>
      </c>
      <c r="AI1069" s="4" t="s">
        <v>990</v>
      </c>
      <c r="AM1069" s="4">
        <v>8.1</v>
      </c>
      <c r="AN1069" s="4" t="s">
        <v>574</v>
      </c>
      <c r="AQ1069" s="4" t="s">
        <v>424</v>
      </c>
      <c r="AR1069" s="4">
        <v>13.5</v>
      </c>
      <c r="AS1069" s="4" t="s">
        <v>8</v>
      </c>
      <c r="AT1069" s="4">
        <v>23.5</v>
      </c>
      <c r="BI1069" s="4" t="s">
        <v>321</v>
      </c>
      <c r="BK1069" s="4">
        <v>25</v>
      </c>
      <c r="BL1069" s="4">
        <v>1</v>
      </c>
      <c r="BM1069" s="4">
        <v>0.1</v>
      </c>
      <c r="BN1069" s="4">
        <v>4</v>
      </c>
      <c r="BO1069" s="4">
        <v>0.1</v>
      </c>
      <c r="BS1069" s="4" t="s">
        <v>991</v>
      </c>
      <c r="BU1069" s="4">
        <v>250</v>
      </c>
      <c r="BW1069" s="4">
        <v>25</v>
      </c>
      <c r="CB1069" s="4" t="s">
        <v>8</v>
      </c>
      <c r="CD1069" s="4">
        <v>100</v>
      </c>
      <c r="CR1069" s="4" t="s">
        <v>1004</v>
      </c>
      <c r="CT1069" s="4">
        <v>100</v>
      </c>
      <c r="DO1069" s="4">
        <v>3</v>
      </c>
    </row>
    <row r="1070" customHeight="1" spans="1:179">
      <c r="A1070" s="3">
        <v>32</v>
      </c>
      <c r="B1070" s="4" t="s">
        <v>985</v>
      </c>
      <c r="C1070" s="5" t="s">
        <v>995</v>
      </c>
      <c r="D1070" s="4" t="s">
        <v>996</v>
      </c>
      <c r="E1070" s="4" t="s">
        <v>997</v>
      </c>
      <c r="H1070" s="4" t="s">
        <v>328</v>
      </c>
      <c r="I1070" s="4" t="s">
        <v>998</v>
      </c>
      <c r="N1070" s="4" t="s">
        <v>567</v>
      </c>
      <c r="O1070" s="4" t="s">
        <v>343</v>
      </c>
      <c r="P1070" s="4">
        <v>2</v>
      </c>
      <c r="Q1070" s="4" t="s">
        <v>540</v>
      </c>
      <c r="X1070" s="4">
        <v>0.7438</v>
      </c>
      <c r="AB1070" s="4" t="s">
        <v>999</v>
      </c>
      <c r="AH1070" s="4" t="s">
        <v>371</v>
      </c>
      <c r="AI1070" s="4" t="s">
        <v>990</v>
      </c>
      <c r="AM1070" s="4">
        <v>8.1</v>
      </c>
      <c r="AN1070" s="4" t="s">
        <v>574</v>
      </c>
      <c r="AQ1070" s="4" t="s">
        <v>424</v>
      </c>
      <c r="AR1070" s="4">
        <v>13.5</v>
      </c>
      <c r="AS1070" s="4" t="s">
        <v>8</v>
      </c>
      <c r="AT1070" s="4">
        <v>23.5</v>
      </c>
      <c r="BI1070" s="4" t="s">
        <v>321</v>
      </c>
      <c r="BK1070" s="4">
        <v>25</v>
      </c>
      <c r="BL1070" s="4">
        <v>1</v>
      </c>
      <c r="BM1070" s="4">
        <v>0.1</v>
      </c>
      <c r="BN1070" s="4">
        <v>4</v>
      </c>
      <c r="BO1070" s="4">
        <v>0.1</v>
      </c>
      <c r="BS1070" s="4" t="s">
        <v>991</v>
      </c>
      <c r="BU1070" s="4">
        <v>250</v>
      </c>
      <c r="BW1070" s="4">
        <v>25</v>
      </c>
      <c r="CB1070" s="4" t="s">
        <v>8</v>
      </c>
      <c r="CD1070" s="4">
        <v>100</v>
      </c>
      <c r="CR1070" s="4" t="s">
        <v>1005</v>
      </c>
      <c r="CT1070" s="4">
        <v>100</v>
      </c>
      <c r="DO1070" s="4">
        <v>3</v>
      </c>
    </row>
    <row r="1071" customHeight="1" spans="1:179">
      <c r="A1071" s="3">
        <v>32</v>
      </c>
      <c r="B1071" s="4" t="s">
        <v>985</v>
      </c>
      <c r="C1071" s="5" t="s">
        <v>1006</v>
      </c>
      <c r="D1071" s="4" t="s">
        <v>996</v>
      </c>
      <c r="H1071" s="4" t="s">
        <v>328</v>
      </c>
      <c r="I1071" s="4" t="s">
        <v>998</v>
      </c>
      <c r="N1071" s="4" t="s">
        <v>567</v>
      </c>
      <c r="O1071" s="4" t="s">
        <v>343</v>
      </c>
      <c r="P1071" s="4">
        <v>3</v>
      </c>
      <c r="Q1071" s="4" t="s">
        <v>540</v>
      </c>
      <c r="AH1071" s="4" t="s">
        <v>371</v>
      </c>
      <c r="AI1071" s="4" t="s">
        <v>990</v>
      </c>
      <c r="AM1071" s="4">
        <v>8.1</v>
      </c>
      <c r="AN1071" s="4" t="s">
        <v>574</v>
      </c>
      <c r="AQ1071" s="4" t="s">
        <v>424</v>
      </c>
      <c r="AR1071" s="4">
        <v>13.5</v>
      </c>
      <c r="AS1071" s="4" t="s">
        <v>8</v>
      </c>
      <c r="AT1071" s="4">
        <v>23.5</v>
      </c>
      <c r="BI1071" s="4" t="s">
        <v>321</v>
      </c>
      <c r="BK1071" s="4">
        <v>25</v>
      </c>
      <c r="BL1071" s="4">
        <v>1</v>
      </c>
      <c r="BM1071" s="4">
        <v>0.1</v>
      </c>
      <c r="BO1071" s="4">
        <v>0.1</v>
      </c>
      <c r="BS1071" s="4" t="s">
        <v>991</v>
      </c>
      <c r="BU1071" s="4">
        <v>250</v>
      </c>
      <c r="BV1071" s="4" t="s">
        <v>992</v>
      </c>
      <c r="BW1071" s="4">
        <v>25</v>
      </c>
      <c r="CB1071" s="4" t="s">
        <v>429</v>
      </c>
      <c r="CD1071" s="4">
        <v>200</v>
      </c>
      <c r="CX1071" s="4" t="s">
        <v>314</v>
      </c>
      <c r="CZ1071" s="4" t="s">
        <v>328</v>
      </c>
      <c r="DA1071" s="4" t="s">
        <v>1000</v>
      </c>
      <c r="DO1071" s="4">
        <v>3</v>
      </c>
      <c r="EL1071" s="1">
        <v>49.46</v>
      </c>
      <c r="EM1071" s="1">
        <v>1.41</v>
      </c>
      <c r="ER1071" s="1">
        <f>EL1071/200*100</f>
        <v>24.73</v>
      </c>
      <c r="ES1071" s="1">
        <v>24.73</v>
      </c>
    </row>
    <row r="1072" customHeight="1" spans="1:179">
      <c r="A1072" s="3">
        <v>32</v>
      </c>
      <c r="B1072" s="4" t="s">
        <v>985</v>
      </c>
      <c r="C1072" s="5" t="s">
        <v>1006</v>
      </c>
      <c r="D1072" s="4" t="s">
        <v>996</v>
      </c>
      <c r="H1072" s="4" t="s">
        <v>328</v>
      </c>
      <c r="I1072" s="4" t="s">
        <v>998</v>
      </c>
      <c r="N1072" s="4" t="s">
        <v>567</v>
      </c>
      <c r="O1072" s="4" t="s">
        <v>343</v>
      </c>
      <c r="P1072" s="4">
        <v>3</v>
      </c>
      <c r="Q1072" s="4" t="s">
        <v>540</v>
      </c>
      <c r="BI1072" s="4" t="s">
        <v>321</v>
      </c>
      <c r="BK1072" s="4">
        <v>25</v>
      </c>
      <c r="BL1072" s="4">
        <v>1</v>
      </c>
      <c r="BM1072" s="4">
        <v>0.1</v>
      </c>
      <c r="BO1072" s="4">
        <v>0.1</v>
      </c>
      <c r="BS1072" s="4" t="s">
        <v>991</v>
      </c>
      <c r="BU1072" s="4">
        <v>250</v>
      </c>
      <c r="BV1072" s="4" t="s">
        <v>992</v>
      </c>
      <c r="BW1072" s="4">
        <v>25</v>
      </c>
      <c r="CB1072" s="4" t="s">
        <v>372</v>
      </c>
      <c r="CD1072" s="4">
        <v>200</v>
      </c>
      <c r="CX1072" s="4" t="s">
        <v>314</v>
      </c>
      <c r="CZ1072" s="4" t="s">
        <v>328</v>
      </c>
      <c r="DA1072" s="4" t="s">
        <v>1000</v>
      </c>
      <c r="DO1072" s="4">
        <v>3</v>
      </c>
      <c r="FP1072" s="1">
        <v>23.77</v>
      </c>
      <c r="FQ1072" s="1">
        <v>0.59</v>
      </c>
      <c r="FW1072" s="1">
        <v>11.885</v>
      </c>
    </row>
    <row r="1073" customHeight="1" spans="1:179">
      <c r="A1073" s="3">
        <v>32</v>
      </c>
      <c r="B1073" s="4" t="s">
        <v>985</v>
      </c>
      <c r="C1073" s="5" t="s">
        <v>1006</v>
      </c>
      <c r="D1073" s="4" t="s">
        <v>996</v>
      </c>
      <c r="H1073" s="4" t="s">
        <v>328</v>
      </c>
      <c r="I1073" s="4" t="s">
        <v>998</v>
      </c>
      <c r="N1073" s="4" t="s">
        <v>567</v>
      </c>
      <c r="O1073" s="4" t="s">
        <v>343</v>
      </c>
      <c r="P1073" s="4">
        <v>3</v>
      </c>
      <c r="Q1073" s="4" t="s">
        <v>540</v>
      </c>
      <c r="BI1073" s="4" t="s">
        <v>321</v>
      </c>
      <c r="BK1073" s="4">
        <v>25</v>
      </c>
      <c r="BL1073" s="4">
        <v>1</v>
      </c>
      <c r="BM1073" s="4">
        <v>0.1</v>
      </c>
      <c r="BO1073" s="4">
        <v>0.1</v>
      </c>
      <c r="BS1073" s="4" t="s">
        <v>991</v>
      </c>
      <c r="BU1073" s="4">
        <v>250</v>
      </c>
      <c r="BW1073" s="4">
        <v>25</v>
      </c>
      <c r="CB1073" s="4" t="s">
        <v>429</v>
      </c>
      <c r="CD1073" s="4" t="s">
        <v>994</v>
      </c>
      <c r="DB1073" s="4" t="s">
        <v>951</v>
      </c>
      <c r="DD1073" s="4">
        <v>49.8</v>
      </c>
      <c r="DE1073" s="4">
        <v>51.02</v>
      </c>
      <c r="DO1073" s="4">
        <v>3</v>
      </c>
      <c r="FP1073" s="4">
        <v>49.8</v>
      </c>
    </row>
    <row r="1074" customHeight="1" spans="1:179">
      <c r="A1074" s="3">
        <v>32</v>
      </c>
      <c r="B1074" s="4" t="s">
        <v>985</v>
      </c>
      <c r="C1074" s="5" t="s">
        <v>1006</v>
      </c>
      <c r="D1074" s="4" t="s">
        <v>996</v>
      </c>
      <c r="H1074" s="4" t="s">
        <v>328</v>
      </c>
      <c r="I1074" s="4" t="s">
        <v>998</v>
      </c>
      <c r="N1074" s="4" t="s">
        <v>567</v>
      </c>
      <c r="O1074" s="4" t="s">
        <v>343</v>
      </c>
      <c r="P1074" s="4">
        <v>3</v>
      </c>
      <c r="Q1074" s="4" t="s">
        <v>540</v>
      </c>
      <c r="BI1074" s="4" t="s">
        <v>321</v>
      </c>
      <c r="BK1074" s="4">
        <v>25</v>
      </c>
      <c r="BL1074" s="4">
        <v>1</v>
      </c>
      <c r="BM1074" s="4">
        <v>0.1</v>
      </c>
      <c r="BO1074" s="4">
        <v>0.1</v>
      </c>
      <c r="BS1074" s="4" t="s">
        <v>991</v>
      </c>
      <c r="BU1074" s="4">
        <v>250</v>
      </c>
      <c r="BW1074" s="4">
        <v>25</v>
      </c>
      <c r="CB1074" s="4" t="s">
        <v>372</v>
      </c>
      <c r="CD1074" s="4" t="s">
        <v>994</v>
      </c>
      <c r="DB1074" s="4" t="s">
        <v>951</v>
      </c>
      <c r="DD1074" s="4">
        <v>24.9</v>
      </c>
      <c r="DE1074" s="4">
        <v>25.77</v>
      </c>
      <c r="DO1074" s="4">
        <v>3</v>
      </c>
      <c r="EL1074" s="4">
        <v>24.9</v>
      </c>
      <c r="ER1074" s="1">
        <f t="shared" ref="ER1074:ER1078" si="30">EL1074/200*100</f>
        <v>12.45</v>
      </c>
      <c r="ES1074" s="1">
        <v>12.45</v>
      </c>
    </row>
    <row r="1075" customHeight="1" spans="1:179">
      <c r="A1075" s="3">
        <v>32</v>
      </c>
      <c r="B1075" s="4" t="s">
        <v>985</v>
      </c>
      <c r="C1075" s="5" t="s">
        <v>1007</v>
      </c>
      <c r="D1075" s="4" t="s">
        <v>996</v>
      </c>
      <c r="H1075" s="4" t="s">
        <v>328</v>
      </c>
      <c r="I1075" s="4" t="s">
        <v>998</v>
      </c>
      <c r="N1075" s="4" t="s">
        <v>567</v>
      </c>
      <c r="O1075" s="4" t="s">
        <v>343</v>
      </c>
      <c r="P1075" s="4">
        <v>4</v>
      </c>
      <c r="Q1075" s="4" t="s">
        <v>540</v>
      </c>
      <c r="AH1075" s="4" t="s">
        <v>371</v>
      </c>
      <c r="AI1075" s="4" t="s">
        <v>990</v>
      </c>
      <c r="AM1075" s="4">
        <v>8.1</v>
      </c>
      <c r="AN1075" s="4" t="s">
        <v>574</v>
      </c>
      <c r="AQ1075" s="4" t="s">
        <v>424</v>
      </c>
      <c r="AR1075" s="4">
        <v>13.5</v>
      </c>
      <c r="AS1075" s="4" t="s">
        <v>8</v>
      </c>
      <c r="AT1075" s="4">
        <v>23.5</v>
      </c>
      <c r="BI1075" s="4" t="s">
        <v>321</v>
      </c>
      <c r="BK1075" s="4">
        <v>25</v>
      </c>
      <c r="BL1075" s="4">
        <v>1</v>
      </c>
      <c r="BM1075" s="4">
        <v>0.1</v>
      </c>
      <c r="BO1075" s="4">
        <v>0.1</v>
      </c>
      <c r="BS1075" s="4" t="s">
        <v>991</v>
      </c>
      <c r="BU1075" s="4">
        <v>250</v>
      </c>
      <c r="BV1075" s="4" t="s">
        <v>992</v>
      </c>
      <c r="BW1075" s="4">
        <v>25</v>
      </c>
      <c r="CB1075" s="4" t="s">
        <v>429</v>
      </c>
      <c r="CD1075" s="4">
        <v>200</v>
      </c>
      <c r="CX1075" s="4" t="s">
        <v>314</v>
      </c>
      <c r="CZ1075" s="4" t="s">
        <v>328</v>
      </c>
      <c r="DA1075" s="4" t="s">
        <v>1000</v>
      </c>
      <c r="DO1075" s="4">
        <v>3</v>
      </c>
      <c r="EL1075" s="1">
        <v>39.53</v>
      </c>
      <c r="EM1075" s="1">
        <v>1.05</v>
      </c>
      <c r="ER1075" s="1">
        <f t="shared" si="30"/>
        <v>19.765</v>
      </c>
      <c r="ES1075" s="1">
        <v>19.765</v>
      </c>
    </row>
    <row r="1076" customHeight="1" spans="1:179">
      <c r="A1076" s="3">
        <v>32</v>
      </c>
      <c r="B1076" s="4" t="s">
        <v>985</v>
      </c>
      <c r="C1076" s="5" t="s">
        <v>1007</v>
      </c>
      <c r="D1076" s="4" t="s">
        <v>996</v>
      </c>
      <c r="H1076" s="4" t="s">
        <v>328</v>
      </c>
      <c r="I1076" s="4" t="s">
        <v>998</v>
      </c>
      <c r="N1076" s="4" t="s">
        <v>567</v>
      </c>
      <c r="O1076" s="4" t="s">
        <v>343</v>
      </c>
      <c r="P1076" s="4">
        <v>4</v>
      </c>
      <c r="Q1076" s="4" t="s">
        <v>540</v>
      </c>
      <c r="AH1076" s="4" t="s">
        <v>371</v>
      </c>
      <c r="AI1076" s="4" t="s">
        <v>990</v>
      </c>
      <c r="AM1076" s="4">
        <v>8.1</v>
      </c>
      <c r="AN1076" s="4" t="s">
        <v>574</v>
      </c>
      <c r="AQ1076" s="4" t="s">
        <v>424</v>
      </c>
      <c r="AR1076" s="4">
        <v>13.5</v>
      </c>
      <c r="AS1076" s="4" t="s">
        <v>8</v>
      </c>
      <c r="AT1076" s="4">
        <v>23.5</v>
      </c>
      <c r="BI1076" s="4" t="s">
        <v>321</v>
      </c>
      <c r="BK1076" s="4">
        <v>25</v>
      </c>
      <c r="BL1076" s="4">
        <v>1</v>
      </c>
      <c r="BM1076" s="4">
        <v>0.1</v>
      </c>
      <c r="BO1076" s="4">
        <v>0.1</v>
      </c>
      <c r="BS1076" s="4" t="s">
        <v>991</v>
      </c>
      <c r="BU1076" s="4">
        <v>250</v>
      </c>
      <c r="BV1076" s="4" t="s">
        <v>992</v>
      </c>
      <c r="BW1076" s="4">
        <v>25</v>
      </c>
      <c r="CB1076" s="4" t="s">
        <v>372</v>
      </c>
      <c r="CD1076" s="4">
        <v>200</v>
      </c>
      <c r="CX1076" s="4" t="s">
        <v>314</v>
      </c>
      <c r="CZ1076" s="4" t="s">
        <v>328</v>
      </c>
      <c r="DA1076" s="4" t="s">
        <v>1000</v>
      </c>
      <c r="DO1076" s="4">
        <v>3</v>
      </c>
      <c r="FP1076" s="1">
        <v>39.53</v>
      </c>
      <c r="FQ1076" s="1">
        <v>1.05</v>
      </c>
      <c r="FW1076" s="1">
        <v>19.765</v>
      </c>
    </row>
    <row r="1077" customHeight="1" spans="1:179">
      <c r="A1077" s="3">
        <v>32</v>
      </c>
      <c r="B1077" s="4" t="s">
        <v>985</v>
      </c>
      <c r="C1077" s="5" t="s">
        <v>1007</v>
      </c>
      <c r="D1077" s="4" t="s">
        <v>996</v>
      </c>
      <c r="H1077" s="4" t="s">
        <v>328</v>
      </c>
      <c r="I1077" s="4" t="s">
        <v>998</v>
      </c>
      <c r="N1077" s="4" t="s">
        <v>567</v>
      </c>
      <c r="O1077" s="4" t="s">
        <v>343</v>
      </c>
      <c r="P1077" s="4">
        <v>4</v>
      </c>
      <c r="Q1077" s="4" t="s">
        <v>540</v>
      </c>
      <c r="AH1077" s="4" t="s">
        <v>371</v>
      </c>
      <c r="AI1077" s="4" t="s">
        <v>990</v>
      </c>
      <c r="AM1077" s="4">
        <v>8.1</v>
      </c>
      <c r="AN1077" s="4" t="s">
        <v>574</v>
      </c>
      <c r="AQ1077" s="4" t="s">
        <v>424</v>
      </c>
      <c r="AR1077" s="4">
        <v>13.5</v>
      </c>
      <c r="AS1077" s="4" t="s">
        <v>8</v>
      </c>
      <c r="AT1077" s="4">
        <v>23.5</v>
      </c>
      <c r="BI1077" s="4" t="s">
        <v>321</v>
      </c>
      <c r="BK1077" s="4">
        <v>25</v>
      </c>
      <c r="BL1077" s="4">
        <v>1</v>
      </c>
      <c r="BM1077" s="4">
        <v>0.1</v>
      </c>
      <c r="BO1077" s="4">
        <v>0.1</v>
      </c>
      <c r="BS1077" s="4" t="s">
        <v>991</v>
      </c>
      <c r="BU1077" s="4">
        <v>250</v>
      </c>
      <c r="BW1077" s="4">
        <v>25</v>
      </c>
      <c r="CB1077" s="4" t="s">
        <v>429</v>
      </c>
      <c r="CD1077" s="4" t="s">
        <v>994</v>
      </c>
      <c r="DB1077" s="4" t="s">
        <v>951</v>
      </c>
      <c r="DD1077" s="4">
        <v>45.6</v>
      </c>
      <c r="DE1077" s="4">
        <v>48.08</v>
      </c>
      <c r="DO1077" s="4">
        <v>3</v>
      </c>
      <c r="FP1077" s="4">
        <v>45.6</v>
      </c>
    </row>
    <row r="1078" customHeight="1" spans="1:179">
      <c r="A1078" s="3">
        <v>32</v>
      </c>
      <c r="B1078" s="4" t="s">
        <v>985</v>
      </c>
      <c r="C1078" s="5" t="s">
        <v>1007</v>
      </c>
      <c r="D1078" s="4" t="s">
        <v>996</v>
      </c>
      <c r="H1078" s="4" t="s">
        <v>328</v>
      </c>
      <c r="I1078" s="4" t="s">
        <v>998</v>
      </c>
      <c r="N1078" s="4" t="s">
        <v>567</v>
      </c>
      <c r="O1078" s="4" t="s">
        <v>343</v>
      </c>
      <c r="P1078" s="4">
        <v>4</v>
      </c>
      <c r="Q1078" s="4" t="s">
        <v>540</v>
      </c>
      <c r="AH1078" s="4" t="s">
        <v>371</v>
      </c>
      <c r="AI1078" s="4" t="s">
        <v>990</v>
      </c>
      <c r="AM1078" s="4">
        <v>8.1</v>
      </c>
      <c r="AN1078" s="4" t="s">
        <v>574</v>
      </c>
      <c r="AQ1078" s="4" t="s">
        <v>424</v>
      </c>
      <c r="AR1078" s="4">
        <v>13.5</v>
      </c>
      <c r="AS1078" s="4" t="s">
        <v>8</v>
      </c>
      <c r="AT1078" s="4">
        <v>23.5</v>
      </c>
      <c r="BI1078" s="4" t="s">
        <v>321</v>
      </c>
      <c r="BK1078" s="4">
        <v>25</v>
      </c>
      <c r="BL1078" s="4">
        <v>1</v>
      </c>
      <c r="BM1078" s="4">
        <v>0.1</v>
      </c>
      <c r="BO1078" s="4">
        <v>0.1</v>
      </c>
      <c r="BS1078" s="4" t="s">
        <v>991</v>
      </c>
      <c r="BU1078" s="4">
        <v>250</v>
      </c>
      <c r="BW1078" s="4">
        <v>25</v>
      </c>
      <c r="CB1078" s="4" t="s">
        <v>372</v>
      </c>
      <c r="CD1078" s="4" t="s">
        <v>994</v>
      </c>
      <c r="DB1078" s="4" t="s">
        <v>951</v>
      </c>
      <c r="DD1078" s="4">
        <v>19</v>
      </c>
      <c r="DE1078" s="4">
        <v>20.08</v>
      </c>
      <c r="DO1078" s="4">
        <v>3</v>
      </c>
      <c r="EL1078" s="4">
        <v>19</v>
      </c>
    </row>
    <row r="1079" customHeight="1" spans="1:179">
      <c r="A1079" s="39">
        <v>33</v>
      </c>
      <c r="B1079" s="4" t="s">
        <v>1008</v>
      </c>
      <c r="C1079" s="5" t="s">
        <v>1009</v>
      </c>
      <c r="D1079" s="4" t="s">
        <v>300</v>
      </c>
      <c r="E1079" s="4" t="s">
        <v>1010</v>
      </c>
      <c r="N1079" s="4" t="s">
        <v>536</v>
      </c>
      <c r="O1079" s="4" t="s">
        <v>502</v>
      </c>
      <c r="P1079" s="4">
        <v>1</v>
      </c>
      <c r="Q1079" s="4" t="s">
        <v>539</v>
      </c>
      <c r="R1079" s="4" t="s">
        <v>680</v>
      </c>
      <c r="S1079" s="4" t="s">
        <v>304</v>
      </c>
      <c r="T1079" s="4">
        <v>207.9</v>
      </c>
      <c r="V1079" s="4">
        <v>2.5</v>
      </c>
      <c r="Z1079" s="4" t="s">
        <v>1011</v>
      </c>
      <c r="AB1079" s="4" t="s">
        <v>1012</v>
      </c>
      <c r="AC1079" s="4" t="s">
        <v>1013</v>
      </c>
      <c r="AD1079" s="4" t="s">
        <v>1014</v>
      </c>
      <c r="AE1079" s="4" t="s">
        <v>1015</v>
      </c>
      <c r="AF1079" s="4" t="s">
        <v>1016</v>
      </c>
      <c r="BI1079" s="4" t="s">
        <v>309</v>
      </c>
      <c r="BN1079" s="4">
        <v>1</v>
      </c>
      <c r="BS1079" s="4">
        <v>6.5</v>
      </c>
      <c r="BU1079" s="4">
        <v>200</v>
      </c>
      <c r="BV1079" s="4" t="s">
        <v>495</v>
      </c>
      <c r="BW1079" s="4">
        <v>25</v>
      </c>
      <c r="CB1079" s="4" t="s">
        <v>496</v>
      </c>
      <c r="CC1079" s="4">
        <v>200</v>
      </c>
      <c r="CX1079" s="4" t="s">
        <v>314</v>
      </c>
      <c r="DO1079" s="4">
        <v>3</v>
      </c>
    </row>
    <row r="1080" customHeight="1" spans="1:179">
      <c r="A1080" s="39">
        <v>33</v>
      </c>
      <c r="B1080" s="4" t="s">
        <v>1008</v>
      </c>
      <c r="C1080" s="5" t="s">
        <v>1009</v>
      </c>
      <c r="D1080" s="4" t="s">
        <v>300</v>
      </c>
      <c r="E1080" s="4" t="s">
        <v>1010</v>
      </c>
      <c r="N1080" s="4" t="s">
        <v>536</v>
      </c>
      <c r="O1080" s="4" t="s">
        <v>502</v>
      </c>
      <c r="P1080" s="4">
        <v>1</v>
      </c>
      <c r="Q1080" s="4" t="s">
        <v>539</v>
      </c>
      <c r="R1080" s="4" t="s">
        <v>680</v>
      </c>
      <c r="S1080" s="4" t="s">
        <v>304</v>
      </c>
      <c r="T1080" s="4">
        <v>207.9</v>
      </c>
      <c r="V1080" s="4">
        <v>2.5</v>
      </c>
      <c r="Z1080" s="4" t="s">
        <v>1011</v>
      </c>
      <c r="AB1080" s="4" t="s">
        <v>1012</v>
      </c>
      <c r="AC1080" s="4" t="s">
        <v>1013</v>
      </c>
      <c r="AD1080" s="4" t="s">
        <v>1014</v>
      </c>
      <c r="AE1080" s="4" t="s">
        <v>1015</v>
      </c>
      <c r="AF1080" s="4" t="s">
        <v>1016</v>
      </c>
      <c r="BI1080" s="4" t="s">
        <v>309</v>
      </c>
      <c r="BN1080" s="4">
        <v>1</v>
      </c>
      <c r="BS1080" s="4">
        <v>6.5</v>
      </c>
      <c r="BU1080" s="4">
        <v>200</v>
      </c>
      <c r="BV1080" s="4" t="s">
        <v>495</v>
      </c>
      <c r="BW1080" s="4">
        <v>25</v>
      </c>
      <c r="CB1080" s="4" t="s">
        <v>1017</v>
      </c>
      <c r="CC1080" s="4">
        <v>200</v>
      </c>
      <c r="CX1080" s="4" t="s">
        <v>314</v>
      </c>
      <c r="DO1080" s="4">
        <v>3</v>
      </c>
    </row>
    <row r="1081" customHeight="1" spans="1:179">
      <c r="A1081" s="39">
        <v>33</v>
      </c>
      <c r="B1081" s="4" t="s">
        <v>1008</v>
      </c>
      <c r="C1081" s="5" t="s">
        <v>1009</v>
      </c>
      <c r="D1081" s="4" t="s">
        <v>300</v>
      </c>
      <c r="E1081" s="4" t="s">
        <v>1010</v>
      </c>
      <c r="N1081" s="4" t="s">
        <v>536</v>
      </c>
      <c r="O1081" s="4" t="s">
        <v>502</v>
      </c>
      <c r="P1081" s="4">
        <v>1</v>
      </c>
      <c r="Q1081" s="4" t="s">
        <v>539</v>
      </c>
      <c r="R1081" s="4" t="s">
        <v>680</v>
      </c>
      <c r="S1081" s="4" t="s">
        <v>304</v>
      </c>
      <c r="T1081" s="4">
        <v>207.9</v>
      </c>
      <c r="V1081" s="4">
        <v>2.5</v>
      </c>
      <c r="Z1081" s="4" t="s">
        <v>1011</v>
      </c>
      <c r="AB1081" s="4" t="s">
        <v>1012</v>
      </c>
      <c r="AC1081" s="4" t="s">
        <v>1013</v>
      </c>
      <c r="AD1081" s="4" t="s">
        <v>1014</v>
      </c>
      <c r="AE1081" s="4" t="s">
        <v>1015</v>
      </c>
      <c r="AF1081" s="4" t="s">
        <v>1016</v>
      </c>
      <c r="BI1081" s="4" t="s">
        <v>309</v>
      </c>
      <c r="BN1081" s="4">
        <v>1</v>
      </c>
      <c r="BS1081" s="4">
        <v>6.5</v>
      </c>
      <c r="BU1081" s="4">
        <v>200</v>
      </c>
      <c r="BW1081" s="4">
        <v>25</v>
      </c>
      <c r="CB1081" s="4" t="s">
        <v>496</v>
      </c>
      <c r="CC1081" s="4" t="s">
        <v>1018</v>
      </c>
      <c r="DE1081" s="4">
        <v>48.43</v>
      </c>
      <c r="DO1081" s="4">
        <v>3</v>
      </c>
      <c r="FA1081" s="29">
        <v>48.43</v>
      </c>
    </row>
    <row r="1082" customHeight="1" spans="1:179">
      <c r="A1082" s="39">
        <v>33</v>
      </c>
      <c r="B1082" s="4" t="s">
        <v>1008</v>
      </c>
      <c r="C1082" s="5" t="s">
        <v>1009</v>
      </c>
      <c r="D1082" s="4" t="s">
        <v>300</v>
      </c>
      <c r="E1082" s="4" t="s">
        <v>1010</v>
      </c>
      <c r="N1082" s="4" t="s">
        <v>536</v>
      </c>
      <c r="O1082" s="4" t="s">
        <v>502</v>
      </c>
      <c r="P1082" s="4">
        <v>1</v>
      </c>
      <c r="Q1082" s="4" t="s">
        <v>539</v>
      </c>
      <c r="R1082" s="4" t="s">
        <v>680</v>
      </c>
      <c r="S1082" s="4" t="s">
        <v>304</v>
      </c>
      <c r="T1082" s="4">
        <v>207.9</v>
      </c>
      <c r="V1082" s="4">
        <v>2.5</v>
      </c>
      <c r="Z1082" s="4" t="s">
        <v>1011</v>
      </c>
      <c r="AB1082" s="4" t="s">
        <v>1012</v>
      </c>
      <c r="AC1082" s="4" t="s">
        <v>1013</v>
      </c>
      <c r="AD1082" s="4" t="s">
        <v>1014</v>
      </c>
      <c r="AE1082" s="4" t="s">
        <v>1015</v>
      </c>
      <c r="AF1082" s="4" t="s">
        <v>1016</v>
      </c>
      <c r="BI1082" s="4" t="s">
        <v>309</v>
      </c>
      <c r="BN1082" s="4">
        <v>1</v>
      </c>
      <c r="BS1082" s="4">
        <v>6.5</v>
      </c>
      <c r="BU1082" s="4">
        <v>200</v>
      </c>
      <c r="BW1082" s="4">
        <v>25</v>
      </c>
      <c r="CB1082" s="4" t="s">
        <v>1017</v>
      </c>
      <c r="CC1082" s="4" t="s">
        <v>1018</v>
      </c>
      <c r="DE1082" s="4">
        <v>53.06</v>
      </c>
      <c r="DO1082" s="4">
        <v>3</v>
      </c>
      <c r="DW1082" s="29">
        <v>53.06</v>
      </c>
    </row>
    <row r="1083" customHeight="1" spans="1:179">
      <c r="A1083" s="39">
        <v>33</v>
      </c>
      <c r="B1083" s="4" t="s">
        <v>1008</v>
      </c>
      <c r="C1083" s="5" t="s">
        <v>1009</v>
      </c>
      <c r="D1083" s="4" t="s">
        <v>300</v>
      </c>
      <c r="E1083" s="4" t="s">
        <v>1010</v>
      </c>
      <c r="N1083" s="4" t="s">
        <v>536</v>
      </c>
      <c r="O1083" s="4" t="s">
        <v>502</v>
      </c>
      <c r="P1083" s="4">
        <v>1</v>
      </c>
      <c r="Q1083" s="4" t="s">
        <v>539</v>
      </c>
      <c r="R1083" s="4" t="s">
        <v>680</v>
      </c>
      <c r="S1083" s="4" t="s">
        <v>304</v>
      </c>
      <c r="T1083" s="4">
        <v>207.9</v>
      </c>
      <c r="V1083" s="4">
        <v>2.5</v>
      </c>
      <c r="Z1083" s="4" t="s">
        <v>1011</v>
      </c>
      <c r="AB1083" s="4" t="s">
        <v>1012</v>
      </c>
      <c r="AC1083" s="4" t="s">
        <v>1013</v>
      </c>
      <c r="AD1083" s="4" t="s">
        <v>1014</v>
      </c>
      <c r="AE1083" s="4" t="s">
        <v>1015</v>
      </c>
      <c r="AF1083" s="4" t="s">
        <v>1016</v>
      </c>
      <c r="BI1083" s="4" t="s">
        <v>309</v>
      </c>
      <c r="BN1083" s="4">
        <v>1</v>
      </c>
      <c r="BS1083" s="4">
        <v>6.5</v>
      </c>
      <c r="BU1083" s="4">
        <v>200</v>
      </c>
      <c r="BW1083" s="4">
        <v>25</v>
      </c>
      <c r="CB1083" s="4" t="s">
        <v>496</v>
      </c>
      <c r="CC1083" s="4" t="s">
        <v>1018</v>
      </c>
      <c r="CE1083" s="4" t="s">
        <v>1017</v>
      </c>
      <c r="CF1083" s="4" t="s">
        <v>1018</v>
      </c>
      <c r="DE1083" s="4">
        <v>56.31</v>
      </c>
      <c r="DG1083" s="4">
        <v>67.83</v>
      </c>
      <c r="DO1083" s="4">
        <v>3</v>
      </c>
      <c r="DW1083" s="29">
        <v>67.83</v>
      </c>
      <c r="FA1083" s="29">
        <v>56.31</v>
      </c>
    </row>
    <row r="1084" customHeight="1" spans="1:179">
      <c r="A1084" s="39">
        <v>33</v>
      </c>
      <c r="B1084" s="4" t="s">
        <v>1008</v>
      </c>
      <c r="C1084" s="5" t="s">
        <v>1009</v>
      </c>
      <c r="D1084" s="4" t="s">
        <v>300</v>
      </c>
      <c r="E1084" s="4" t="s">
        <v>1010</v>
      </c>
      <c r="N1084" s="4" t="s">
        <v>536</v>
      </c>
      <c r="O1084" s="4" t="s">
        <v>502</v>
      </c>
      <c r="P1084" s="4">
        <v>1</v>
      </c>
      <c r="Q1084" s="4" t="s">
        <v>539</v>
      </c>
      <c r="R1084" s="4" t="s">
        <v>680</v>
      </c>
      <c r="S1084" s="4" t="s">
        <v>304</v>
      </c>
      <c r="T1084" s="4">
        <v>207.9</v>
      </c>
      <c r="V1084" s="4">
        <v>2.5</v>
      </c>
      <c r="Z1084" s="4" t="s">
        <v>1011</v>
      </c>
      <c r="AB1084" s="4" t="s">
        <v>1012</v>
      </c>
      <c r="AC1084" s="4" t="s">
        <v>1013</v>
      </c>
      <c r="AD1084" s="4" t="s">
        <v>1014</v>
      </c>
      <c r="AE1084" s="4" t="s">
        <v>1015</v>
      </c>
      <c r="AF1084" s="4" t="s">
        <v>1016</v>
      </c>
      <c r="BI1084" s="1" t="s">
        <v>309</v>
      </c>
      <c r="BJ1084" s="1"/>
      <c r="BK1084" s="1"/>
      <c r="BL1084" s="1"/>
      <c r="BM1084" s="1"/>
      <c r="BN1084" s="1">
        <v>1</v>
      </c>
      <c r="BO1084" s="1"/>
      <c r="BP1084" s="1"/>
      <c r="BQ1084" s="1"/>
      <c r="BS1084" s="1">
        <v>6.5</v>
      </c>
      <c r="BT1084" s="1"/>
      <c r="BU1084" s="1">
        <v>200</v>
      </c>
      <c r="BW1084" s="1">
        <v>25</v>
      </c>
      <c r="BX1084" s="1"/>
      <c r="BY1084" s="1"/>
      <c r="BZ1084" s="1"/>
      <c r="CA1084" s="29"/>
      <c r="CB1084" s="29" t="s">
        <v>496</v>
      </c>
      <c r="CC1084" s="1">
        <v>20</v>
      </c>
      <c r="CD1084" s="1"/>
      <c r="CE1084" s="29"/>
      <c r="CF1084" s="1"/>
      <c r="FE1084" s="1">
        <v>49.59</v>
      </c>
      <c r="FF1084" s="1">
        <v>0.55</v>
      </c>
      <c r="FH1084" s="1">
        <v>49.59</v>
      </c>
    </row>
    <row r="1085" customHeight="1" spans="1:179">
      <c r="A1085" s="39">
        <v>33</v>
      </c>
      <c r="B1085" s="4" t="s">
        <v>1008</v>
      </c>
      <c r="C1085" s="5" t="s">
        <v>1009</v>
      </c>
      <c r="D1085" s="4" t="s">
        <v>300</v>
      </c>
      <c r="E1085" s="4" t="s">
        <v>1010</v>
      </c>
      <c r="N1085" s="4" t="s">
        <v>536</v>
      </c>
      <c r="O1085" s="4" t="s">
        <v>502</v>
      </c>
      <c r="P1085" s="4">
        <v>1</v>
      </c>
      <c r="Q1085" s="4" t="s">
        <v>539</v>
      </c>
      <c r="R1085" s="4" t="s">
        <v>680</v>
      </c>
      <c r="S1085" s="4" t="s">
        <v>304</v>
      </c>
      <c r="T1085" s="4">
        <v>207.9</v>
      </c>
      <c r="V1085" s="4">
        <v>2.5</v>
      </c>
      <c r="Z1085" s="4" t="s">
        <v>1011</v>
      </c>
      <c r="AB1085" s="4" t="s">
        <v>1012</v>
      </c>
      <c r="AC1085" s="4" t="s">
        <v>1013</v>
      </c>
      <c r="AD1085" s="4" t="s">
        <v>1014</v>
      </c>
      <c r="AE1085" s="4" t="s">
        <v>1015</v>
      </c>
      <c r="AF1085" s="4" t="s">
        <v>1016</v>
      </c>
      <c r="BI1085" s="1" t="s">
        <v>309</v>
      </c>
      <c r="BJ1085" s="1"/>
      <c r="BK1085" s="1"/>
      <c r="BL1085" s="1"/>
      <c r="BM1085" s="1"/>
      <c r="BN1085" s="1">
        <v>1</v>
      </c>
      <c r="BO1085" s="1"/>
      <c r="BP1085" s="1"/>
      <c r="BQ1085" s="1"/>
      <c r="BS1085" s="1">
        <v>6.5</v>
      </c>
      <c r="BT1085" s="1"/>
      <c r="BU1085" s="1">
        <v>200</v>
      </c>
      <c r="BW1085" s="1">
        <v>25</v>
      </c>
      <c r="BX1085" s="1"/>
      <c r="BY1085" s="1"/>
      <c r="BZ1085" s="1"/>
      <c r="CA1085" s="29"/>
      <c r="CB1085" s="29" t="s">
        <v>1017</v>
      </c>
      <c r="CC1085" s="1">
        <v>20</v>
      </c>
      <c r="CD1085" s="1"/>
      <c r="CE1085" s="29"/>
      <c r="CF1085" s="1"/>
      <c r="EA1085" s="1">
        <v>88.71</v>
      </c>
      <c r="EB1085" s="1">
        <v>0.28</v>
      </c>
      <c r="ED1085" s="1">
        <v>88.71</v>
      </c>
    </row>
    <row r="1086" customHeight="1" spans="1:179">
      <c r="A1086" s="39">
        <v>33</v>
      </c>
      <c r="B1086" s="4" t="s">
        <v>1008</v>
      </c>
      <c r="C1086" s="5" t="s">
        <v>1009</v>
      </c>
      <c r="D1086" s="4" t="s">
        <v>300</v>
      </c>
      <c r="E1086" s="4" t="s">
        <v>1010</v>
      </c>
      <c r="N1086" s="4" t="s">
        <v>536</v>
      </c>
      <c r="O1086" s="4" t="s">
        <v>502</v>
      </c>
      <c r="P1086" s="4">
        <v>1</v>
      </c>
      <c r="Q1086" s="4" t="s">
        <v>539</v>
      </c>
      <c r="R1086" s="4" t="s">
        <v>680</v>
      </c>
      <c r="S1086" s="4" t="s">
        <v>304</v>
      </c>
      <c r="T1086" s="4">
        <v>207.9</v>
      </c>
      <c r="V1086" s="4">
        <v>2.5</v>
      </c>
      <c r="Z1086" s="4" t="s">
        <v>1011</v>
      </c>
      <c r="AB1086" s="4" t="s">
        <v>1012</v>
      </c>
      <c r="AC1086" s="4" t="s">
        <v>1013</v>
      </c>
      <c r="AD1086" s="4" t="s">
        <v>1014</v>
      </c>
      <c r="AE1086" s="4" t="s">
        <v>1015</v>
      </c>
      <c r="AF1086" s="4" t="s">
        <v>1016</v>
      </c>
      <c r="BI1086" s="1" t="s">
        <v>309</v>
      </c>
      <c r="BJ1086" s="1"/>
      <c r="BK1086" s="1"/>
      <c r="BL1086" s="1"/>
      <c r="BM1086" s="1"/>
      <c r="BN1086" s="1">
        <v>1</v>
      </c>
      <c r="BO1086" s="1"/>
      <c r="BP1086" s="1"/>
      <c r="BQ1086" s="1"/>
      <c r="BS1086" s="1">
        <v>6.5</v>
      </c>
      <c r="BT1086" s="1"/>
      <c r="BU1086" s="1">
        <v>200</v>
      </c>
      <c r="BW1086" s="1">
        <v>25</v>
      </c>
      <c r="BX1086" s="1"/>
      <c r="BY1086" s="1"/>
      <c r="BZ1086" s="1"/>
      <c r="CA1086" s="29"/>
      <c r="CB1086" s="29" t="s">
        <v>496</v>
      </c>
      <c r="CC1086" s="1">
        <v>100</v>
      </c>
      <c r="CD1086" s="1"/>
      <c r="CE1086" s="29"/>
      <c r="CF1086" s="1"/>
      <c r="FE1086" s="1">
        <v>49.86</v>
      </c>
      <c r="FF1086" s="1">
        <v>0</v>
      </c>
      <c r="FH1086" s="1">
        <v>49.86</v>
      </c>
    </row>
    <row r="1087" customHeight="1" spans="1:179">
      <c r="A1087" s="39">
        <v>33</v>
      </c>
      <c r="B1087" s="4" t="s">
        <v>1008</v>
      </c>
      <c r="C1087" s="5" t="s">
        <v>1009</v>
      </c>
      <c r="D1087" s="4" t="s">
        <v>300</v>
      </c>
      <c r="E1087" s="4" t="s">
        <v>1010</v>
      </c>
      <c r="N1087" s="4" t="s">
        <v>536</v>
      </c>
      <c r="O1087" s="4" t="s">
        <v>502</v>
      </c>
      <c r="P1087" s="4">
        <v>1</v>
      </c>
      <c r="Q1087" s="4" t="s">
        <v>539</v>
      </c>
      <c r="R1087" s="4" t="s">
        <v>680</v>
      </c>
      <c r="S1087" s="4" t="s">
        <v>304</v>
      </c>
      <c r="T1087" s="4">
        <v>207.9</v>
      </c>
      <c r="V1087" s="4">
        <v>2.5</v>
      </c>
      <c r="Z1087" s="4" t="s">
        <v>1011</v>
      </c>
      <c r="AB1087" s="4" t="s">
        <v>1012</v>
      </c>
      <c r="AC1087" s="4" t="s">
        <v>1013</v>
      </c>
      <c r="AD1087" s="4" t="s">
        <v>1014</v>
      </c>
      <c r="AE1087" s="4" t="s">
        <v>1015</v>
      </c>
      <c r="AF1087" s="4" t="s">
        <v>1016</v>
      </c>
      <c r="BI1087" s="1" t="s">
        <v>309</v>
      </c>
      <c r="BJ1087" s="1"/>
      <c r="BK1087" s="1"/>
      <c r="BL1087" s="1"/>
      <c r="BM1087" s="1"/>
      <c r="BN1087" s="1">
        <v>1</v>
      </c>
      <c r="BO1087" s="1"/>
      <c r="BP1087" s="1"/>
      <c r="BQ1087" s="1"/>
      <c r="BS1087" s="1">
        <v>6.5</v>
      </c>
      <c r="BT1087" s="1"/>
      <c r="BU1087" s="1">
        <v>200</v>
      </c>
      <c r="BW1087" s="1">
        <v>25</v>
      </c>
      <c r="BX1087" s="1"/>
      <c r="BY1087" s="1"/>
      <c r="BZ1087" s="1"/>
      <c r="CA1087" s="29"/>
      <c r="CB1087" s="29" t="s">
        <v>1017</v>
      </c>
      <c r="CC1087" s="1">
        <v>100</v>
      </c>
      <c r="CD1087" s="1"/>
      <c r="CE1087" s="29"/>
      <c r="CF1087" s="1"/>
      <c r="EA1087" s="1">
        <v>76.73</v>
      </c>
      <c r="EB1087" s="1">
        <v>0.28</v>
      </c>
      <c r="ED1087" s="1">
        <v>76.73</v>
      </c>
    </row>
    <row r="1088" customHeight="1" spans="1:179">
      <c r="A1088" s="39">
        <v>33</v>
      </c>
      <c r="B1088" s="4" t="s">
        <v>1008</v>
      </c>
      <c r="C1088" s="5" t="s">
        <v>1009</v>
      </c>
      <c r="D1088" s="4" t="s">
        <v>300</v>
      </c>
      <c r="E1088" s="4" t="s">
        <v>1010</v>
      </c>
      <c r="N1088" s="4" t="s">
        <v>536</v>
      </c>
      <c r="O1088" s="4" t="s">
        <v>502</v>
      </c>
      <c r="P1088" s="4">
        <v>1</v>
      </c>
      <c r="Q1088" s="4" t="s">
        <v>539</v>
      </c>
      <c r="R1088" s="4" t="s">
        <v>680</v>
      </c>
      <c r="S1088" s="4" t="s">
        <v>304</v>
      </c>
      <c r="T1088" s="4">
        <v>207.9</v>
      </c>
      <c r="V1088" s="4">
        <v>2.5</v>
      </c>
      <c r="Z1088" s="4" t="s">
        <v>1011</v>
      </c>
      <c r="AB1088" s="4" t="s">
        <v>1012</v>
      </c>
      <c r="AC1088" s="4" t="s">
        <v>1013</v>
      </c>
      <c r="AD1088" s="4" t="s">
        <v>1014</v>
      </c>
      <c r="AE1088" s="4" t="s">
        <v>1015</v>
      </c>
      <c r="AF1088" s="4" t="s">
        <v>1016</v>
      </c>
      <c r="BI1088" s="1" t="s">
        <v>309</v>
      </c>
      <c r="BJ1088" s="1"/>
      <c r="BK1088" s="1"/>
      <c r="BL1088" s="1"/>
      <c r="BM1088" s="1"/>
      <c r="BN1088" s="1">
        <v>1</v>
      </c>
      <c r="BO1088" s="1"/>
      <c r="BP1088" s="1"/>
      <c r="BQ1088" s="1"/>
      <c r="BS1088" s="1">
        <v>6.5</v>
      </c>
      <c r="BT1088" s="1"/>
      <c r="BU1088" s="1">
        <v>200</v>
      </c>
      <c r="BW1088" s="1">
        <v>25</v>
      </c>
      <c r="BX1088" s="1"/>
      <c r="BY1088" s="1"/>
      <c r="BZ1088" s="1"/>
      <c r="CA1088" s="29"/>
      <c r="CB1088" s="29" t="s">
        <v>496</v>
      </c>
      <c r="CC1088" s="1">
        <v>20</v>
      </c>
      <c r="CD1088" s="1"/>
      <c r="CE1088" s="29" t="s">
        <v>1017</v>
      </c>
      <c r="CF1088" s="1">
        <v>20</v>
      </c>
      <c r="EA1088" s="1">
        <v>90.24</v>
      </c>
      <c r="EB1088" s="1">
        <v>0.27</v>
      </c>
      <c r="ED1088" s="1">
        <v>90.24</v>
      </c>
      <c r="FE1088" s="1">
        <v>57.45</v>
      </c>
      <c r="FF1088" s="1">
        <v>0</v>
      </c>
      <c r="FH1088" s="1">
        <v>57.45</v>
      </c>
    </row>
    <row r="1089" customHeight="1" spans="1:164">
      <c r="A1089" s="39">
        <v>33</v>
      </c>
      <c r="B1089" s="4" t="s">
        <v>1008</v>
      </c>
      <c r="C1089" s="5" t="s">
        <v>1009</v>
      </c>
      <c r="D1089" s="4" t="s">
        <v>300</v>
      </c>
      <c r="E1089" s="4" t="s">
        <v>1010</v>
      </c>
      <c r="N1089" s="4" t="s">
        <v>536</v>
      </c>
      <c r="O1089" s="4" t="s">
        <v>502</v>
      </c>
      <c r="P1089" s="4">
        <v>1</v>
      </c>
      <c r="Q1089" s="4" t="s">
        <v>539</v>
      </c>
      <c r="R1089" s="4" t="s">
        <v>680</v>
      </c>
      <c r="S1089" s="4" t="s">
        <v>304</v>
      </c>
      <c r="T1089" s="4">
        <v>207.9</v>
      </c>
      <c r="V1089" s="4">
        <v>2.5</v>
      </c>
      <c r="Z1089" s="4" t="s">
        <v>1011</v>
      </c>
      <c r="AB1089" s="4" t="s">
        <v>1012</v>
      </c>
      <c r="AC1089" s="4" t="s">
        <v>1013</v>
      </c>
      <c r="AD1089" s="4" t="s">
        <v>1014</v>
      </c>
      <c r="AE1089" s="4" t="s">
        <v>1015</v>
      </c>
      <c r="AF1089" s="4" t="s">
        <v>1016</v>
      </c>
      <c r="BI1089" s="1" t="s">
        <v>309</v>
      </c>
      <c r="BJ1089" s="1"/>
      <c r="BK1089" s="1"/>
      <c r="BL1089" s="1"/>
      <c r="BM1089" s="1"/>
      <c r="BN1089" s="1">
        <v>1</v>
      </c>
      <c r="BO1089" s="1"/>
      <c r="BP1089" s="1"/>
      <c r="BQ1089" s="1"/>
      <c r="BS1089" s="1">
        <v>6.5</v>
      </c>
      <c r="BT1089" s="1"/>
      <c r="BU1089" s="1">
        <v>200</v>
      </c>
      <c r="BW1089" s="1">
        <v>25</v>
      </c>
      <c r="BX1089" s="1"/>
      <c r="BY1089" s="1"/>
      <c r="BZ1089" s="1"/>
      <c r="CA1089" s="29"/>
      <c r="CB1089" s="29" t="s">
        <v>496</v>
      </c>
      <c r="CC1089" s="1">
        <v>100</v>
      </c>
      <c r="CD1089" s="1"/>
      <c r="CE1089" s="29" t="s">
        <v>1017</v>
      </c>
      <c r="CF1089" s="1">
        <v>100</v>
      </c>
      <c r="EA1089" s="1">
        <v>82.17</v>
      </c>
      <c r="EB1089" s="1">
        <v>0.28</v>
      </c>
      <c r="ED1089" s="1">
        <v>82.17</v>
      </c>
      <c r="FE1089" s="1">
        <v>52.09</v>
      </c>
      <c r="FF1089" s="1">
        <v>0.28</v>
      </c>
      <c r="FH1089" s="1">
        <v>52.09</v>
      </c>
    </row>
    <row r="1090" customHeight="1" spans="1:164">
      <c r="A1090" s="39">
        <v>33</v>
      </c>
      <c r="B1090" s="4" t="s">
        <v>1008</v>
      </c>
      <c r="C1090" s="5" t="s">
        <v>1019</v>
      </c>
      <c r="D1090" s="4" t="s">
        <v>300</v>
      </c>
      <c r="E1090" s="4" t="s">
        <v>1010</v>
      </c>
      <c r="N1090" s="4" t="s">
        <v>536</v>
      </c>
      <c r="O1090" s="4" t="s">
        <v>502</v>
      </c>
      <c r="P1090" s="4">
        <v>2</v>
      </c>
      <c r="Q1090" s="4" t="s">
        <v>539</v>
      </c>
      <c r="R1090" s="4" t="s">
        <v>680</v>
      </c>
      <c r="S1090" s="4" t="s">
        <v>304</v>
      </c>
      <c r="T1090" s="4">
        <v>197.7</v>
      </c>
      <c r="V1090" s="4">
        <v>3.3</v>
      </c>
      <c r="Z1090" s="4" t="s">
        <v>1011</v>
      </c>
      <c r="AB1090" s="4" t="s">
        <v>1020</v>
      </c>
      <c r="AC1090" s="4" t="s">
        <v>1013</v>
      </c>
      <c r="AD1090" s="4" t="s">
        <v>1014</v>
      </c>
      <c r="AE1090" s="4" t="s">
        <v>1015</v>
      </c>
      <c r="AF1090" s="4" t="s">
        <v>1016</v>
      </c>
      <c r="BI1090" s="4" t="s">
        <v>309</v>
      </c>
      <c r="BN1090" s="4">
        <v>1</v>
      </c>
      <c r="BS1090" s="4">
        <v>6.5</v>
      </c>
      <c r="BU1090" s="4">
        <v>200</v>
      </c>
      <c r="BV1090" s="4" t="s">
        <v>495</v>
      </c>
      <c r="BW1090" s="4">
        <v>25</v>
      </c>
      <c r="CB1090" s="4" t="s">
        <v>496</v>
      </c>
      <c r="CC1090" s="4">
        <v>200</v>
      </c>
      <c r="CX1090" s="4" t="s">
        <v>314</v>
      </c>
      <c r="DO1090" s="4">
        <v>3</v>
      </c>
    </row>
    <row r="1091" customHeight="1" spans="1:164">
      <c r="A1091" s="39">
        <v>33</v>
      </c>
      <c r="B1091" s="4" t="s">
        <v>1008</v>
      </c>
      <c r="C1091" s="5" t="s">
        <v>1019</v>
      </c>
      <c r="D1091" s="4" t="s">
        <v>300</v>
      </c>
      <c r="E1091" s="4" t="s">
        <v>1010</v>
      </c>
      <c r="N1091" s="4" t="s">
        <v>536</v>
      </c>
      <c r="O1091" s="4" t="s">
        <v>502</v>
      </c>
      <c r="P1091" s="4">
        <v>2</v>
      </c>
      <c r="Q1091" s="4" t="s">
        <v>539</v>
      </c>
      <c r="R1091" s="4" t="s">
        <v>680</v>
      </c>
      <c r="S1091" s="4" t="s">
        <v>304</v>
      </c>
      <c r="T1091" s="4">
        <v>197.7</v>
      </c>
      <c r="V1091" s="4">
        <v>3.3</v>
      </c>
      <c r="Z1091" s="4" t="s">
        <v>1011</v>
      </c>
      <c r="AB1091" s="4" t="s">
        <v>1020</v>
      </c>
      <c r="AC1091" s="4" t="s">
        <v>1013</v>
      </c>
      <c r="AD1091" s="4" t="s">
        <v>1014</v>
      </c>
      <c r="AE1091" s="4" t="s">
        <v>1015</v>
      </c>
      <c r="AF1091" s="4" t="s">
        <v>1016</v>
      </c>
      <c r="BI1091" s="4" t="s">
        <v>309</v>
      </c>
      <c r="BN1091" s="4">
        <v>1</v>
      </c>
      <c r="BS1091" s="4">
        <v>6.5</v>
      </c>
      <c r="BU1091" s="4">
        <v>200</v>
      </c>
      <c r="BV1091" s="4" t="s">
        <v>495</v>
      </c>
      <c r="BW1091" s="4">
        <v>25</v>
      </c>
      <c r="CB1091" s="4" t="s">
        <v>1017</v>
      </c>
      <c r="CC1091" s="4">
        <v>200</v>
      </c>
      <c r="CX1091" s="4" t="s">
        <v>314</v>
      </c>
      <c r="DO1091" s="4">
        <v>3</v>
      </c>
    </row>
    <row r="1092" customHeight="1" spans="1:164">
      <c r="A1092" s="39">
        <v>33</v>
      </c>
      <c r="B1092" s="4" t="s">
        <v>1008</v>
      </c>
      <c r="C1092" s="5" t="s">
        <v>1019</v>
      </c>
      <c r="D1092" s="4" t="s">
        <v>300</v>
      </c>
      <c r="E1092" s="4" t="s">
        <v>1010</v>
      </c>
      <c r="N1092" s="4" t="s">
        <v>536</v>
      </c>
      <c r="O1092" s="4" t="s">
        <v>502</v>
      </c>
      <c r="P1092" s="4">
        <v>2</v>
      </c>
      <c r="Q1092" s="4" t="s">
        <v>539</v>
      </c>
      <c r="R1092" s="4" t="s">
        <v>680</v>
      </c>
      <c r="S1092" s="4" t="s">
        <v>304</v>
      </c>
      <c r="T1092" s="4">
        <v>197.7</v>
      </c>
      <c r="V1092" s="4">
        <v>3.3</v>
      </c>
      <c r="Z1092" s="4" t="s">
        <v>1011</v>
      </c>
      <c r="AB1092" s="4" t="s">
        <v>1020</v>
      </c>
      <c r="AC1092" s="4" t="s">
        <v>1013</v>
      </c>
      <c r="AD1092" s="4" t="s">
        <v>1014</v>
      </c>
      <c r="AE1092" s="4" t="s">
        <v>1015</v>
      </c>
      <c r="AF1092" s="4" t="s">
        <v>1016</v>
      </c>
      <c r="BI1092" s="4" t="s">
        <v>309</v>
      </c>
      <c r="BN1092" s="4">
        <v>1</v>
      </c>
      <c r="BS1092" s="4">
        <v>6.5</v>
      </c>
      <c r="BU1092" s="4">
        <v>200</v>
      </c>
      <c r="BW1092" s="4">
        <v>25</v>
      </c>
      <c r="CB1092" s="4" t="s">
        <v>496</v>
      </c>
      <c r="CC1092" s="4" t="s">
        <v>1018</v>
      </c>
      <c r="DE1092" s="4">
        <v>103.95</v>
      </c>
      <c r="DO1092" s="4">
        <v>3</v>
      </c>
      <c r="FA1092" s="29">
        <v>103.95</v>
      </c>
    </row>
    <row r="1093" customHeight="1" spans="1:164">
      <c r="A1093" s="39">
        <v>33</v>
      </c>
      <c r="B1093" s="4" t="s">
        <v>1008</v>
      </c>
      <c r="C1093" s="5" t="s">
        <v>1019</v>
      </c>
      <c r="D1093" s="4" t="s">
        <v>300</v>
      </c>
      <c r="E1093" s="4" t="s">
        <v>1010</v>
      </c>
      <c r="N1093" s="4" t="s">
        <v>536</v>
      </c>
      <c r="O1093" s="4" t="s">
        <v>502</v>
      </c>
      <c r="P1093" s="4">
        <v>2</v>
      </c>
      <c r="Q1093" s="4" t="s">
        <v>539</v>
      </c>
      <c r="R1093" s="4" t="s">
        <v>680</v>
      </c>
      <c r="S1093" s="4" t="s">
        <v>304</v>
      </c>
      <c r="T1093" s="4">
        <v>197.7</v>
      </c>
      <c r="V1093" s="4">
        <v>3.3</v>
      </c>
      <c r="Z1093" s="4" t="s">
        <v>1011</v>
      </c>
      <c r="AB1093" s="4" t="s">
        <v>1020</v>
      </c>
      <c r="AC1093" s="4" t="s">
        <v>1013</v>
      </c>
      <c r="AD1093" s="4" t="s">
        <v>1014</v>
      </c>
      <c r="AE1093" s="4" t="s">
        <v>1015</v>
      </c>
      <c r="AF1093" s="4" t="s">
        <v>1016</v>
      </c>
      <c r="BI1093" s="4" t="s">
        <v>309</v>
      </c>
      <c r="BN1093" s="4">
        <v>1</v>
      </c>
      <c r="BS1093" s="4">
        <v>6.5</v>
      </c>
      <c r="BU1093" s="4">
        <v>200</v>
      </c>
      <c r="BW1093" s="4">
        <v>25</v>
      </c>
      <c r="CB1093" s="4" t="s">
        <v>1017</v>
      </c>
      <c r="CC1093" s="4" t="s">
        <v>1018</v>
      </c>
      <c r="DE1093" s="4">
        <v>109.22</v>
      </c>
      <c r="DO1093" s="4">
        <v>3</v>
      </c>
      <c r="DW1093" s="29">
        <v>109.22</v>
      </c>
    </row>
    <row r="1094" customHeight="1" spans="1:164">
      <c r="A1094" s="39">
        <v>33</v>
      </c>
      <c r="B1094" s="4" t="s">
        <v>1008</v>
      </c>
      <c r="C1094" s="5" t="s">
        <v>1019</v>
      </c>
      <c r="D1094" s="4" t="s">
        <v>300</v>
      </c>
      <c r="E1094" s="4" t="s">
        <v>1010</v>
      </c>
      <c r="N1094" s="4" t="s">
        <v>536</v>
      </c>
      <c r="O1094" s="4" t="s">
        <v>502</v>
      </c>
      <c r="P1094" s="4">
        <v>2</v>
      </c>
      <c r="Q1094" s="4" t="s">
        <v>539</v>
      </c>
      <c r="R1094" s="4" t="s">
        <v>680</v>
      </c>
      <c r="S1094" s="4" t="s">
        <v>304</v>
      </c>
      <c r="T1094" s="4">
        <v>197.7</v>
      </c>
      <c r="V1094" s="4">
        <v>3.3</v>
      </c>
      <c r="Z1094" s="4" t="s">
        <v>1011</v>
      </c>
      <c r="AB1094" s="4" t="s">
        <v>1020</v>
      </c>
      <c r="AC1094" s="4" t="s">
        <v>1013</v>
      </c>
      <c r="AD1094" s="4" t="s">
        <v>1014</v>
      </c>
      <c r="AE1094" s="4" t="s">
        <v>1015</v>
      </c>
      <c r="AF1094" s="4" t="s">
        <v>1016</v>
      </c>
      <c r="BI1094" s="4" t="s">
        <v>309</v>
      </c>
      <c r="BN1094" s="4">
        <v>1</v>
      </c>
      <c r="BS1094" s="4">
        <v>6.5</v>
      </c>
      <c r="BU1094" s="4">
        <v>200</v>
      </c>
      <c r="BW1094" s="4">
        <v>25</v>
      </c>
      <c r="CB1094" s="4" t="s">
        <v>496</v>
      </c>
      <c r="CC1094" s="4" t="s">
        <v>1018</v>
      </c>
      <c r="CE1094" s="4" t="s">
        <v>1017</v>
      </c>
      <c r="CF1094" s="4" t="s">
        <v>1018</v>
      </c>
      <c r="DE1094" s="4">
        <v>140.04</v>
      </c>
      <c r="DG1094" s="4">
        <v>211.48</v>
      </c>
      <c r="DO1094" s="4">
        <v>3</v>
      </c>
      <c r="DW1094" s="29">
        <v>211.48</v>
      </c>
      <c r="FA1094" s="29">
        <v>140.04</v>
      </c>
    </row>
    <row r="1095" customHeight="1" spans="1:164">
      <c r="A1095" s="39">
        <v>33</v>
      </c>
      <c r="B1095" s="4" t="s">
        <v>1008</v>
      </c>
      <c r="C1095" s="5" t="s">
        <v>1019</v>
      </c>
      <c r="D1095" s="4" t="s">
        <v>300</v>
      </c>
      <c r="E1095" s="4" t="s">
        <v>1010</v>
      </c>
      <c r="N1095" s="4" t="s">
        <v>536</v>
      </c>
      <c r="O1095" s="4" t="s">
        <v>502</v>
      </c>
      <c r="P1095" s="4">
        <v>2</v>
      </c>
      <c r="Q1095" s="4" t="s">
        <v>539</v>
      </c>
      <c r="R1095" s="4" t="s">
        <v>680</v>
      </c>
      <c r="S1095" s="4" t="s">
        <v>304</v>
      </c>
      <c r="T1095" s="4">
        <v>197.7</v>
      </c>
      <c r="V1095" s="4">
        <v>3.3</v>
      </c>
      <c r="Z1095" s="4" t="s">
        <v>1011</v>
      </c>
      <c r="AB1095" s="4" t="s">
        <v>1020</v>
      </c>
      <c r="AC1095" s="4" t="s">
        <v>1013</v>
      </c>
      <c r="AD1095" s="4" t="s">
        <v>1014</v>
      </c>
      <c r="AE1095" s="4" t="s">
        <v>1015</v>
      </c>
      <c r="AF1095" s="4" t="s">
        <v>1016</v>
      </c>
      <c r="BI1095" s="1" t="s">
        <v>309</v>
      </c>
      <c r="BJ1095" s="1"/>
      <c r="BK1095" s="1"/>
      <c r="BL1095" s="1"/>
      <c r="BM1095" s="1"/>
      <c r="BN1095" s="1">
        <v>1</v>
      </c>
      <c r="BO1095" s="1"/>
      <c r="BP1095" s="1"/>
      <c r="BQ1095" s="1"/>
      <c r="BS1095" s="1">
        <v>6.5</v>
      </c>
      <c r="BT1095" s="1"/>
      <c r="BU1095" s="1">
        <v>200</v>
      </c>
      <c r="BV1095" s="1"/>
      <c r="BW1095" s="1">
        <v>25</v>
      </c>
      <c r="BX1095" s="1"/>
      <c r="BY1095" s="1"/>
      <c r="BZ1095" s="1"/>
      <c r="CA1095" s="29" t="s">
        <v>496</v>
      </c>
      <c r="CB1095" s="1">
        <v>20</v>
      </c>
      <c r="CC1095" s="1"/>
      <c r="CD1095" s="29"/>
      <c r="CE1095" s="1"/>
      <c r="EA1095" s="4"/>
      <c r="ED1095" s="4"/>
      <c r="FE1095" s="4">
        <v>91.18</v>
      </c>
      <c r="FF1095" s="1">
        <v>0.28</v>
      </c>
      <c r="FH1095" s="4">
        <v>91.18</v>
      </c>
    </row>
    <row r="1096" customHeight="1" spans="1:164">
      <c r="A1096" s="39">
        <v>33</v>
      </c>
      <c r="B1096" s="4" t="s">
        <v>1008</v>
      </c>
      <c r="C1096" s="5" t="s">
        <v>1019</v>
      </c>
      <c r="D1096" s="4" t="s">
        <v>300</v>
      </c>
      <c r="E1096" s="4" t="s">
        <v>1010</v>
      </c>
      <c r="N1096" s="4" t="s">
        <v>536</v>
      </c>
      <c r="O1096" s="4" t="s">
        <v>502</v>
      </c>
      <c r="P1096" s="4">
        <v>2</v>
      </c>
      <c r="Q1096" s="4" t="s">
        <v>539</v>
      </c>
      <c r="R1096" s="4" t="s">
        <v>680</v>
      </c>
      <c r="S1096" s="4" t="s">
        <v>304</v>
      </c>
      <c r="T1096" s="4">
        <v>197.7</v>
      </c>
      <c r="V1096" s="4">
        <v>3.3</v>
      </c>
      <c r="Z1096" s="4" t="s">
        <v>1011</v>
      </c>
      <c r="AB1096" s="4" t="s">
        <v>1020</v>
      </c>
      <c r="AC1096" s="4" t="s">
        <v>1013</v>
      </c>
      <c r="AD1096" s="4" t="s">
        <v>1014</v>
      </c>
      <c r="AE1096" s="4" t="s">
        <v>1015</v>
      </c>
      <c r="AF1096" s="4" t="s">
        <v>1016</v>
      </c>
      <c r="BI1096" s="1" t="s">
        <v>309</v>
      </c>
      <c r="BJ1096" s="1"/>
      <c r="BK1096" s="1"/>
      <c r="BL1096" s="1"/>
      <c r="BM1096" s="1"/>
      <c r="BN1096" s="1">
        <v>1</v>
      </c>
      <c r="BO1096" s="1"/>
      <c r="BP1096" s="1"/>
      <c r="BQ1096" s="1"/>
      <c r="BS1096" s="1">
        <v>6.5</v>
      </c>
      <c r="BT1096" s="1"/>
      <c r="BU1096" s="1">
        <v>200</v>
      </c>
      <c r="BV1096" s="1"/>
      <c r="BW1096" s="1">
        <v>25</v>
      </c>
      <c r="BX1096" s="1"/>
      <c r="BY1096" s="1"/>
      <c r="BZ1096" s="1"/>
      <c r="CA1096" s="29" t="s">
        <v>1017</v>
      </c>
      <c r="CB1096" s="1">
        <v>20</v>
      </c>
      <c r="CC1096" s="1"/>
      <c r="CD1096" s="29"/>
      <c r="CE1096" s="1"/>
      <c r="EA1096" s="4">
        <v>99.45</v>
      </c>
      <c r="EB1096" s="1">
        <v>0.28</v>
      </c>
      <c r="ED1096" s="4">
        <v>99.45</v>
      </c>
      <c r="FE1096" s="4"/>
      <c r="FH1096" s="4"/>
    </row>
    <row r="1097" customHeight="1" spans="1:164">
      <c r="A1097" s="39">
        <v>33</v>
      </c>
      <c r="B1097" s="4" t="s">
        <v>1008</v>
      </c>
      <c r="C1097" s="5" t="s">
        <v>1019</v>
      </c>
      <c r="D1097" s="4" t="s">
        <v>300</v>
      </c>
      <c r="E1097" s="4" t="s">
        <v>1010</v>
      </c>
      <c r="N1097" s="4" t="s">
        <v>536</v>
      </c>
      <c r="O1097" s="4" t="s">
        <v>502</v>
      </c>
      <c r="P1097" s="4">
        <v>2</v>
      </c>
      <c r="Q1097" s="4" t="s">
        <v>539</v>
      </c>
      <c r="R1097" s="4" t="s">
        <v>680</v>
      </c>
      <c r="S1097" s="4" t="s">
        <v>304</v>
      </c>
      <c r="T1097" s="4">
        <v>197.7</v>
      </c>
      <c r="V1097" s="4">
        <v>3.3</v>
      </c>
      <c r="Z1097" s="4" t="s">
        <v>1011</v>
      </c>
      <c r="AB1097" s="4" t="s">
        <v>1020</v>
      </c>
      <c r="AC1097" s="4" t="s">
        <v>1013</v>
      </c>
      <c r="AD1097" s="4" t="s">
        <v>1014</v>
      </c>
      <c r="AE1097" s="4" t="s">
        <v>1015</v>
      </c>
      <c r="AF1097" s="4" t="s">
        <v>1016</v>
      </c>
      <c r="BI1097" s="1" t="s">
        <v>309</v>
      </c>
      <c r="BJ1097" s="1"/>
      <c r="BK1097" s="1"/>
      <c r="BL1097" s="1"/>
      <c r="BM1097" s="1"/>
      <c r="BN1097" s="1">
        <v>1</v>
      </c>
      <c r="BO1097" s="1"/>
      <c r="BP1097" s="1"/>
      <c r="BQ1097" s="1"/>
      <c r="BS1097" s="1">
        <v>6.5</v>
      </c>
      <c r="BT1097" s="1"/>
      <c r="BU1097" s="1">
        <v>200</v>
      </c>
      <c r="BV1097" s="1"/>
      <c r="BW1097" s="1">
        <v>25</v>
      </c>
      <c r="BX1097" s="1"/>
      <c r="BY1097" s="1"/>
      <c r="BZ1097" s="1"/>
      <c r="CA1097" s="29" t="s">
        <v>496</v>
      </c>
      <c r="CB1097" s="1">
        <v>100</v>
      </c>
      <c r="CC1097" s="1"/>
      <c r="CD1097" s="29"/>
      <c r="CE1097" s="1"/>
      <c r="EA1097" s="4"/>
      <c r="ED1097" s="4"/>
      <c r="FE1097" s="4">
        <v>87.26</v>
      </c>
      <c r="FF1097" s="1">
        <v>0</v>
      </c>
      <c r="FH1097" s="4">
        <v>87.26</v>
      </c>
    </row>
    <row r="1098" customHeight="1" spans="1:164">
      <c r="A1098" s="39">
        <v>33</v>
      </c>
      <c r="B1098" s="4" t="s">
        <v>1008</v>
      </c>
      <c r="C1098" s="5" t="s">
        <v>1019</v>
      </c>
      <c r="D1098" s="4" t="s">
        <v>300</v>
      </c>
      <c r="E1098" s="4" t="s">
        <v>1010</v>
      </c>
      <c r="N1098" s="4" t="s">
        <v>536</v>
      </c>
      <c r="O1098" s="4" t="s">
        <v>502</v>
      </c>
      <c r="P1098" s="4">
        <v>2</v>
      </c>
      <c r="Q1098" s="4" t="s">
        <v>539</v>
      </c>
      <c r="R1098" s="4" t="s">
        <v>680</v>
      </c>
      <c r="S1098" s="4" t="s">
        <v>304</v>
      </c>
      <c r="T1098" s="4">
        <v>197.7</v>
      </c>
      <c r="V1098" s="4">
        <v>3.3</v>
      </c>
      <c r="Z1098" s="4" t="s">
        <v>1011</v>
      </c>
      <c r="AB1098" s="4" t="s">
        <v>1020</v>
      </c>
      <c r="AC1098" s="4" t="s">
        <v>1013</v>
      </c>
      <c r="AD1098" s="4" t="s">
        <v>1014</v>
      </c>
      <c r="AE1098" s="4" t="s">
        <v>1015</v>
      </c>
      <c r="AF1098" s="4" t="s">
        <v>1016</v>
      </c>
      <c r="BI1098" s="1" t="s">
        <v>309</v>
      </c>
      <c r="BJ1098" s="1"/>
      <c r="BK1098" s="1"/>
      <c r="BL1098" s="1"/>
      <c r="BM1098" s="1"/>
      <c r="BN1098" s="1">
        <v>1</v>
      </c>
      <c r="BO1098" s="1"/>
      <c r="BP1098" s="1"/>
      <c r="BQ1098" s="1"/>
      <c r="BS1098" s="1">
        <v>6.5</v>
      </c>
      <c r="BT1098" s="1"/>
      <c r="BU1098" s="1">
        <v>200</v>
      </c>
      <c r="BV1098" s="1"/>
      <c r="BW1098" s="1">
        <v>25</v>
      </c>
      <c r="BX1098" s="1"/>
      <c r="BY1098" s="1"/>
      <c r="BZ1098" s="1"/>
      <c r="CA1098" s="29" t="s">
        <v>1017</v>
      </c>
      <c r="CB1098" s="1">
        <v>100</v>
      </c>
      <c r="CC1098" s="1"/>
      <c r="CD1098" s="29"/>
      <c r="CE1098" s="1"/>
      <c r="EA1098" s="4">
        <v>93.35</v>
      </c>
      <c r="EB1098" s="1">
        <v>0</v>
      </c>
      <c r="ED1098" s="4">
        <v>93.35</v>
      </c>
      <c r="FE1098" s="4"/>
      <c r="FH1098" s="4"/>
    </row>
    <row r="1099" customHeight="1" spans="1:164">
      <c r="A1099" s="39">
        <v>33</v>
      </c>
      <c r="B1099" s="4" t="s">
        <v>1008</v>
      </c>
      <c r="C1099" s="5" t="s">
        <v>1019</v>
      </c>
      <c r="D1099" s="4" t="s">
        <v>300</v>
      </c>
      <c r="E1099" s="4" t="s">
        <v>1010</v>
      </c>
      <c r="N1099" s="4" t="s">
        <v>536</v>
      </c>
      <c r="O1099" s="4" t="s">
        <v>502</v>
      </c>
      <c r="P1099" s="4">
        <v>2</v>
      </c>
      <c r="Q1099" s="4" t="s">
        <v>539</v>
      </c>
      <c r="R1099" s="4" t="s">
        <v>680</v>
      </c>
      <c r="S1099" s="4" t="s">
        <v>304</v>
      </c>
      <c r="T1099" s="4">
        <v>197.7</v>
      </c>
      <c r="V1099" s="4">
        <v>3.3</v>
      </c>
      <c r="Z1099" s="4" t="s">
        <v>1011</v>
      </c>
      <c r="AB1099" s="4" t="s">
        <v>1020</v>
      </c>
      <c r="AC1099" s="4" t="s">
        <v>1013</v>
      </c>
      <c r="AD1099" s="4" t="s">
        <v>1014</v>
      </c>
      <c r="AE1099" s="4" t="s">
        <v>1015</v>
      </c>
      <c r="AF1099" s="4" t="s">
        <v>1016</v>
      </c>
      <c r="BI1099" s="1" t="s">
        <v>309</v>
      </c>
      <c r="BJ1099" s="1"/>
      <c r="BK1099" s="1"/>
      <c r="BL1099" s="1"/>
      <c r="BM1099" s="1"/>
      <c r="BN1099" s="1">
        <v>1</v>
      </c>
      <c r="BO1099" s="1"/>
      <c r="BP1099" s="1"/>
      <c r="BQ1099" s="1"/>
      <c r="BS1099" s="1">
        <v>6.5</v>
      </c>
      <c r="BT1099" s="1"/>
      <c r="BU1099" s="1">
        <v>200</v>
      </c>
      <c r="BV1099" s="1"/>
      <c r="BW1099" s="1">
        <v>25</v>
      </c>
      <c r="BX1099" s="1"/>
      <c r="BY1099" s="1"/>
      <c r="BZ1099" s="1"/>
      <c r="CA1099" s="29" t="s">
        <v>496</v>
      </c>
      <c r="CB1099" s="1">
        <v>20</v>
      </c>
      <c r="CC1099" s="1"/>
      <c r="CD1099" s="29" t="s">
        <v>1017</v>
      </c>
      <c r="CE1099" s="1">
        <v>20</v>
      </c>
      <c r="EA1099" s="4">
        <v>100</v>
      </c>
      <c r="EB1099" s="1">
        <v>0</v>
      </c>
      <c r="ED1099" s="4">
        <v>100</v>
      </c>
      <c r="FE1099" s="4">
        <v>99.46</v>
      </c>
      <c r="FF1099" s="1">
        <v>0</v>
      </c>
      <c r="FH1099" s="4">
        <v>99.46</v>
      </c>
    </row>
    <row r="1100" customHeight="1" spans="1:164">
      <c r="A1100" s="39">
        <v>33</v>
      </c>
      <c r="B1100" s="4" t="s">
        <v>1008</v>
      </c>
      <c r="C1100" s="5" t="s">
        <v>1019</v>
      </c>
      <c r="D1100" s="4" t="s">
        <v>300</v>
      </c>
      <c r="E1100" s="4" t="s">
        <v>1010</v>
      </c>
      <c r="N1100" s="4" t="s">
        <v>536</v>
      </c>
      <c r="O1100" s="4" t="s">
        <v>502</v>
      </c>
      <c r="P1100" s="4">
        <v>2</v>
      </c>
      <c r="Q1100" s="4" t="s">
        <v>539</v>
      </c>
      <c r="R1100" s="4" t="s">
        <v>680</v>
      </c>
      <c r="S1100" s="4" t="s">
        <v>304</v>
      </c>
      <c r="T1100" s="4">
        <v>197.7</v>
      </c>
      <c r="V1100" s="4">
        <v>3.3</v>
      </c>
      <c r="Z1100" s="4" t="s">
        <v>1011</v>
      </c>
      <c r="AB1100" s="4" t="s">
        <v>1020</v>
      </c>
      <c r="AC1100" s="4" t="s">
        <v>1013</v>
      </c>
      <c r="AD1100" s="4" t="s">
        <v>1014</v>
      </c>
      <c r="AE1100" s="4" t="s">
        <v>1015</v>
      </c>
      <c r="AF1100" s="4" t="s">
        <v>1016</v>
      </c>
      <c r="BI1100" s="1" t="s">
        <v>309</v>
      </c>
      <c r="BJ1100" s="1"/>
      <c r="BK1100" s="1"/>
      <c r="BL1100" s="1"/>
      <c r="BM1100" s="1"/>
      <c r="BN1100" s="1">
        <v>1</v>
      </c>
      <c r="BO1100" s="1"/>
      <c r="BP1100" s="1"/>
      <c r="BQ1100" s="1"/>
      <c r="BS1100" s="1">
        <v>6.5</v>
      </c>
      <c r="BT1100" s="1"/>
      <c r="BU1100" s="1">
        <v>200</v>
      </c>
      <c r="BV1100" s="1"/>
      <c r="BW1100" s="1">
        <v>25</v>
      </c>
      <c r="BX1100" s="1"/>
      <c r="BY1100" s="1"/>
      <c r="BZ1100" s="1"/>
      <c r="CA1100" s="29" t="s">
        <v>496</v>
      </c>
      <c r="CB1100" s="1">
        <v>100</v>
      </c>
      <c r="CC1100" s="1"/>
      <c r="CD1100" s="29" t="s">
        <v>1017</v>
      </c>
      <c r="CE1100" s="1">
        <v>100</v>
      </c>
      <c r="EA1100" s="4">
        <v>94.15</v>
      </c>
      <c r="EB1100" s="1">
        <v>0</v>
      </c>
      <c r="ED1100" s="4">
        <v>94.15</v>
      </c>
      <c r="FE1100" s="4">
        <v>90.81</v>
      </c>
      <c r="FF1100" s="1">
        <v>0.28</v>
      </c>
      <c r="FH1100" s="4">
        <v>90.81</v>
      </c>
    </row>
    <row r="1101" customHeight="1" spans="1:164">
      <c r="A1101" s="39">
        <v>33</v>
      </c>
      <c r="B1101" s="4" t="s">
        <v>1008</v>
      </c>
      <c r="C1101" s="5" t="s">
        <v>1019</v>
      </c>
      <c r="D1101" s="4" t="s">
        <v>300</v>
      </c>
      <c r="E1101" s="4" t="s">
        <v>1010</v>
      </c>
      <c r="N1101" s="4" t="s">
        <v>536</v>
      </c>
      <c r="O1101" s="4" t="s">
        <v>502</v>
      </c>
      <c r="P1101" s="4">
        <v>2</v>
      </c>
      <c r="Q1101" s="4" t="s">
        <v>539</v>
      </c>
      <c r="R1101" s="4" t="s">
        <v>680</v>
      </c>
      <c r="S1101" s="4" t="s">
        <v>304</v>
      </c>
      <c r="T1101" s="4">
        <v>197.7</v>
      </c>
      <c r="V1101" s="4">
        <v>3.3</v>
      </c>
      <c r="Z1101" s="4" t="s">
        <v>1011</v>
      </c>
      <c r="AB1101" s="4" t="s">
        <v>1020</v>
      </c>
      <c r="AC1101" s="4" t="s">
        <v>1013</v>
      </c>
      <c r="AD1101" s="4" t="s">
        <v>1014</v>
      </c>
      <c r="AE1101" s="4" t="s">
        <v>1015</v>
      </c>
      <c r="AF1101" s="4" t="s">
        <v>1016</v>
      </c>
      <c r="AH1101" s="4" t="s">
        <v>346</v>
      </c>
      <c r="AI1101" s="4" t="s">
        <v>1021</v>
      </c>
      <c r="AL1101" s="4" t="s">
        <v>486</v>
      </c>
      <c r="AM1101" s="4">
        <v>5.8</v>
      </c>
      <c r="AQ1101" s="4" t="s">
        <v>7</v>
      </c>
      <c r="AR1101" s="4">
        <v>4.37</v>
      </c>
      <c r="AS1101" s="4" t="s">
        <v>424</v>
      </c>
      <c r="AT1101" s="4">
        <v>43</v>
      </c>
      <c r="BI1101" s="4" t="s">
        <v>321</v>
      </c>
      <c r="BK1101" s="4">
        <v>30</v>
      </c>
      <c r="BL1101" s="4">
        <v>50</v>
      </c>
      <c r="BM1101" s="4">
        <v>0.5</v>
      </c>
      <c r="BO1101" s="4">
        <v>0.01</v>
      </c>
      <c r="BP1101" s="4">
        <v>1</v>
      </c>
      <c r="BV1101" s="4" t="s">
        <v>904</v>
      </c>
      <c r="BW1101" s="4">
        <v>30</v>
      </c>
      <c r="BX1101" s="4" t="s">
        <v>645</v>
      </c>
      <c r="BY1101" s="4">
        <v>0</v>
      </c>
      <c r="CB1101" s="4" t="s">
        <v>882</v>
      </c>
      <c r="CD1101" s="4">
        <v>0.736</v>
      </c>
      <c r="CE1101" s="4" t="s">
        <v>956</v>
      </c>
      <c r="CG1101" s="4">
        <v>1.4</v>
      </c>
      <c r="DO1101" s="4">
        <v>3</v>
      </c>
      <c r="EA1101" s="4">
        <v>98.52</v>
      </c>
      <c r="EB1101" s="1">
        <v>0</v>
      </c>
      <c r="ED1101" s="4">
        <v>98.52</v>
      </c>
      <c r="FE1101" s="4">
        <v>84.3</v>
      </c>
      <c r="FF1101" s="1">
        <v>1.86</v>
      </c>
      <c r="FH1101" s="4">
        <v>84.3</v>
      </c>
    </row>
    <row r="1102" customHeight="1" spans="1:164">
      <c r="A1102" s="39">
        <v>33</v>
      </c>
      <c r="B1102" s="4" t="s">
        <v>1008</v>
      </c>
      <c r="C1102" s="5" t="s">
        <v>1019</v>
      </c>
      <c r="D1102" s="4" t="s">
        <v>300</v>
      </c>
      <c r="E1102" s="4" t="s">
        <v>1010</v>
      </c>
      <c r="N1102" s="4" t="s">
        <v>536</v>
      </c>
      <c r="O1102" s="4" t="s">
        <v>502</v>
      </c>
      <c r="P1102" s="4">
        <v>2</v>
      </c>
      <c r="Q1102" s="4" t="s">
        <v>539</v>
      </c>
      <c r="R1102" s="4" t="s">
        <v>680</v>
      </c>
      <c r="S1102" s="4" t="s">
        <v>304</v>
      </c>
      <c r="T1102" s="4">
        <v>197.7</v>
      </c>
      <c r="V1102" s="4">
        <v>3.3</v>
      </c>
      <c r="Z1102" s="4" t="s">
        <v>1011</v>
      </c>
      <c r="AB1102" s="4" t="s">
        <v>1020</v>
      </c>
      <c r="AC1102" s="4" t="s">
        <v>1013</v>
      </c>
      <c r="AD1102" s="4" t="s">
        <v>1014</v>
      </c>
      <c r="AE1102" s="4" t="s">
        <v>1015</v>
      </c>
      <c r="AF1102" s="4" t="s">
        <v>1016</v>
      </c>
      <c r="AH1102" s="4" t="s">
        <v>346</v>
      </c>
      <c r="AI1102" s="4" t="s">
        <v>1021</v>
      </c>
      <c r="AL1102" s="4" t="s">
        <v>486</v>
      </c>
      <c r="AM1102" s="4">
        <v>5.8</v>
      </c>
      <c r="AQ1102" s="4" t="s">
        <v>7</v>
      </c>
      <c r="AR1102" s="4">
        <v>4.37</v>
      </c>
      <c r="AS1102" s="4" t="s">
        <v>424</v>
      </c>
      <c r="AT1102" s="4">
        <v>43</v>
      </c>
      <c r="BI1102" s="4" t="s">
        <v>321</v>
      </c>
      <c r="BK1102" s="4">
        <v>30</v>
      </c>
      <c r="BL1102" s="4">
        <v>50</v>
      </c>
      <c r="BM1102" s="4">
        <v>0.8</v>
      </c>
      <c r="BO1102" s="4">
        <v>0.016</v>
      </c>
      <c r="BP1102" s="4">
        <v>1.6</v>
      </c>
      <c r="BV1102" s="4" t="s">
        <v>904</v>
      </c>
      <c r="BW1102" s="4">
        <v>30</v>
      </c>
      <c r="BX1102" s="4" t="s">
        <v>645</v>
      </c>
      <c r="BY1102" s="4">
        <v>0</v>
      </c>
      <c r="CB1102" s="4" t="s">
        <v>882</v>
      </c>
      <c r="CD1102" s="4">
        <v>0.736</v>
      </c>
      <c r="CE1102" s="4" t="s">
        <v>956</v>
      </c>
      <c r="CG1102" s="4">
        <v>1.4</v>
      </c>
      <c r="DO1102" s="4">
        <v>3</v>
      </c>
      <c r="DT1102" s="4">
        <v>0.011</v>
      </c>
      <c r="EA1102" s="4">
        <v>98.52</v>
      </c>
      <c r="EB1102" s="1">
        <v>0</v>
      </c>
      <c r="ED1102" s="4">
        <v>98.52</v>
      </c>
      <c r="EW1102" s="4">
        <v>0.18</v>
      </c>
      <c r="FE1102" s="4">
        <v>87.3</v>
      </c>
      <c r="FF1102" s="1">
        <v>2.65</v>
      </c>
      <c r="FH1102" s="4">
        <v>87.3</v>
      </c>
    </row>
    <row r="1103" customHeight="1" spans="1:164">
      <c r="A1103" s="39">
        <v>33</v>
      </c>
      <c r="B1103" s="4" t="s">
        <v>1008</v>
      </c>
      <c r="C1103" s="5" t="s">
        <v>1019</v>
      </c>
      <c r="D1103" s="4" t="s">
        <v>300</v>
      </c>
      <c r="E1103" s="4" t="s">
        <v>1010</v>
      </c>
      <c r="N1103" s="4" t="s">
        <v>536</v>
      </c>
      <c r="O1103" s="4" t="s">
        <v>502</v>
      </c>
      <c r="P1103" s="4">
        <v>2</v>
      </c>
      <c r="Q1103" s="4" t="s">
        <v>539</v>
      </c>
      <c r="R1103" s="4" t="s">
        <v>680</v>
      </c>
      <c r="S1103" s="4" t="s">
        <v>304</v>
      </c>
      <c r="T1103" s="4">
        <v>197.7</v>
      </c>
      <c r="V1103" s="4">
        <v>3.3</v>
      </c>
      <c r="Z1103" s="4" t="s">
        <v>1011</v>
      </c>
      <c r="AB1103" s="4" t="s">
        <v>1020</v>
      </c>
      <c r="AC1103" s="4" t="s">
        <v>1013</v>
      </c>
      <c r="AD1103" s="4" t="s">
        <v>1014</v>
      </c>
      <c r="AE1103" s="4" t="s">
        <v>1015</v>
      </c>
      <c r="AF1103" s="4" t="s">
        <v>1016</v>
      </c>
      <c r="AH1103" s="4" t="s">
        <v>346</v>
      </c>
      <c r="AI1103" s="4" t="s">
        <v>1021</v>
      </c>
      <c r="AL1103" s="4" t="s">
        <v>486</v>
      </c>
      <c r="AM1103" s="4">
        <v>5.8</v>
      </c>
      <c r="AQ1103" s="4" t="s">
        <v>7</v>
      </c>
      <c r="AR1103" s="4">
        <v>4.37</v>
      </c>
      <c r="AS1103" s="4" t="s">
        <v>424</v>
      </c>
      <c r="AT1103" s="4">
        <v>43</v>
      </c>
      <c r="BI1103" s="4" t="s">
        <v>321</v>
      </c>
      <c r="BK1103" s="4">
        <v>30</v>
      </c>
      <c r="BL1103" s="4">
        <v>50</v>
      </c>
      <c r="BM1103" s="4">
        <v>1</v>
      </c>
      <c r="BO1103" s="4">
        <v>0.02</v>
      </c>
      <c r="BP1103" s="4">
        <v>2</v>
      </c>
      <c r="BV1103" s="4" t="s">
        <v>904</v>
      </c>
      <c r="BW1103" s="4">
        <v>30</v>
      </c>
      <c r="BX1103" s="4" t="s">
        <v>645</v>
      </c>
      <c r="BY1103" s="4">
        <v>0</v>
      </c>
      <c r="CB1103" s="4" t="s">
        <v>882</v>
      </c>
      <c r="CD1103" s="4">
        <v>0.736</v>
      </c>
      <c r="CE1103" s="4" t="s">
        <v>956</v>
      </c>
      <c r="CG1103" s="4">
        <v>1.4</v>
      </c>
      <c r="DO1103" s="4">
        <v>3</v>
      </c>
      <c r="EA1103" s="4">
        <v>98.52</v>
      </c>
      <c r="EB1103" s="1">
        <v>0</v>
      </c>
      <c r="ED1103" s="4">
        <v>98.52</v>
      </c>
      <c r="FE1103" s="4">
        <v>72.49</v>
      </c>
      <c r="FF1103" s="1">
        <v>1.33</v>
      </c>
      <c r="FH1103" s="4">
        <v>72.49</v>
      </c>
    </row>
    <row r="1104" customHeight="1" spans="1:164">
      <c r="A1104" s="39">
        <v>33</v>
      </c>
      <c r="B1104" s="4" t="s">
        <v>1008</v>
      </c>
      <c r="C1104" s="5" t="s">
        <v>1022</v>
      </c>
      <c r="D1104" s="4" t="s">
        <v>300</v>
      </c>
      <c r="E1104" s="4" t="s">
        <v>1010</v>
      </c>
      <c r="N1104" s="4" t="s">
        <v>536</v>
      </c>
      <c r="O1104" s="4" t="s">
        <v>502</v>
      </c>
      <c r="P1104" s="4">
        <v>3</v>
      </c>
      <c r="Q1104" s="4" t="s">
        <v>539</v>
      </c>
      <c r="R1104" s="4" t="s">
        <v>680</v>
      </c>
      <c r="S1104" s="4" t="s">
        <v>681</v>
      </c>
      <c r="T1104" s="4">
        <v>210.9</v>
      </c>
      <c r="V1104" s="4">
        <v>8.4</v>
      </c>
      <c r="Z1104" s="4" t="s">
        <v>1011</v>
      </c>
      <c r="AB1104" s="4" t="s">
        <v>1023</v>
      </c>
      <c r="AC1104" s="4" t="s">
        <v>1013</v>
      </c>
      <c r="AD1104" s="4" t="s">
        <v>1014</v>
      </c>
      <c r="AE1104" s="4" t="s">
        <v>1015</v>
      </c>
      <c r="AF1104" s="4" t="s">
        <v>1016</v>
      </c>
      <c r="BI1104" s="4" t="s">
        <v>309</v>
      </c>
      <c r="BN1104" s="4">
        <v>1</v>
      </c>
      <c r="BS1104" s="4">
        <v>6.5</v>
      </c>
      <c r="BU1104" s="4">
        <v>200</v>
      </c>
      <c r="BV1104" s="4" t="s">
        <v>495</v>
      </c>
      <c r="BW1104" s="4">
        <v>25</v>
      </c>
      <c r="CB1104" s="4" t="s">
        <v>496</v>
      </c>
      <c r="CC1104" s="4">
        <v>200</v>
      </c>
      <c r="CX1104" s="4" t="s">
        <v>314</v>
      </c>
      <c r="DO1104" s="4">
        <v>3</v>
      </c>
    </row>
    <row r="1105" customHeight="1" spans="1:164">
      <c r="A1105" s="39">
        <v>33</v>
      </c>
      <c r="B1105" s="4" t="s">
        <v>1008</v>
      </c>
      <c r="C1105" s="5" t="s">
        <v>1022</v>
      </c>
      <c r="D1105" s="4" t="s">
        <v>300</v>
      </c>
      <c r="E1105" s="4" t="s">
        <v>1010</v>
      </c>
      <c r="N1105" s="4" t="s">
        <v>536</v>
      </c>
      <c r="O1105" s="4" t="s">
        <v>502</v>
      </c>
      <c r="P1105" s="4">
        <v>3</v>
      </c>
      <c r="Q1105" s="4" t="s">
        <v>539</v>
      </c>
      <c r="R1105" s="4" t="s">
        <v>680</v>
      </c>
      <c r="S1105" s="4" t="s">
        <v>681</v>
      </c>
      <c r="T1105" s="4">
        <v>210.9</v>
      </c>
      <c r="V1105" s="4">
        <v>8.4</v>
      </c>
      <c r="Z1105" s="4" t="s">
        <v>1011</v>
      </c>
      <c r="AB1105" s="4" t="s">
        <v>1023</v>
      </c>
      <c r="AC1105" s="4" t="s">
        <v>1013</v>
      </c>
      <c r="AD1105" s="4" t="s">
        <v>1014</v>
      </c>
      <c r="AE1105" s="4" t="s">
        <v>1015</v>
      </c>
      <c r="AF1105" s="4" t="s">
        <v>1016</v>
      </c>
      <c r="BI1105" s="4" t="s">
        <v>309</v>
      </c>
      <c r="BN1105" s="4">
        <v>1</v>
      </c>
      <c r="BS1105" s="4">
        <v>6.5</v>
      </c>
      <c r="BU1105" s="4">
        <v>200</v>
      </c>
      <c r="BV1105" s="4" t="s">
        <v>495</v>
      </c>
      <c r="BW1105" s="4">
        <v>25</v>
      </c>
      <c r="CB1105" s="4" t="s">
        <v>1017</v>
      </c>
      <c r="CC1105" s="4">
        <v>200</v>
      </c>
      <c r="CX1105" s="4" t="s">
        <v>314</v>
      </c>
      <c r="DO1105" s="4">
        <v>3</v>
      </c>
    </row>
    <row r="1106" customHeight="1" spans="1:164">
      <c r="A1106" s="39">
        <v>33</v>
      </c>
      <c r="B1106" s="4" t="s">
        <v>1008</v>
      </c>
      <c r="C1106" s="5" t="s">
        <v>1022</v>
      </c>
      <c r="D1106" s="4" t="s">
        <v>300</v>
      </c>
      <c r="E1106" s="4" t="s">
        <v>1010</v>
      </c>
      <c r="N1106" s="4" t="s">
        <v>536</v>
      </c>
      <c r="O1106" s="4" t="s">
        <v>502</v>
      </c>
      <c r="P1106" s="4">
        <v>3</v>
      </c>
      <c r="Q1106" s="4" t="s">
        <v>539</v>
      </c>
      <c r="R1106" s="4" t="s">
        <v>680</v>
      </c>
      <c r="S1106" s="4" t="s">
        <v>681</v>
      </c>
      <c r="T1106" s="4">
        <v>210.9</v>
      </c>
      <c r="V1106" s="4">
        <v>8.4</v>
      </c>
      <c r="Z1106" s="4" t="s">
        <v>1011</v>
      </c>
      <c r="AB1106" s="4" t="s">
        <v>1023</v>
      </c>
      <c r="AC1106" s="4" t="s">
        <v>1013</v>
      </c>
      <c r="AD1106" s="4" t="s">
        <v>1014</v>
      </c>
      <c r="AE1106" s="4" t="s">
        <v>1015</v>
      </c>
      <c r="AF1106" s="4" t="s">
        <v>1016</v>
      </c>
      <c r="BI1106" s="4" t="s">
        <v>309</v>
      </c>
      <c r="BN1106" s="4">
        <v>1</v>
      </c>
      <c r="BS1106" s="4">
        <v>6.5</v>
      </c>
      <c r="BU1106" s="4">
        <v>200</v>
      </c>
      <c r="BW1106" s="4">
        <v>25</v>
      </c>
      <c r="CB1106" s="4" t="s">
        <v>496</v>
      </c>
      <c r="CC1106" s="4" t="s">
        <v>1018</v>
      </c>
      <c r="DE1106" s="4">
        <v>107.75</v>
      </c>
      <c r="DO1106" s="4">
        <v>3</v>
      </c>
      <c r="FA1106" s="29">
        <v>107.75</v>
      </c>
    </row>
    <row r="1107" customHeight="1" spans="1:164">
      <c r="A1107" s="39">
        <v>33</v>
      </c>
      <c r="B1107" s="4" t="s">
        <v>1008</v>
      </c>
      <c r="C1107" s="5" t="s">
        <v>1022</v>
      </c>
      <c r="D1107" s="4" t="s">
        <v>300</v>
      </c>
      <c r="E1107" s="4" t="s">
        <v>1010</v>
      </c>
      <c r="N1107" s="4" t="s">
        <v>536</v>
      </c>
      <c r="O1107" s="4" t="s">
        <v>502</v>
      </c>
      <c r="P1107" s="4">
        <v>3</v>
      </c>
      <c r="Q1107" s="4" t="s">
        <v>539</v>
      </c>
      <c r="R1107" s="4" t="s">
        <v>680</v>
      </c>
      <c r="S1107" s="4" t="s">
        <v>681</v>
      </c>
      <c r="T1107" s="4">
        <v>210.9</v>
      </c>
      <c r="V1107" s="4">
        <v>8.4</v>
      </c>
      <c r="Z1107" s="4" t="s">
        <v>1011</v>
      </c>
      <c r="AB1107" s="4" t="s">
        <v>1023</v>
      </c>
      <c r="AC1107" s="4" t="s">
        <v>1013</v>
      </c>
      <c r="AD1107" s="4" t="s">
        <v>1014</v>
      </c>
      <c r="AE1107" s="4" t="s">
        <v>1015</v>
      </c>
      <c r="AF1107" s="4" t="s">
        <v>1016</v>
      </c>
      <c r="BI1107" s="4" t="s">
        <v>309</v>
      </c>
      <c r="BN1107" s="4">
        <v>1</v>
      </c>
      <c r="BS1107" s="4">
        <v>6.5</v>
      </c>
      <c r="BU1107" s="4">
        <v>200</v>
      </c>
      <c r="BW1107" s="4">
        <v>25</v>
      </c>
      <c r="CB1107" s="4" t="s">
        <v>1017</v>
      </c>
      <c r="CC1107" s="4" t="s">
        <v>1018</v>
      </c>
      <c r="DE1107" s="4">
        <v>126.89</v>
      </c>
      <c r="DO1107" s="4">
        <v>3</v>
      </c>
      <c r="DW1107" s="4">
        <v>126.89</v>
      </c>
    </row>
    <row r="1108" customHeight="1" spans="1:164">
      <c r="A1108" s="39">
        <v>33</v>
      </c>
      <c r="B1108" s="4" t="s">
        <v>1008</v>
      </c>
      <c r="C1108" s="5" t="s">
        <v>1022</v>
      </c>
      <c r="D1108" s="4" t="s">
        <v>300</v>
      </c>
      <c r="E1108" s="4" t="s">
        <v>1010</v>
      </c>
      <c r="N1108" s="4" t="s">
        <v>536</v>
      </c>
      <c r="O1108" s="4" t="s">
        <v>502</v>
      </c>
      <c r="P1108" s="4">
        <v>3</v>
      </c>
      <c r="Q1108" s="4" t="s">
        <v>539</v>
      </c>
      <c r="R1108" s="4" t="s">
        <v>680</v>
      </c>
      <c r="S1108" s="4" t="s">
        <v>681</v>
      </c>
      <c r="T1108" s="4">
        <v>210.9</v>
      </c>
      <c r="V1108" s="4">
        <v>8.4</v>
      </c>
      <c r="Z1108" s="4" t="s">
        <v>1011</v>
      </c>
      <c r="AB1108" s="4" t="s">
        <v>1023</v>
      </c>
      <c r="AC1108" s="4" t="s">
        <v>1013</v>
      </c>
      <c r="AD1108" s="4" t="s">
        <v>1014</v>
      </c>
      <c r="AE1108" s="4" t="s">
        <v>1015</v>
      </c>
      <c r="AF1108" s="4" t="s">
        <v>1016</v>
      </c>
      <c r="BI1108" s="4" t="s">
        <v>309</v>
      </c>
      <c r="BN1108" s="4">
        <v>1</v>
      </c>
      <c r="BS1108" s="4">
        <v>6.5</v>
      </c>
      <c r="BU1108" s="4">
        <v>200</v>
      </c>
      <c r="BW1108" s="4">
        <v>25</v>
      </c>
      <c r="CB1108" s="4" t="s">
        <v>496</v>
      </c>
      <c r="CC1108" s="4" t="s">
        <v>1018</v>
      </c>
      <c r="CE1108" s="4" t="s">
        <v>1017</v>
      </c>
      <c r="CF1108" s="4" t="s">
        <v>1018</v>
      </c>
      <c r="DE1108" s="4">
        <v>148.79</v>
      </c>
      <c r="DG1108" s="4">
        <v>248.35</v>
      </c>
      <c r="DO1108" s="4">
        <v>3</v>
      </c>
      <c r="DW1108" s="4">
        <v>248.35</v>
      </c>
      <c r="FA1108" s="29">
        <v>148.79</v>
      </c>
    </row>
    <row r="1109" customHeight="1" spans="1:164">
      <c r="A1109" s="39">
        <v>33</v>
      </c>
      <c r="B1109" s="4" t="s">
        <v>1008</v>
      </c>
      <c r="C1109" s="5" t="s">
        <v>1022</v>
      </c>
      <c r="D1109" s="4" t="s">
        <v>300</v>
      </c>
      <c r="E1109" s="4" t="s">
        <v>1010</v>
      </c>
      <c r="N1109" s="4" t="s">
        <v>536</v>
      </c>
      <c r="O1109" s="4" t="s">
        <v>502</v>
      </c>
      <c r="P1109" s="4">
        <v>3</v>
      </c>
      <c r="Q1109" s="4" t="s">
        <v>539</v>
      </c>
      <c r="R1109" s="4" t="s">
        <v>680</v>
      </c>
      <c r="S1109" s="4" t="s">
        <v>681</v>
      </c>
      <c r="T1109" s="4">
        <v>210.9</v>
      </c>
      <c r="V1109" s="4">
        <v>8.4</v>
      </c>
      <c r="Z1109" s="4" t="s">
        <v>1011</v>
      </c>
      <c r="AB1109" s="4" t="s">
        <v>1023</v>
      </c>
      <c r="AC1109" s="4" t="s">
        <v>1013</v>
      </c>
      <c r="AD1109" s="4" t="s">
        <v>1014</v>
      </c>
      <c r="AE1109" s="4" t="s">
        <v>1015</v>
      </c>
      <c r="AF1109" s="4" t="s">
        <v>1016</v>
      </c>
      <c r="AH1109" s="4" t="s">
        <v>346</v>
      </c>
      <c r="AI1109" s="4" t="s">
        <v>1021</v>
      </c>
      <c r="AL1109" s="4" t="s">
        <v>486</v>
      </c>
      <c r="AM1109" s="4">
        <v>5.8</v>
      </c>
      <c r="AQ1109" s="4" t="s">
        <v>7</v>
      </c>
      <c r="AR1109" s="4">
        <v>4.37</v>
      </c>
      <c r="AS1109" s="4" t="s">
        <v>424</v>
      </c>
      <c r="AT1109" s="4">
        <v>43</v>
      </c>
      <c r="BI1109" s="4" t="s">
        <v>321</v>
      </c>
      <c r="BK1109" s="4">
        <v>30</v>
      </c>
      <c r="BL1109" s="4">
        <v>50</v>
      </c>
      <c r="BM1109" s="4">
        <v>0.5</v>
      </c>
      <c r="BO1109" s="4">
        <v>0.01</v>
      </c>
      <c r="BP1109" s="4">
        <v>1</v>
      </c>
      <c r="BV1109" s="4" t="s">
        <v>904</v>
      </c>
      <c r="BW1109" s="4">
        <v>30</v>
      </c>
      <c r="BX1109" s="4" t="s">
        <v>645</v>
      </c>
      <c r="BY1109" s="4">
        <v>0</v>
      </c>
      <c r="CB1109" s="4" t="s">
        <v>882</v>
      </c>
      <c r="CD1109" s="4">
        <v>0.736</v>
      </c>
      <c r="CE1109" s="4" t="s">
        <v>956</v>
      </c>
      <c r="CG1109" s="4">
        <v>1.4</v>
      </c>
      <c r="DO1109" s="4">
        <v>3</v>
      </c>
      <c r="EA1109" s="4">
        <v>96.02</v>
      </c>
      <c r="EB1109" s="1">
        <v>0</v>
      </c>
      <c r="ED1109" s="4">
        <v>96.02</v>
      </c>
      <c r="FE1109" s="4">
        <v>62.03</v>
      </c>
      <c r="FF1109" s="1">
        <v>0</v>
      </c>
      <c r="FH1109" s="4">
        <v>62.03</v>
      </c>
    </row>
    <row r="1110" customHeight="1" spans="1:164">
      <c r="A1110" s="39">
        <v>33</v>
      </c>
      <c r="B1110" s="4" t="s">
        <v>1008</v>
      </c>
      <c r="C1110" s="5" t="s">
        <v>1022</v>
      </c>
      <c r="D1110" s="4" t="s">
        <v>300</v>
      </c>
      <c r="E1110" s="4" t="s">
        <v>1010</v>
      </c>
      <c r="N1110" s="4" t="s">
        <v>536</v>
      </c>
      <c r="O1110" s="4" t="s">
        <v>502</v>
      </c>
      <c r="P1110" s="4">
        <v>3</v>
      </c>
      <c r="Q1110" s="4" t="s">
        <v>539</v>
      </c>
      <c r="R1110" s="4" t="s">
        <v>680</v>
      </c>
      <c r="S1110" s="4" t="s">
        <v>681</v>
      </c>
      <c r="T1110" s="4">
        <v>210.9</v>
      </c>
      <c r="V1110" s="4">
        <v>8.4</v>
      </c>
      <c r="Z1110" s="4" t="s">
        <v>1011</v>
      </c>
      <c r="AB1110" s="4" t="s">
        <v>1023</v>
      </c>
      <c r="AC1110" s="4" t="s">
        <v>1013</v>
      </c>
      <c r="AD1110" s="4" t="s">
        <v>1014</v>
      </c>
      <c r="AE1110" s="4" t="s">
        <v>1015</v>
      </c>
      <c r="AF1110" s="4" t="s">
        <v>1016</v>
      </c>
      <c r="AH1110" s="4" t="s">
        <v>346</v>
      </c>
      <c r="AI1110" s="4" t="s">
        <v>1021</v>
      </c>
      <c r="AL1110" s="4" t="s">
        <v>486</v>
      </c>
      <c r="AM1110" s="4">
        <v>5.8</v>
      </c>
      <c r="AQ1110" s="4" t="s">
        <v>7</v>
      </c>
      <c r="AR1110" s="4">
        <v>4.37</v>
      </c>
      <c r="AS1110" s="4" t="s">
        <v>424</v>
      </c>
      <c r="AT1110" s="4">
        <v>43</v>
      </c>
      <c r="BI1110" s="4" t="s">
        <v>321</v>
      </c>
      <c r="BK1110" s="4">
        <v>30</v>
      </c>
      <c r="BL1110" s="4">
        <v>50</v>
      </c>
      <c r="BM1110" s="4">
        <v>0.8</v>
      </c>
      <c r="BO1110" s="4">
        <v>0.016</v>
      </c>
      <c r="BP1110" s="4">
        <v>1.6</v>
      </c>
      <c r="BV1110" s="4" t="s">
        <v>904</v>
      </c>
      <c r="BW1110" s="4">
        <v>30</v>
      </c>
      <c r="BX1110" s="4" t="s">
        <v>645</v>
      </c>
      <c r="BY1110" s="4">
        <v>0</v>
      </c>
      <c r="CB1110" s="4" t="s">
        <v>882</v>
      </c>
      <c r="CD1110" s="4">
        <v>0.736</v>
      </c>
      <c r="CE1110" s="4" t="s">
        <v>956</v>
      </c>
      <c r="CG1110" s="4">
        <v>1.4</v>
      </c>
      <c r="DO1110" s="4">
        <v>3</v>
      </c>
      <c r="EA1110" s="4">
        <v>98.94</v>
      </c>
      <c r="EB1110" s="1">
        <v>0</v>
      </c>
      <c r="ED1110" s="4">
        <v>98.94</v>
      </c>
      <c r="FE1110" s="4">
        <v>81.02</v>
      </c>
      <c r="FF1110" s="1">
        <v>1.6</v>
      </c>
      <c r="FH1110" s="4">
        <v>81.02</v>
      </c>
    </row>
    <row r="1111" customHeight="1" spans="1:164">
      <c r="A1111" s="39">
        <v>33</v>
      </c>
      <c r="B1111" s="4" t="s">
        <v>1008</v>
      </c>
      <c r="C1111" s="5" t="s">
        <v>1022</v>
      </c>
      <c r="D1111" s="4" t="s">
        <v>300</v>
      </c>
      <c r="E1111" s="4" t="s">
        <v>1010</v>
      </c>
      <c r="N1111" s="4" t="s">
        <v>536</v>
      </c>
      <c r="O1111" s="4" t="s">
        <v>502</v>
      </c>
      <c r="P1111" s="4">
        <v>3</v>
      </c>
      <c r="Q1111" s="4" t="s">
        <v>539</v>
      </c>
      <c r="R1111" s="4" t="s">
        <v>680</v>
      </c>
      <c r="S1111" s="4" t="s">
        <v>681</v>
      </c>
      <c r="T1111" s="4">
        <v>210.9</v>
      </c>
      <c r="V1111" s="4">
        <v>8.4</v>
      </c>
      <c r="Z1111" s="4" t="s">
        <v>1011</v>
      </c>
      <c r="AB1111" s="4" t="s">
        <v>1023</v>
      </c>
      <c r="AC1111" s="4" t="s">
        <v>1013</v>
      </c>
      <c r="AD1111" s="4" t="s">
        <v>1014</v>
      </c>
      <c r="AE1111" s="4" t="s">
        <v>1015</v>
      </c>
      <c r="AF1111" s="4" t="s">
        <v>1016</v>
      </c>
      <c r="AH1111" s="4" t="s">
        <v>346</v>
      </c>
      <c r="AI1111" s="4" t="s">
        <v>1021</v>
      </c>
      <c r="AL1111" s="4" t="s">
        <v>486</v>
      </c>
      <c r="AM1111" s="4">
        <v>5.8</v>
      </c>
      <c r="AQ1111" s="4" t="s">
        <v>7</v>
      </c>
      <c r="AR1111" s="4">
        <v>4.37</v>
      </c>
      <c r="AS1111" s="4" t="s">
        <v>424</v>
      </c>
      <c r="AT1111" s="4">
        <v>43</v>
      </c>
      <c r="BI1111" s="4" t="s">
        <v>321</v>
      </c>
      <c r="BK1111" s="4">
        <v>30</v>
      </c>
      <c r="BL1111" s="4">
        <v>50</v>
      </c>
      <c r="BM1111" s="4">
        <v>1</v>
      </c>
      <c r="BO1111" s="4">
        <v>0.02</v>
      </c>
      <c r="BP1111" s="4">
        <v>2</v>
      </c>
      <c r="BV1111" s="4" t="s">
        <v>904</v>
      </c>
      <c r="BW1111" s="4">
        <v>30</v>
      </c>
      <c r="BX1111" s="4" t="s">
        <v>645</v>
      </c>
      <c r="BY1111" s="4">
        <v>0</v>
      </c>
      <c r="CB1111" s="4" t="s">
        <v>882</v>
      </c>
      <c r="CD1111" s="4">
        <v>0.736</v>
      </c>
      <c r="CE1111" s="4" t="s">
        <v>956</v>
      </c>
      <c r="CG1111" s="4">
        <v>1.4</v>
      </c>
      <c r="DO1111" s="4">
        <v>3</v>
      </c>
      <c r="EA1111" s="4">
        <v>98.41</v>
      </c>
      <c r="EB1111" s="1">
        <v>0</v>
      </c>
      <c r="ED1111" s="4">
        <v>98.41</v>
      </c>
      <c r="FE1111" s="4">
        <v>72.46</v>
      </c>
      <c r="FF1111" s="1">
        <v>1.07</v>
      </c>
      <c r="FH1111" s="4">
        <v>72.46</v>
      </c>
    </row>
    <row r="1112" customHeight="1" spans="1:164">
      <c r="A1112" s="39">
        <v>33</v>
      </c>
      <c r="B1112" s="4" t="s">
        <v>1008</v>
      </c>
      <c r="C1112" s="5" t="s">
        <v>1022</v>
      </c>
      <c r="D1112" s="4" t="s">
        <v>300</v>
      </c>
      <c r="E1112" s="4" t="s">
        <v>1010</v>
      </c>
      <c r="N1112" s="4" t="s">
        <v>536</v>
      </c>
      <c r="O1112" s="4" t="s">
        <v>502</v>
      </c>
      <c r="P1112" s="4">
        <v>3</v>
      </c>
      <c r="Q1112" s="4" t="s">
        <v>539</v>
      </c>
      <c r="R1112" s="4" t="s">
        <v>680</v>
      </c>
      <c r="S1112" s="4" t="s">
        <v>681</v>
      </c>
      <c r="T1112" s="4">
        <v>210.9</v>
      </c>
      <c r="V1112" s="4">
        <v>8.4</v>
      </c>
      <c r="Z1112" s="4" t="s">
        <v>1011</v>
      </c>
      <c r="AB1112" s="4" t="s">
        <v>1023</v>
      </c>
      <c r="AC1112" s="4" t="s">
        <v>1013</v>
      </c>
      <c r="AD1112" s="4" t="s">
        <v>1014</v>
      </c>
      <c r="AE1112" s="4" t="s">
        <v>1015</v>
      </c>
      <c r="AF1112" s="4" t="s">
        <v>1016</v>
      </c>
      <c r="BI1112" s="1" t="s">
        <v>309</v>
      </c>
      <c r="BJ1112" s="1"/>
      <c r="BK1112" s="1"/>
      <c r="BL1112" s="1"/>
      <c r="BM1112" s="1"/>
      <c r="BN1112" s="1">
        <v>1</v>
      </c>
      <c r="BO1112" s="1"/>
      <c r="BP1112" s="1"/>
      <c r="BQ1112" s="1"/>
      <c r="BR1112" s="1">
        <v>6.5</v>
      </c>
      <c r="BS1112" s="1"/>
      <c r="BT1112" s="1">
        <v>200</v>
      </c>
      <c r="BU1112" s="1"/>
      <c r="BV1112" s="1">
        <v>25</v>
      </c>
      <c r="BW1112" s="1"/>
      <c r="BX1112" s="1"/>
      <c r="BY1112" s="1"/>
      <c r="BZ1112" s="1"/>
      <c r="CA1112" s="29" t="s">
        <v>496</v>
      </c>
      <c r="CB1112" s="1">
        <v>20</v>
      </c>
      <c r="CC1112" s="1"/>
      <c r="CD1112" s="29"/>
      <c r="CE1112" s="1"/>
      <c r="FE1112" s="1">
        <v>89.26</v>
      </c>
      <c r="FF1112" s="1">
        <v>0.28</v>
      </c>
      <c r="FH1112" s="1">
        <v>89.26</v>
      </c>
    </row>
    <row r="1113" customHeight="1" spans="1:164">
      <c r="A1113" s="39">
        <v>33</v>
      </c>
      <c r="B1113" s="4" t="s">
        <v>1008</v>
      </c>
      <c r="C1113" s="5" t="s">
        <v>1022</v>
      </c>
      <c r="D1113" s="4" t="s">
        <v>300</v>
      </c>
      <c r="E1113" s="4" t="s">
        <v>1010</v>
      </c>
      <c r="N1113" s="4" t="s">
        <v>536</v>
      </c>
      <c r="O1113" s="4" t="s">
        <v>502</v>
      </c>
      <c r="P1113" s="4">
        <v>3</v>
      </c>
      <c r="Q1113" s="4" t="s">
        <v>539</v>
      </c>
      <c r="R1113" s="4" t="s">
        <v>680</v>
      </c>
      <c r="S1113" s="4" t="s">
        <v>681</v>
      </c>
      <c r="T1113" s="4">
        <v>210.9</v>
      </c>
      <c r="V1113" s="4">
        <v>8.4</v>
      </c>
      <c r="Z1113" s="4" t="s">
        <v>1011</v>
      </c>
      <c r="AB1113" s="4" t="s">
        <v>1023</v>
      </c>
      <c r="AC1113" s="4" t="s">
        <v>1013</v>
      </c>
      <c r="AD1113" s="4" t="s">
        <v>1014</v>
      </c>
      <c r="AE1113" s="4" t="s">
        <v>1015</v>
      </c>
      <c r="AF1113" s="4" t="s">
        <v>1016</v>
      </c>
      <c r="BI1113" s="1" t="s">
        <v>309</v>
      </c>
      <c r="BJ1113" s="1"/>
      <c r="BK1113" s="1"/>
      <c r="BL1113" s="1"/>
      <c r="BM1113" s="1"/>
      <c r="BN1113" s="1">
        <v>1</v>
      </c>
      <c r="BO1113" s="1"/>
      <c r="BP1113" s="1"/>
      <c r="BQ1113" s="1"/>
      <c r="BR1113" s="1">
        <v>6.5</v>
      </c>
      <c r="BS1113" s="1"/>
      <c r="BT1113" s="1">
        <v>200</v>
      </c>
      <c r="BU1113" s="1"/>
      <c r="BV1113" s="1">
        <v>25</v>
      </c>
      <c r="BW1113" s="1"/>
      <c r="BX1113" s="1"/>
      <c r="BY1113" s="1"/>
      <c r="BZ1113" s="1"/>
      <c r="CA1113" s="29" t="s">
        <v>1017</v>
      </c>
      <c r="CB1113" s="1">
        <v>20</v>
      </c>
      <c r="CC1113" s="1"/>
      <c r="CD1113" s="29"/>
      <c r="CE1113" s="1"/>
      <c r="EA1113" s="1">
        <v>97.25</v>
      </c>
      <c r="EB1113" s="1">
        <v>0.28</v>
      </c>
      <c r="ED1113" s="1">
        <v>97.25</v>
      </c>
    </row>
    <row r="1114" customHeight="1" spans="1:164">
      <c r="A1114" s="39">
        <v>33</v>
      </c>
      <c r="B1114" s="4" t="s">
        <v>1008</v>
      </c>
      <c r="C1114" s="5" t="s">
        <v>1022</v>
      </c>
      <c r="D1114" s="4" t="s">
        <v>300</v>
      </c>
      <c r="E1114" s="4" t="s">
        <v>1010</v>
      </c>
      <c r="N1114" s="4" t="s">
        <v>536</v>
      </c>
      <c r="O1114" s="4" t="s">
        <v>502</v>
      </c>
      <c r="P1114" s="4">
        <v>3</v>
      </c>
      <c r="Q1114" s="4" t="s">
        <v>539</v>
      </c>
      <c r="R1114" s="4" t="s">
        <v>680</v>
      </c>
      <c r="S1114" s="4" t="s">
        <v>681</v>
      </c>
      <c r="T1114" s="4">
        <v>210.9</v>
      </c>
      <c r="V1114" s="4">
        <v>8.4</v>
      </c>
      <c r="Z1114" s="4" t="s">
        <v>1011</v>
      </c>
      <c r="AB1114" s="4" t="s">
        <v>1023</v>
      </c>
      <c r="AC1114" s="4" t="s">
        <v>1013</v>
      </c>
      <c r="AD1114" s="4" t="s">
        <v>1014</v>
      </c>
      <c r="AE1114" s="4" t="s">
        <v>1015</v>
      </c>
      <c r="AF1114" s="4" t="s">
        <v>1016</v>
      </c>
      <c r="BI1114" s="1" t="s">
        <v>309</v>
      </c>
      <c r="BJ1114" s="1"/>
      <c r="BK1114" s="1"/>
      <c r="BL1114" s="1"/>
      <c r="BM1114" s="1"/>
      <c r="BN1114" s="1">
        <v>1</v>
      </c>
      <c r="BO1114" s="1"/>
      <c r="BP1114" s="1"/>
      <c r="BQ1114" s="1"/>
      <c r="BR1114" s="1">
        <v>6.5</v>
      </c>
      <c r="BS1114" s="1"/>
      <c r="BT1114" s="1">
        <v>200</v>
      </c>
      <c r="BU1114" s="1"/>
      <c r="BV1114" s="1">
        <v>25</v>
      </c>
      <c r="BW1114" s="1"/>
      <c r="BX1114" s="1"/>
      <c r="BY1114" s="1"/>
      <c r="BZ1114" s="1"/>
      <c r="CA1114" s="29" t="s">
        <v>496</v>
      </c>
      <c r="CB1114" s="1">
        <v>100</v>
      </c>
      <c r="CC1114" s="1"/>
      <c r="CD1114" s="29"/>
      <c r="CE1114" s="1"/>
      <c r="FE1114" s="1">
        <v>82.27</v>
      </c>
      <c r="FF1114" s="1">
        <v>0.83</v>
      </c>
      <c r="FH1114" s="1">
        <v>82.27</v>
      </c>
    </row>
    <row r="1115" customHeight="1" spans="1:164">
      <c r="A1115" s="39">
        <v>33</v>
      </c>
      <c r="B1115" s="4" t="s">
        <v>1008</v>
      </c>
      <c r="C1115" s="5" t="s">
        <v>1022</v>
      </c>
      <c r="D1115" s="4" t="s">
        <v>300</v>
      </c>
      <c r="E1115" s="4" t="s">
        <v>1010</v>
      </c>
      <c r="N1115" s="4" t="s">
        <v>536</v>
      </c>
      <c r="O1115" s="4" t="s">
        <v>502</v>
      </c>
      <c r="P1115" s="4">
        <v>3</v>
      </c>
      <c r="Q1115" s="4" t="s">
        <v>539</v>
      </c>
      <c r="R1115" s="4" t="s">
        <v>680</v>
      </c>
      <c r="S1115" s="4" t="s">
        <v>681</v>
      </c>
      <c r="T1115" s="4">
        <v>210.9</v>
      </c>
      <c r="V1115" s="4">
        <v>8.4</v>
      </c>
      <c r="Z1115" s="4" t="s">
        <v>1011</v>
      </c>
      <c r="AB1115" s="4" t="s">
        <v>1023</v>
      </c>
      <c r="AC1115" s="4" t="s">
        <v>1013</v>
      </c>
      <c r="AD1115" s="4" t="s">
        <v>1014</v>
      </c>
      <c r="AE1115" s="4" t="s">
        <v>1015</v>
      </c>
      <c r="AF1115" s="4" t="s">
        <v>1016</v>
      </c>
      <c r="BI1115" s="1" t="s">
        <v>309</v>
      </c>
      <c r="BJ1115" s="1"/>
      <c r="BK1115" s="1"/>
      <c r="BL1115" s="1"/>
      <c r="BM1115" s="1"/>
      <c r="BN1115" s="1">
        <v>1</v>
      </c>
      <c r="BO1115" s="1"/>
      <c r="BP1115" s="1"/>
      <c r="BQ1115" s="1"/>
      <c r="BR1115" s="1">
        <v>6.5</v>
      </c>
      <c r="BS1115" s="1"/>
      <c r="BT1115" s="1">
        <v>200</v>
      </c>
      <c r="BU1115" s="1"/>
      <c r="BV1115" s="1">
        <v>25</v>
      </c>
      <c r="BW1115" s="1"/>
      <c r="BX1115" s="1"/>
      <c r="BY1115" s="1"/>
      <c r="BZ1115" s="1"/>
      <c r="CA1115" s="29" t="s">
        <v>1017</v>
      </c>
      <c r="CB1115" s="1">
        <v>100</v>
      </c>
      <c r="CC1115" s="1"/>
      <c r="CD1115" s="29"/>
      <c r="CE1115" s="1"/>
      <c r="EA1115" s="1">
        <v>85.32</v>
      </c>
      <c r="EB1115" s="1">
        <v>1.11</v>
      </c>
      <c r="ED1115" s="1">
        <v>85.32</v>
      </c>
    </row>
    <row r="1116" customHeight="1" spans="1:164">
      <c r="A1116" s="39">
        <v>33</v>
      </c>
      <c r="B1116" s="4" t="s">
        <v>1008</v>
      </c>
      <c r="C1116" s="5" t="s">
        <v>1022</v>
      </c>
      <c r="D1116" s="4" t="s">
        <v>300</v>
      </c>
      <c r="E1116" s="4" t="s">
        <v>1010</v>
      </c>
      <c r="N1116" s="4" t="s">
        <v>536</v>
      </c>
      <c r="O1116" s="4" t="s">
        <v>502</v>
      </c>
      <c r="P1116" s="4">
        <v>3</v>
      </c>
      <c r="Q1116" s="4" t="s">
        <v>539</v>
      </c>
      <c r="R1116" s="4" t="s">
        <v>680</v>
      </c>
      <c r="S1116" s="4" t="s">
        <v>681</v>
      </c>
      <c r="T1116" s="4">
        <v>210.9</v>
      </c>
      <c r="V1116" s="4">
        <v>8.4</v>
      </c>
      <c r="Z1116" s="4" t="s">
        <v>1011</v>
      </c>
      <c r="AB1116" s="4" t="s">
        <v>1023</v>
      </c>
      <c r="AC1116" s="4" t="s">
        <v>1013</v>
      </c>
      <c r="AD1116" s="4" t="s">
        <v>1014</v>
      </c>
      <c r="AE1116" s="4" t="s">
        <v>1015</v>
      </c>
      <c r="AF1116" s="4" t="s">
        <v>1016</v>
      </c>
      <c r="BI1116" s="1" t="s">
        <v>309</v>
      </c>
      <c r="BJ1116" s="1"/>
      <c r="BK1116" s="1"/>
      <c r="BL1116" s="1"/>
      <c r="BM1116" s="1"/>
      <c r="BN1116" s="1">
        <v>1</v>
      </c>
      <c r="BO1116" s="1"/>
      <c r="BP1116" s="1"/>
      <c r="BQ1116" s="1"/>
      <c r="BR1116" s="1">
        <v>6.5</v>
      </c>
      <c r="BS1116" s="1"/>
      <c r="BT1116" s="1">
        <v>200</v>
      </c>
      <c r="BU1116" s="1"/>
      <c r="BV1116" s="1">
        <v>25</v>
      </c>
      <c r="BW1116" s="1"/>
      <c r="BX1116" s="1"/>
      <c r="BY1116" s="1"/>
      <c r="BZ1116" s="1"/>
      <c r="CA1116" s="29" t="s">
        <v>496</v>
      </c>
      <c r="CB1116" s="1">
        <v>20</v>
      </c>
      <c r="CC1116" s="1"/>
      <c r="CD1116" s="29" t="s">
        <v>1017</v>
      </c>
      <c r="CE1116" s="1">
        <v>20</v>
      </c>
      <c r="EA1116" s="1">
        <v>100</v>
      </c>
      <c r="EB1116" s="1">
        <v>1.08</v>
      </c>
      <c r="ED1116" s="1">
        <v>100</v>
      </c>
      <c r="FE1116" s="1">
        <v>91.33</v>
      </c>
      <c r="FF1116" s="1">
        <v>1.08</v>
      </c>
      <c r="FH1116" s="1">
        <v>91.33</v>
      </c>
    </row>
    <row r="1117" customHeight="1" spans="1:164">
      <c r="A1117" s="39">
        <v>33</v>
      </c>
      <c r="B1117" s="4" t="s">
        <v>1008</v>
      </c>
      <c r="C1117" s="5" t="s">
        <v>1022</v>
      </c>
      <c r="D1117" s="4" t="s">
        <v>300</v>
      </c>
      <c r="E1117" s="4" t="s">
        <v>1010</v>
      </c>
      <c r="N1117" s="4" t="s">
        <v>536</v>
      </c>
      <c r="O1117" s="4" t="s">
        <v>502</v>
      </c>
      <c r="P1117" s="4">
        <v>3</v>
      </c>
      <c r="Q1117" s="4" t="s">
        <v>539</v>
      </c>
      <c r="R1117" s="4" t="s">
        <v>680</v>
      </c>
      <c r="S1117" s="4" t="s">
        <v>681</v>
      </c>
      <c r="T1117" s="4">
        <v>210.9</v>
      </c>
      <c r="V1117" s="4">
        <v>8.4</v>
      </c>
      <c r="Z1117" s="4" t="s">
        <v>1011</v>
      </c>
      <c r="AB1117" s="4" t="s">
        <v>1023</v>
      </c>
      <c r="AC1117" s="4" t="s">
        <v>1013</v>
      </c>
      <c r="AD1117" s="4" t="s">
        <v>1014</v>
      </c>
      <c r="AE1117" s="4" t="s">
        <v>1015</v>
      </c>
      <c r="AF1117" s="4" t="s">
        <v>1016</v>
      </c>
      <c r="BI1117" s="1" t="s">
        <v>309</v>
      </c>
      <c r="BJ1117" s="1"/>
      <c r="BK1117" s="1"/>
      <c r="BL1117" s="1"/>
      <c r="BM1117" s="1"/>
      <c r="BN1117" s="1">
        <v>1</v>
      </c>
      <c r="BO1117" s="1"/>
      <c r="BP1117" s="1"/>
      <c r="BQ1117" s="1"/>
      <c r="BR1117" s="1">
        <v>6.5</v>
      </c>
      <c r="BS1117" s="1"/>
      <c r="BT1117" s="1">
        <v>200</v>
      </c>
      <c r="BU1117" s="1"/>
      <c r="BV1117" s="1">
        <v>25</v>
      </c>
      <c r="BW1117" s="1"/>
      <c r="BX1117" s="1"/>
      <c r="BY1117" s="1"/>
      <c r="BZ1117" s="1"/>
      <c r="CA1117" s="29" t="s">
        <v>496</v>
      </c>
      <c r="CB1117" s="1">
        <v>100</v>
      </c>
      <c r="CC1117" s="1"/>
      <c r="CD1117" s="29" t="s">
        <v>1017</v>
      </c>
      <c r="CE1117" s="1">
        <v>100</v>
      </c>
      <c r="EA1117" s="1">
        <v>86.35</v>
      </c>
      <c r="EB1117" s="1">
        <v>0.84</v>
      </c>
      <c r="ED1117" s="1">
        <v>86.35</v>
      </c>
      <c r="FE1117" s="1">
        <v>83.01</v>
      </c>
      <c r="FF1117" s="1">
        <v>1.11</v>
      </c>
      <c r="FH1117" s="1">
        <v>83.01</v>
      </c>
    </row>
    <row r="1118" customHeight="1" spans="1:164">
      <c r="A1118" s="39">
        <v>33</v>
      </c>
      <c r="B1118" s="4" t="s">
        <v>1008</v>
      </c>
      <c r="C1118" s="5" t="s">
        <v>1024</v>
      </c>
      <c r="D1118" s="4" t="s">
        <v>300</v>
      </c>
      <c r="E1118" s="4" t="s">
        <v>1010</v>
      </c>
      <c r="N1118" s="4" t="s">
        <v>536</v>
      </c>
      <c r="O1118" s="4" t="s">
        <v>502</v>
      </c>
      <c r="P1118" s="4">
        <v>4</v>
      </c>
      <c r="Q1118" s="4" t="s">
        <v>539</v>
      </c>
      <c r="R1118" s="4" t="s">
        <v>680</v>
      </c>
      <c r="S1118" s="4" t="s">
        <v>304</v>
      </c>
      <c r="T1118" s="4">
        <v>189.9</v>
      </c>
      <c r="V1118" s="4">
        <v>2.1</v>
      </c>
      <c r="Z1118" s="4" t="s">
        <v>1025</v>
      </c>
      <c r="AB1118" s="4" t="s">
        <v>1026</v>
      </c>
      <c r="AC1118" s="4" t="s">
        <v>1027</v>
      </c>
      <c r="AD1118" s="4" t="s">
        <v>1028</v>
      </c>
      <c r="AE1118" s="4" t="s">
        <v>1015</v>
      </c>
      <c r="AF1118" s="4" t="s">
        <v>1016</v>
      </c>
      <c r="BI1118" s="4" t="s">
        <v>309</v>
      </c>
      <c r="BN1118" s="4">
        <v>1</v>
      </c>
      <c r="BS1118" s="4">
        <v>6.5</v>
      </c>
      <c r="BU1118" s="4">
        <v>200</v>
      </c>
      <c r="BV1118" s="4" t="s">
        <v>495</v>
      </c>
      <c r="BW1118" s="4">
        <v>25</v>
      </c>
      <c r="CB1118" s="4" t="s">
        <v>496</v>
      </c>
      <c r="CC1118" s="4">
        <v>200</v>
      </c>
      <c r="CX1118" s="4" t="s">
        <v>314</v>
      </c>
      <c r="DO1118" s="4">
        <v>3</v>
      </c>
    </row>
    <row r="1119" customHeight="1" spans="1:164">
      <c r="A1119" s="39">
        <v>33</v>
      </c>
      <c r="B1119" s="4" t="s">
        <v>1008</v>
      </c>
      <c r="C1119" s="5" t="s">
        <v>1024</v>
      </c>
      <c r="D1119" s="4" t="s">
        <v>300</v>
      </c>
      <c r="E1119" s="4" t="s">
        <v>1010</v>
      </c>
      <c r="N1119" s="4" t="s">
        <v>536</v>
      </c>
      <c r="O1119" s="4" t="s">
        <v>502</v>
      </c>
      <c r="P1119" s="4">
        <v>4</v>
      </c>
      <c r="Q1119" s="4" t="s">
        <v>539</v>
      </c>
      <c r="R1119" s="4" t="s">
        <v>680</v>
      </c>
      <c r="S1119" s="4" t="s">
        <v>304</v>
      </c>
      <c r="T1119" s="4">
        <v>189.9</v>
      </c>
      <c r="V1119" s="4">
        <v>2.1</v>
      </c>
      <c r="Z1119" s="4" t="s">
        <v>1025</v>
      </c>
      <c r="AB1119" s="4" t="s">
        <v>1026</v>
      </c>
      <c r="AC1119" s="4" t="s">
        <v>1027</v>
      </c>
      <c r="AD1119" s="4" t="s">
        <v>1028</v>
      </c>
      <c r="AE1119" s="4" t="s">
        <v>1015</v>
      </c>
      <c r="AF1119" s="4" t="s">
        <v>1016</v>
      </c>
      <c r="BI1119" s="4" t="s">
        <v>309</v>
      </c>
      <c r="BN1119" s="4">
        <v>1</v>
      </c>
      <c r="BS1119" s="4">
        <v>6.5</v>
      </c>
      <c r="BU1119" s="4">
        <v>200</v>
      </c>
      <c r="BV1119" s="4" t="s">
        <v>495</v>
      </c>
      <c r="BW1119" s="4">
        <v>25</v>
      </c>
      <c r="CB1119" s="4" t="s">
        <v>1017</v>
      </c>
      <c r="CC1119" s="4">
        <v>200</v>
      </c>
      <c r="CX1119" s="4" t="s">
        <v>314</v>
      </c>
      <c r="DO1119" s="4">
        <v>3</v>
      </c>
    </row>
    <row r="1120" customHeight="1" spans="1:164">
      <c r="A1120" s="39">
        <v>33</v>
      </c>
      <c r="B1120" s="4" t="s">
        <v>1008</v>
      </c>
      <c r="C1120" s="5" t="s">
        <v>1024</v>
      </c>
      <c r="D1120" s="4" t="s">
        <v>300</v>
      </c>
      <c r="E1120" s="4" t="s">
        <v>1010</v>
      </c>
      <c r="N1120" s="4" t="s">
        <v>536</v>
      </c>
      <c r="O1120" s="4" t="s">
        <v>502</v>
      </c>
      <c r="P1120" s="4">
        <v>4</v>
      </c>
      <c r="Q1120" s="4" t="s">
        <v>539</v>
      </c>
      <c r="R1120" s="4" t="s">
        <v>680</v>
      </c>
      <c r="S1120" s="4" t="s">
        <v>304</v>
      </c>
      <c r="T1120" s="4">
        <v>189.9</v>
      </c>
      <c r="V1120" s="4">
        <v>2.1</v>
      </c>
      <c r="Z1120" s="4" t="s">
        <v>1025</v>
      </c>
      <c r="AB1120" s="4" t="s">
        <v>1026</v>
      </c>
      <c r="AC1120" s="4" t="s">
        <v>1027</v>
      </c>
      <c r="AD1120" s="4" t="s">
        <v>1028</v>
      </c>
      <c r="AE1120" s="4" t="s">
        <v>1015</v>
      </c>
      <c r="AF1120" s="4" t="s">
        <v>1016</v>
      </c>
      <c r="BI1120" s="4" t="s">
        <v>309</v>
      </c>
      <c r="BN1120" s="4">
        <v>1</v>
      </c>
      <c r="BS1120" s="4">
        <v>6.5</v>
      </c>
      <c r="BU1120" s="4">
        <v>200</v>
      </c>
      <c r="BW1120" s="4">
        <v>25</v>
      </c>
      <c r="CB1120" s="4" t="s">
        <v>496</v>
      </c>
      <c r="CC1120" s="4" t="s">
        <v>1018</v>
      </c>
      <c r="DE1120" s="4">
        <v>129.42</v>
      </c>
      <c r="DO1120" s="4">
        <v>3</v>
      </c>
      <c r="FA1120" s="29">
        <v>129.42</v>
      </c>
    </row>
    <row r="1121" customHeight="1" spans="1:164">
      <c r="A1121" s="39">
        <v>33</v>
      </c>
      <c r="B1121" s="4" t="s">
        <v>1008</v>
      </c>
      <c r="C1121" s="5" t="s">
        <v>1024</v>
      </c>
      <c r="D1121" s="4" t="s">
        <v>300</v>
      </c>
      <c r="E1121" s="4" t="s">
        <v>1010</v>
      </c>
      <c r="N1121" s="4" t="s">
        <v>536</v>
      </c>
      <c r="O1121" s="4" t="s">
        <v>502</v>
      </c>
      <c r="P1121" s="4">
        <v>4</v>
      </c>
      <c r="Q1121" s="4" t="s">
        <v>539</v>
      </c>
      <c r="R1121" s="4" t="s">
        <v>680</v>
      </c>
      <c r="S1121" s="4" t="s">
        <v>304</v>
      </c>
      <c r="T1121" s="4">
        <v>189.9</v>
      </c>
      <c r="V1121" s="4">
        <v>2.1</v>
      </c>
      <c r="Z1121" s="4" t="s">
        <v>1025</v>
      </c>
      <c r="AB1121" s="4" t="s">
        <v>1026</v>
      </c>
      <c r="AC1121" s="4" t="s">
        <v>1027</v>
      </c>
      <c r="AD1121" s="4" t="s">
        <v>1028</v>
      </c>
      <c r="AE1121" s="4" t="s">
        <v>1015</v>
      </c>
      <c r="AF1121" s="4" t="s">
        <v>1016</v>
      </c>
      <c r="BI1121" s="4" t="s">
        <v>309</v>
      </c>
      <c r="BN1121" s="4">
        <v>1</v>
      </c>
      <c r="BS1121" s="4">
        <v>6.5</v>
      </c>
      <c r="BU1121" s="4">
        <v>200</v>
      </c>
      <c r="BW1121" s="4">
        <v>25</v>
      </c>
      <c r="CB1121" s="4" t="s">
        <v>1017</v>
      </c>
      <c r="CC1121" s="4" t="s">
        <v>1018</v>
      </c>
      <c r="DE1121" s="4">
        <v>214.98</v>
      </c>
      <c r="DO1121" s="4">
        <v>3</v>
      </c>
      <c r="DW1121" s="4">
        <v>214.98</v>
      </c>
    </row>
    <row r="1122" customHeight="1" spans="1:164">
      <c r="A1122" s="39">
        <v>33</v>
      </c>
      <c r="B1122" s="4" t="s">
        <v>1008</v>
      </c>
      <c r="C1122" s="5" t="s">
        <v>1024</v>
      </c>
      <c r="D1122" s="4" t="s">
        <v>300</v>
      </c>
      <c r="E1122" s="4" t="s">
        <v>1010</v>
      </c>
      <c r="N1122" s="4" t="s">
        <v>536</v>
      </c>
      <c r="O1122" s="4" t="s">
        <v>502</v>
      </c>
      <c r="P1122" s="4">
        <v>4</v>
      </c>
      <c r="Q1122" s="4" t="s">
        <v>539</v>
      </c>
      <c r="R1122" s="4" t="s">
        <v>680</v>
      </c>
      <c r="S1122" s="4" t="s">
        <v>304</v>
      </c>
      <c r="T1122" s="4">
        <v>189.9</v>
      </c>
      <c r="V1122" s="4">
        <v>2.1</v>
      </c>
      <c r="Z1122" s="4" t="s">
        <v>1025</v>
      </c>
      <c r="AB1122" s="4" t="s">
        <v>1026</v>
      </c>
      <c r="AC1122" s="4" t="s">
        <v>1027</v>
      </c>
      <c r="AD1122" s="4" t="s">
        <v>1028</v>
      </c>
      <c r="AE1122" s="4" t="s">
        <v>1015</v>
      </c>
      <c r="AF1122" s="4" t="s">
        <v>1016</v>
      </c>
      <c r="BI1122" s="4" t="s">
        <v>309</v>
      </c>
      <c r="BN1122" s="4">
        <v>1</v>
      </c>
      <c r="BS1122" s="4">
        <v>6.5</v>
      </c>
      <c r="BU1122" s="4">
        <v>200</v>
      </c>
      <c r="BW1122" s="4">
        <v>25</v>
      </c>
      <c r="CB1122" s="4" t="s">
        <v>496</v>
      </c>
      <c r="CC1122" s="4" t="s">
        <v>1018</v>
      </c>
      <c r="CE1122" s="4" t="s">
        <v>1017</v>
      </c>
      <c r="CF1122" s="4" t="s">
        <v>1018</v>
      </c>
      <c r="DE1122" s="4">
        <v>108.32</v>
      </c>
      <c r="DG1122" s="4">
        <v>90.13</v>
      </c>
      <c r="DO1122" s="4">
        <v>3</v>
      </c>
      <c r="DW1122" s="4">
        <v>90.13</v>
      </c>
      <c r="FA1122" s="29">
        <v>108.32</v>
      </c>
    </row>
    <row r="1123" customHeight="1" spans="1:164">
      <c r="A1123" s="39">
        <v>33</v>
      </c>
      <c r="B1123" s="4" t="s">
        <v>1008</v>
      </c>
      <c r="C1123" s="5" t="s">
        <v>1024</v>
      </c>
      <c r="D1123" s="4" t="s">
        <v>300</v>
      </c>
      <c r="E1123" s="4" t="s">
        <v>1010</v>
      </c>
      <c r="N1123" s="4" t="s">
        <v>536</v>
      </c>
      <c r="O1123" s="4" t="s">
        <v>502</v>
      </c>
      <c r="P1123" s="4">
        <v>4</v>
      </c>
      <c r="Q1123" s="4" t="s">
        <v>539</v>
      </c>
      <c r="R1123" s="4" t="s">
        <v>680</v>
      </c>
      <c r="S1123" s="4" t="s">
        <v>304</v>
      </c>
      <c r="T1123" s="4">
        <v>189.9</v>
      </c>
      <c r="V1123" s="4">
        <v>2.1</v>
      </c>
      <c r="Z1123" s="4" t="s">
        <v>1025</v>
      </c>
      <c r="AB1123" s="4" t="s">
        <v>1026</v>
      </c>
      <c r="AC1123" s="4" t="s">
        <v>1027</v>
      </c>
      <c r="AD1123" s="4" t="s">
        <v>1028</v>
      </c>
      <c r="AE1123" s="4" t="s">
        <v>1015</v>
      </c>
      <c r="AF1123" s="4" t="s">
        <v>1016</v>
      </c>
      <c r="AH1123" s="4" t="s">
        <v>346</v>
      </c>
      <c r="AI1123" s="4" t="s">
        <v>1021</v>
      </c>
      <c r="AL1123" s="4" t="s">
        <v>486</v>
      </c>
      <c r="AM1123" s="4">
        <v>5.8</v>
      </c>
      <c r="AQ1123" s="4" t="s">
        <v>7</v>
      </c>
      <c r="AR1123" s="4">
        <v>4.37</v>
      </c>
      <c r="AS1123" s="4" t="s">
        <v>424</v>
      </c>
      <c r="AT1123" s="4">
        <v>43</v>
      </c>
      <c r="BI1123" s="4" t="s">
        <v>321</v>
      </c>
      <c r="BK1123" s="4">
        <v>30</v>
      </c>
      <c r="BL1123" s="4">
        <v>50</v>
      </c>
      <c r="BM1123" s="4">
        <v>0.5</v>
      </c>
      <c r="BO1123" s="4">
        <v>0.01</v>
      </c>
      <c r="BP1123" s="4">
        <v>1</v>
      </c>
      <c r="BV1123" s="4" t="s">
        <v>904</v>
      </c>
      <c r="BW1123" s="4">
        <v>30</v>
      </c>
      <c r="BX1123" s="4" t="s">
        <v>645</v>
      </c>
      <c r="BY1123" s="4">
        <v>0</v>
      </c>
      <c r="CB1123" s="4" t="s">
        <v>882</v>
      </c>
      <c r="CD1123" s="4">
        <v>0.736</v>
      </c>
      <c r="CE1123" s="4" t="s">
        <v>956</v>
      </c>
      <c r="CG1123" s="4">
        <v>1.4</v>
      </c>
      <c r="DO1123" s="4">
        <v>3</v>
      </c>
      <c r="EA1123" s="4">
        <v>98.04</v>
      </c>
      <c r="EB1123" s="1">
        <v>0</v>
      </c>
      <c r="ED1123" s="4">
        <v>98.04</v>
      </c>
      <c r="FE1123" s="4">
        <v>85.84</v>
      </c>
      <c r="FF1123" s="1">
        <v>0</v>
      </c>
      <c r="FH1123" s="4">
        <v>85.84</v>
      </c>
    </row>
    <row r="1124" customHeight="1" spans="1:164">
      <c r="A1124" s="39">
        <v>33</v>
      </c>
      <c r="B1124" s="4" t="s">
        <v>1008</v>
      </c>
      <c r="C1124" s="5" t="s">
        <v>1024</v>
      </c>
      <c r="D1124" s="4" t="s">
        <v>300</v>
      </c>
      <c r="E1124" s="4" t="s">
        <v>1010</v>
      </c>
      <c r="N1124" s="4" t="s">
        <v>536</v>
      </c>
      <c r="O1124" s="4" t="s">
        <v>502</v>
      </c>
      <c r="P1124" s="4">
        <v>4</v>
      </c>
      <c r="Q1124" s="4" t="s">
        <v>539</v>
      </c>
      <c r="R1124" s="4" t="s">
        <v>680</v>
      </c>
      <c r="S1124" s="4" t="s">
        <v>304</v>
      </c>
      <c r="T1124" s="4">
        <v>189.9</v>
      </c>
      <c r="V1124" s="4">
        <v>2.1</v>
      </c>
      <c r="Z1124" s="4" t="s">
        <v>1025</v>
      </c>
      <c r="AB1124" s="4" t="s">
        <v>1026</v>
      </c>
      <c r="AC1124" s="4" t="s">
        <v>1027</v>
      </c>
      <c r="AD1124" s="4" t="s">
        <v>1028</v>
      </c>
      <c r="AE1124" s="4" t="s">
        <v>1015</v>
      </c>
      <c r="AF1124" s="4" t="s">
        <v>1016</v>
      </c>
      <c r="AH1124" s="4" t="s">
        <v>346</v>
      </c>
      <c r="AI1124" s="4" t="s">
        <v>1021</v>
      </c>
      <c r="AL1124" s="4" t="s">
        <v>486</v>
      </c>
      <c r="AM1124" s="4">
        <v>5.8</v>
      </c>
      <c r="AQ1124" s="4" t="s">
        <v>7</v>
      </c>
      <c r="AR1124" s="4">
        <v>4.37</v>
      </c>
      <c r="AS1124" s="4" t="s">
        <v>424</v>
      </c>
      <c r="AT1124" s="4">
        <v>43</v>
      </c>
      <c r="BI1124" s="4" t="s">
        <v>321</v>
      </c>
      <c r="BK1124" s="4">
        <v>30</v>
      </c>
      <c r="BL1124" s="4">
        <v>50</v>
      </c>
      <c r="BM1124" s="4">
        <v>0.8</v>
      </c>
      <c r="BO1124" s="4">
        <v>0.016</v>
      </c>
      <c r="BP1124" s="4">
        <v>1.6</v>
      </c>
      <c r="BV1124" s="4" t="s">
        <v>904</v>
      </c>
      <c r="BW1124" s="4">
        <v>30</v>
      </c>
      <c r="BX1124" s="4" t="s">
        <v>645</v>
      </c>
      <c r="BY1124" s="4">
        <v>0</v>
      </c>
      <c r="CB1124" s="4" t="s">
        <v>882</v>
      </c>
      <c r="CD1124" s="4">
        <v>0.736</v>
      </c>
      <c r="CE1124" s="4" t="s">
        <v>956</v>
      </c>
      <c r="CG1124" s="4">
        <v>1.4</v>
      </c>
      <c r="DO1124" s="4">
        <v>3</v>
      </c>
      <c r="EA1124" s="4">
        <v>99.13</v>
      </c>
      <c r="EB1124" s="1">
        <v>0</v>
      </c>
      <c r="ED1124" s="4">
        <v>99.13</v>
      </c>
      <c r="FE1124" s="4">
        <v>84.97</v>
      </c>
      <c r="FF1124" s="1">
        <v>0</v>
      </c>
      <c r="FH1124" s="4">
        <v>84.97</v>
      </c>
    </row>
    <row r="1125" customHeight="1" spans="1:164">
      <c r="A1125" s="39">
        <v>33</v>
      </c>
      <c r="B1125" s="4" t="s">
        <v>1008</v>
      </c>
      <c r="C1125" s="5" t="s">
        <v>1024</v>
      </c>
      <c r="D1125" s="4" t="s">
        <v>300</v>
      </c>
      <c r="E1125" s="4" t="s">
        <v>1010</v>
      </c>
      <c r="N1125" s="4" t="s">
        <v>536</v>
      </c>
      <c r="O1125" s="4" t="s">
        <v>502</v>
      </c>
      <c r="P1125" s="4">
        <v>4</v>
      </c>
      <c r="Q1125" s="4" t="s">
        <v>539</v>
      </c>
      <c r="R1125" s="4" t="s">
        <v>680</v>
      </c>
      <c r="S1125" s="4" t="s">
        <v>304</v>
      </c>
      <c r="T1125" s="4">
        <v>189.9</v>
      </c>
      <c r="V1125" s="4">
        <v>2.1</v>
      </c>
      <c r="Z1125" s="4" t="s">
        <v>1025</v>
      </c>
      <c r="AB1125" s="4" t="s">
        <v>1026</v>
      </c>
      <c r="AC1125" s="4" t="s">
        <v>1027</v>
      </c>
      <c r="AD1125" s="4" t="s">
        <v>1028</v>
      </c>
      <c r="AE1125" s="4" t="s">
        <v>1015</v>
      </c>
      <c r="AF1125" s="4" t="s">
        <v>1016</v>
      </c>
      <c r="AH1125" s="4" t="s">
        <v>346</v>
      </c>
      <c r="AI1125" s="4" t="s">
        <v>1021</v>
      </c>
      <c r="AL1125" s="4" t="s">
        <v>486</v>
      </c>
      <c r="AM1125" s="4">
        <v>5.8</v>
      </c>
      <c r="AQ1125" s="4" t="s">
        <v>7</v>
      </c>
      <c r="AR1125" s="4">
        <v>4.37</v>
      </c>
      <c r="AS1125" s="4" t="s">
        <v>424</v>
      </c>
      <c r="AT1125" s="4">
        <v>43</v>
      </c>
      <c r="BI1125" s="4" t="s">
        <v>321</v>
      </c>
      <c r="BK1125" s="4">
        <v>30</v>
      </c>
      <c r="BL1125" s="4">
        <v>50</v>
      </c>
      <c r="BM1125" s="4">
        <v>1</v>
      </c>
      <c r="BO1125" s="4">
        <v>0.02</v>
      </c>
      <c r="BP1125" s="4">
        <v>2</v>
      </c>
      <c r="BV1125" s="4" t="s">
        <v>904</v>
      </c>
      <c r="BW1125" s="4">
        <v>30</v>
      </c>
      <c r="BX1125" s="4" t="s">
        <v>645</v>
      </c>
      <c r="BY1125" s="4">
        <v>0</v>
      </c>
      <c r="CB1125" s="4" t="s">
        <v>882</v>
      </c>
      <c r="CD1125" s="4">
        <v>0.736</v>
      </c>
      <c r="CE1125" s="4" t="s">
        <v>956</v>
      </c>
      <c r="CG1125" s="4">
        <v>1.4</v>
      </c>
      <c r="DO1125" s="4">
        <v>3</v>
      </c>
      <c r="EA1125" s="4">
        <v>99.34</v>
      </c>
      <c r="EB1125" s="1">
        <v>0</v>
      </c>
      <c r="ED1125" s="4">
        <v>99.34</v>
      </c>
      <c r="FE1125" s="4">
        <v>86.49</v>
      </c>
      <c r="FF1125" s="1">
        <v>0</v>
      </c>
      <c r="FH1125" s="4">
        <v>86.49</v>
      </c>
    </row>
    <row r="1126" customHeight="1" spans="1:164">
      <c r="A1126" s="39">
        <v>33</v>
      </c>
      <c r="B1126" s="4" t="s">
        <v>1008</v>
      </c>
      <c r="C1126" s="5" t="s">
        <v>1024</v>
      </c>
      <c r="D1126" s="4" t="s">
        <v>300</v>
      </c>
      <c r="E1126" s="4" t="s">
        <v>1010</v>
      </c>
      <c r="N1126" s="4" t="s">
        <v>536</v>
      </c>
      <c r="O1126" s="4" t="s">
        <v>502</v>
      </c>
      <c r="P1126" s="4">
        <v>4</v>
      </c>
      <c r="Q1126" s="4" t="s">
        <v>539</v>
      </c>
      <c r="R1126" s="4" t="s">
        <v>680</v>
      </c>
      <c r="S1126" s="4" t="s">
        <v>304</v>
      </c>
      <c r="T1126" s="4">
        <v>189.9</v>
      </c>
      <c r="V1126" s="4">
        <v>2.1</v>
      </c>
      <c r="Z1126" s="4" t="s">
        <v>1025</v>
      </c>
      <c r="AB1126" s="4" t="s">
        <v>1026</v>
      </c>
      <c r="AC1126" s="4" t="s">
        <v>1027</v>
      </c>
      <c r="AD1126" s="4" t="s">
        <v>1028</v>
      </c>
      <c r="AE1126" s="4" t="s">
        <v>1015</v>
      </c>
      <c r="AF1126" s="4" t="s">
        <v>1016</v>
      </c>
      <c r="BI1126" s="1" t="s">
        <v>309</v>
      </c>
      <c r="BJ1126" s="1"/>
      <c r="BK1126" s="1"/>
      <c r="BL1126" s="1"/>
      <c r="BM1126" s="1"/>
      <c r="BN1126" s="1">
        <v>1</v>
      </c>
      <c r="BO1126" s="1"/>
      <c r="BP1126" s="1"/>
      <c r="BQ1126" s="1"/>
      <c r="BR1126" s="1">
        <v>6.5</v>
      </c>
      <c r="BS1126" s="1"/>
      <c r="BT1126" s="1">
        <v>200</v>
      </c>
      <c r="BU1126" s="1"/>
      <c r="BV1126" s="1">
        <v>25</v>
      </c>
      <c r="BW1126" s="1"/>
      <c r="BX1126" s="1"/>
      <c r="BY1126" s="1"/>
      <c r="BZ1126" s="1"/>
      <c r="CA1126" s="29" t="s">
        <v>496</v>
      </c>
      <c r="CB1126" s="1">
        <v>20</v>
      </c>
      <c r="CC1126" s="1"/>
      <c r="CD1126" s="29"/>
      <c r="CE1126" s="1"/>
      <c r="FE1126" s="1">
        <v>93.66</v>
      </c>
      <c r="FF1126" s="1">
        <v>1.38</v>
      </c>
      <c r="FH1126" s="1">
        <v>93.66</v>
      </c>
    </row>
    <row r="1127" customHeight="1" spans="1:164">
      <c r="A1127" s="39">
        <v>33</v>
      </c>
      <c r="B1127" s="4" t="s">
        <v>1008</v>
      </c>
      <c r="C1127" s="5" t="s">
        <v>1024</v>
      </c>
      <c r="D1127" s="4" t="s">
        <v>300</v>
      </c>
      <c r="E1127" s="4" t="s">
        <v>1010</v>
      </c>
      <c r="N1127" s="4" t="s">
        <v>536</v>
      </c>
      <c r="O1127" s="4" t="s">
        <v>502</v>
      </c>
      <c r="P1127" s="4">
        <v>4</v>
      </c>
      <c r="Q1127" s="4" t="s">
        <v>539</v>
      </c>
      <c r="R1127" s="4" t="s">
        <v>680</v>
      </c>
      <c r="S1127" s="4" t="s">
        <v>304</v>
      </c>
      <c r="T1127" s="4">
        <v>189.9</v>
      </c>
      <c r="V1127" s="4">
        <v>2.1</v>
      </c>
      <c r="Z1127" s="4" t="s">
        <v>1025</v>
      </c>
      <c r="AB1127" s="4" t="s">
        <v>1026</v>
      </c>
      <c r="AC1127" s="4" t="s">
        <v>1027</v>
      </c>
      <c r="AD1127" s="4" t="s">
        <v>1028</v>
      </c>
      <c r="AE1127" s="4" t="s">
        <v>1015</v>
      </c>
      <c r="AF1127" s="4" t="s">
        <v>1016</v>
      </c>
      <c r="BI1127" s="1" t="s">
        <v>309</v>
      </c>
      <c r="BJ1127" s="1"/>
      <c r="BK1127" s="1"/>
      <c r="BL1127" s="1"/>
      <c r="BM1127" s="1"/>
      <c r="BN1127" s="1">
        <v>1</v>
      </c>
      <c r="BO1127" s="1"/>
      <c r="BP1127" s="1"/>
      <c r="BQ1127" s="1"/>
      <c r="BR1127" s="1">
        <v>6.5</v>
      </c>
      <c r="BS1127" s="1"/>
      <c r="BT1127" s="1">
        <v>200</v>
      </c>
      <c r="BU1127" s="1"/>
      <c r="BV1127" s="1">
        <v>25</v>
      </c>
      <c r="BW1127" s="1"/>
      <c r="BX1127" s="1"/>
      <c r="BY1127" s="1"/>
      <c r="BZ1127" s="1"/>
      <c r="CA1127" s="29" t="s">
        <v>1017</v>
      </c>
      <c r="CB1127" s="1">
        <v>20</v>
      </c>
      <c r="CC1127" s="1"/>
      <c r="CD1127" s="29"/>
      <c r="CE1127" s="1"/>
      <c r="EA1127" s="1">
        <v>99.17</v>
      </c>
      <c r="EB1127" s="1">
        <v>0</v>
      </c>
      <c r="ED1127" s="1">
        <v>99.17</v>
      </c>
    </row>
    <row r="1128" customHeight="1" spans="1:164">
      <c r="A1128" s="39">
        <v>33</v>
      </c>
      <c r="B1128" s="4" t="s">
        <v>1008</v>
      </c>
      <c r="C1128" s="5" t="s">
        <v>1024</v>
      </c>
      <c r="D1128" s="4" t="s">
        <v>300</v>
      </c>
      <c r="E1128" s="4" t="s">
        <v>1010</v>
      </c>
      <c r="N1128" s="4" t="s">
        <v>536</v>
      </c>
      <c r="O1128" s="4" t="s">
        <v>502</v>
      </c>
      <c r="P1128" s="4">
        <v>4</v>
      </c>
      <c r="Q1128" s="4" t="s">
        <v>539</v>
      </c>
      <c r="R1128" s="4" t="s">
        <v>680</v>
      </c>
      <c r="S1128" s="4" t="s">
        <v>304</v>
      </c>
      <c r="T1128" s="4">
        <v>189.9</v>
      </c>
      <c r="V1128" s="4">
        <v>2.1</v>
      </c>
      <c r="Z1128" s="4" t="s">
        <v>1025</v>
      </c>
      <c r="AB1128" s="4" t="s">
        <v>1026</v>
      </c>
      <c r="AC1128" s="4" t="s">
        <v>1027</v>
      </c>
      <c r="AD1128" s="4" t="s">
        <v>1028</v>
      </c>
      <c r="AE1128" s="4" t="s">
        <v>1015</v>
      </c>
      <c r="AF1128" s="4" t="s">
        <v>1016</v>
      </c>
      <c r="BI1128" s="1" t="s">
        <v>309</v>
      </c>
      <c r="BJ1128" s="1"/>
      <c r="BK1128" s="1"/>
      <c r="BL1128" s="1"/>
      <c r="BM1128" s="1"/>
      <c r="BN1128" s="1">
        <v>1</v>
      </c>
      <c r="BO1128" s="1"/>
      <c r="BP1128" s="1"/>
      <c r="BQ1128" s="1"/>
      <c r="BR1128" s="1">
        <v>6.5</v>
      </c>
      <c r="BS1128" s="1"/>
      <c r="BT1128" s="1">
        <v>200</v>
      </c>
      <c r="BU1128" s="1"/>
      <c r="BV1128" s="1">
        <v>25</v>
      </c>
      <c r="BW1128" s="1"/>
      <c r="BX1128" s="1"/>
      <c r="BY1128" s="1"/>
      <c r="BZ1128" s="1"/>
      <c r="CA1128" s="29" t="s">
        <v>496</v>
      </c>
      <c r="CB1128" s="1">
        <v>100</v>
      </c>
      <c r="CC1128" s="1"/>
      <c r="CD1128" s="29"/>
      <c r="CE1128" s="1"/>
      <c r="FE1128" s="1">
        <v>90.86</v>
      </c>
      <c r="FF1128" s="1">
        <v>1.39</v>
      </c>
      <c r="FH1128" s="1">
        <v>90.86</v>
      </c>
    </row>
    <row r="1129" customHeight="1" spans="1:164">
      <c r="A1129" s="39">
        <v>33</v>
      </c>
      <c r="B1129" s="4" t="s">
        <v>1008</v>
      </c>
      <c r="C1129" s="5" t="s">
        <v>1024</v>
      </c>
      <c r="D1129" s="4" t="s">
        <v>300</v>
      </c>
      <c r="E1129" s="4" t="s">
        <v>1010</v>
      </c>
      <c r="N1129" s="4" t="s">
        <v>536</v>
      </c>
      <c r="O1129" s="4" t="s">
        <v>502</v>
      </c>
      <c r="P1129" s="4">
        <v>4</v>
      </c>
      <c r="Q1129" s="4" t="s">
        <v>539</v>
      </c>
      <c r="R1129" s="4" t="s">
        <v>680</v>
      </c>
      <c r="S1129" s="4" t="s">
        <v>304</v>
      </c>
      <c r="T1129" s="4">
        <v>189.9</v>
      </c>
      <c r="V1129" s="4">
        <v>2.1</v>
      </c>
      <c r="Z1129" s="4" t="s">
        <v>1025</v>
      </c>
      <c r="AB1129" s="4" t="s">
        <v>1026</v>
      </c>
      <c r="AC1129" s="4" t="s">
        <v>1027</v>
      </c>
      <c r="AD1129" s="4" t="s">
        <v>1028</v>
      </c>
      <c r="AE1129" s="4" t="s">
        <v>1015</v>
      </c>
      <c r="AF1129" s="4" t="s">
        <v>1016</v>
      </c>
      <c r="BI1129" s="1" t="s">
        <v>309</v>
      </c>
      <c r="BJ1129" s="1"/>
      <c r="BK1129" s="1"/>
      <c r="BL1129" s="1"/>
      <c r="BM1129" s="1"/>
      <c r="BN1129" s="1">
        <v>1</v>
      </c>
      <c r="BO1129" s="1"/>
      <c r="BP1129" s="1"/>
      <c r="BQ1129" s="1"/>
      <c r="BR1129" s="1">
        <v>6.5</v>
      </c>
      <c r="BS1129" s="1"/>
      <c r="BT1129" s="1">
        <v>200</v>
      </c>
      <c r="BU1129" s="1"/>
      <c r="BV1129" s="1">
        <v>25</v>
      </c>
      <c r="BW1129" s="1"/>
      <c r="BX1129" s="1"/>
      <c r="BY1129" s="1"/>
      <c r="BZ1129" s="1"/>
      <c r="CA1129" s="29" t="s">
        <v>1017</v>
      </c>
      <c r="CB1129" s="1">
        <v>100</v>
      </c>
      <c r="CC1129" s="1"/>
      <c r="CD1129" s="29"/>
      <c r="CE1129" s="1"/>
      <c r="EA1129" s="1">
        <v>98.89</v>
      </c>
      <c r="EB1129" s="1">
        <v>0</v>
      </c>
      <c r="ED1129" s="1">
        <v>98.89</v>
      </c>
    </row>
    <row r="1130" customHeight="1" spans="1:164">
      <c r="A1130" s="39">
        <v>33</v>
      </c>
      <c r="B1130" s="4" t="s">
        <v>1008</v>
      </c>
      <c r="C1130" s="5" t="s">
        <v>1024</v>
      </c>
      <c r="D1130" s="4" t="s">
        <v>300</v>
      </c>
      <c r="E1130" s="4" t="s">
        <v>1010</v>
      </c>
      <c r="N1130" s="4" t="s">
        <v>536</v>
      </c>
      <c r="O1130" s="4" t="s">
        <v>502</v>
      </c>
      <c r="P1130" s="4">
        <v>4</v>
      </c>
      <c r="Q1130" s="4" t="s">
        <v>539</v>
      </c>
      <c r="R1130" s="4" t="s">
        <v>680</v>
      </c>
      <c r="S1130" s="4" t="s">
        <v>304</v>
      </c>
      <c r="T1130" s="4">
        <v>189.9</v>
      </c>
      <c r="V1130" s="4">
        <v>2.1</v>
      </c>
      <c r="Z1130" s="4" t="s">
        <v>1025</v>
      </c>
      <c r="AB1130" s="4" t="s">
        <v>1026</v>
      </c>
      <c r="AC1130" s="4" t="s">
        <v>1027</v>
      </c>
      <c r="AD1130" s="4" t="s">
        <v>1028</v>
      </c>
      <c r="AE1130" s="4" t="s">
        <v>1015</v>
      </c>
      <c r="AF1130" s="4" t="s">
        <v>1016</v>
      </c>
      <c r="BI1130" s="1" t="s">
        <v>309</v>
      </c>
      <c r="BJ1130" s="1"/>
      <c r="BK1130" s="1"/>
      <c r="BL1130" s="1"/>
      <c r="BM1130" s="1"/>
      <c r="BN1130" s="1">
        <v>1</v>
      </c>
      <c r="BO1130" s="1"/>
      <c r="BP1130" s="1"/>
      <c r="BQ1130" s="1"/>
      <c r="BR1130" s="1">
        <v>6.5</v>
      </c>
      <c r="BS1130" s="1"/>
      <c r="BT1130" s="1">
        <v>200</v>
      </c>
      <c r="BU1130" s="1"/>
      <c r="BV1130" s="1">
        <v>25</v>
      </c>
      <c r="BW1130" s="1"/>
      <c r="BX1130" s="1"/>
      <c r="BY1130" s="1"/>
      <c r="BZ1130" s="1"/>
      <c r="CA1130" s="29" t="s">
        <v>496</v>
      </c>
      <c r="CB1130" s="1">
        <v>20</v>
      </c>
      <c r="CC1130" s="1"/>
      <c r="CD1130" s="29" t="s">
        <v>1017</v>
      </c>
      <c r="CE1130" s="1">
        <v>20</v>
      </c>
      <c r="EA1130" s="1">
        <v>100</v>
      </c>
      <c r="EB1130" s="1">
        <v>0</v>
      </c>
      <c r="ED1130" s="1">
        <v>100</v>
      </c>
      <c r="FE1130" s="1">
        <v>99.19</v>
      </c>
      <c r="FF1130" s="1">
        <v>1.36</v>
      </c>
      <c r="FH1130" s="1">
        <v>99.19</v>
      </c>
    </row>
    <row r="1131" customHeight="1" spans="1:164">
      <c r="A1131" s="39">
        <v>33</v>
      </c>
      <c r="B1131" s="4" t="s">
        <v>1008</v>
      </c>
      <c r="C1131" s="5" t="s">
        <v>1024</v>
      </c>
      <c r="D1131" s="4" t="s">
        <v>300</v>
      </c>
      <c r="E1131" s="4" t="s">
        <v>1010</v>
      </c>
      <c r="N1131" s="4" t="s">
        <v>536</v>
      </c>
      <c r="O1131" s="4" t="s">
        <v>502</v>
      </c>
      <c r="P1131" s="4">
        <v>4</v>
      </c>
      <c r="Q1131" s="4" t="s">
        <v>539</v>
      </c>
      <c r="R1131" s="4" t="s">
        <v>680</v>
      </c>
      <c r="S1131" s="4" t="s">
        <v>304</v>
      </c>
      <c r="T1131" s="4">
        <v>189.9</v>
      </c>
      <c r="V1131" s="4">
        <v>2.1</v>
      </c>
      <c r="Z1131" s="4" t="s">
        <v>1025</v>
      </c>
      <c r="AB1131" s="4" t="s">
        <v>1026</v>
      </c>
      <c r="AC1131" s="4" t="s">
        <v>1027</v>
      </c>
      <c r="AD1131" s="4" t="s">
        <v>1028</v>
      </c>
      <c r="AE1131" s="4" t="s">
        <v>1015</v>
      </c>
      <c r="AF1131" s="4" t="s">
        <v>1016</v>
      </c>
      <c r="BI1131" s="1" t="s">
        <v>309</v>
      </c>
      <c r="BJ1131" s="1"/>
      <c r="BK1131" s="1"/>
      <c r="BL1131" s="1"/>
      <c r="BM1131" s="1"/>
      <c r="BN1131" s="1">
        <v>1</v>
      </c>
      <c r="BO1131" s="1"/>
      <c r="BP1131" s="1"/>
      <c r="BQ1131" s="1"/>
      <c r="BR1131" s="1">
        <v>6.5</v>
      </c>
      <c r="BS1131" s="1"/>
      <c r="BT1131" s="1">
        <v>200</v>
      </c>
      <c r="BU1131" s="1"/>
      <c r="BV1131" s="1">
        <v>25</v>
      </c>
      <c r="BW1131" s="1"/>
      <c r="BX1131" s="1"/>
      <c r="BY1131" s="1"/>
      <c r="BZ1131" s="1"/>
      <c r="CA1131" s="29" t="s">
        <v>496</v>
      </c>
      <c r="CB1131" s="1">
        <v>100</v>
      </c>
      <c r="CC1131" s="1"/>
      <c r="CD1131" s="29" t="s">
        <v>1017</v>
      </c>
      <c r="CE1131" s="1">
        <v>100</v>
      </c>
      <c r="EA1131" s="1">
        <v>99.72</v>
      </c>
      <c r="EB1131" s="1">
        <v>0</v>
      </c>
      <c r="ED1131" s="1">
        <v>99.72</v>
      </c>
      <c r="FE1131" s="1">
        <v>92.2</v>
      </c>
      <c r="FF1131" s="1">
        <v>1.39</v>
      </c>
      <c r="FH1131" s="1">
        <v>92.2</v>
      </c>
    </row>
    <row r="1132" customHeight="1" spans="1:164">
      <c r="A1132" s="39">
        <v>33</v>
      </c>
      <c r="B1132" s="4" t="s">
        <v>1008</v>
      </c>
      <c r="C1132" s="5" t="s">
        <v>1029</v>
      </c>
      <c r="N1132" s="4" t="s">
        <v>536</v>
      </c>
      <c r="O1132" s="4" t="s">
        <v>502</v>
      </c>
      <c r="P1132" s="4">
        <v>4</v>
      </c>
      <c r="Q1132" s="4" t="s">
        <v>539</v>
      </c>
      <c r="BI1132" s="4" t="s">
        <v>309</v>
      </c>
      <c r="BN1132" s="4">
        <v>1</v>
      </c>
      <c r="BS1132" s="4">
        <v>6.5</v>
      </c>
      <c r="BU1132" s="4">
        <v>200</v>
      </c>
      <c r="BW1132" s="4">
        <v>25</v>
      </c>
      <c r="CB1132" s="4" t="s">
        <v>496</v>
      </c>
      <c r="CC1132" s="4">
        <v>200</v>
      </c>
      <c r="DO1132" s="4">
        <v>3</v>
      </c>
    </row>
    <row r="1133" customHeight="1" spans="1:164">
      <c r="A1133" s="39">
        <v>33</v>
      </c>
      <c r="B1133" s="4" t="s">
        <v>1008</v>
      </c>
      <c r="C1133" s="5" t="s">
        <v>1029</v>
      </c>
      <c r="N1133" s="4" t="s">
        <v>536</v>
      </c>
      <c r="O1133" s="4" t="s">
        <v>502</v>
      </c>
      <c r="P1133" s="4">
        <v>4</v>
      </c>
      <c r="Q1133" s="4" t="s">
        <v>539</v>
      </c>
      <c r="BI1133" s="4" t="s">
        <v>309</v>
      </c>
      <c r="BN1133" s="4">
        <v>1</v>
      </c>
      <c r="BS1133" s="4">
        <v>6.5</v>
      </c>
      <c r="BU1133" s="4">
        <v>200</v>
      </c>
      <c r="BW1133" s="4">
        <v>25</v>
      </c>
      <c r="CB1133" s="4" t="s">
        <v>1017</v>
      </c>
      <c r="CC1133" s="4">
        <v>200</v>
      </c>
      <c r="DO1133" s="4">
        <v>3</v>
      </c>
    </row>
    <row r="1134" customHeight="1" spans="1:164">
      <c r="A1134" s="39">
        <v>33</v>
      </c>
      <c r="B1134" s="4" t="s">
        <v>1008</v>
      </c>
      <c r="C1134" s="5" t="s">
        <v>1029</v>
      </c>
      <c r="N1134" s="4" t="s">
        <v>536</v>
      </c>
      <c r="O1134" s="4" t="s">
        <v>502</v>
      </c>
      <c r="P1134" s="4">
        <v>4</v>
      </c>
      <c r="Q1134" s="4" t="s">
        <v>539</v>
      </c>
      <c r="BI1134" s="4" t="s">
        <v>309</v>
      </c>
      <c r="BN1134" s="4">
        <v>1</v>
      </c>
      <c r="BS1134" s="4">
        <v>6.5</v>
      </c>
      <c r="BU1134" s="4">
        <v>200</v>
      </c>
      <c r="BW1134" s="4">
        <v>25</v>
      </c>
      <c r="CB1134" s="4" t="s">
        <v>496</v>
      </c>
      <c r="CC1134" s="4" t="s">
        <v>1018</v>
      </c>
      <c r="DO1134" s="4">
        <v>3</v>
      </c>
    </row>
    <row r="1135" customHeight="1" spans="1:164">
      <c r="A1135" s="39">
        <v>33</v>
      </c>
      <c r="B1135" s="4" t="s">
        <v>1008</v>
      </c>
      <c r="C1135" s="5" t="s">
        <v>1029</v>
      </c>
      <c r="N1135" s="4" t="s">
        <v>536</v>
      </c>
      <c r="O1135" s="4" t="s">
        <v>502</v>
      </c>
      <c r="P1135" s="4">
        <v>4</v>
      </c>
      <c r="Q1135" s="4" t="s">
        <v>539</v>
      </c>
      <c r="BI1135" s="4" t="s">
        <v>309</v>
      </c>
      <c r="BN1135" s="4">
        <v>1</v>
      </c>
      <c r="BS1135" s="4">
        <v>6.5</v>
      </c>
      <c r="BU1135" s="4">
        <v>200</v>
      </c>
      <c r="BW1135" s="4">
        <v>25</v>
      </c>
      <c r="CB1135" s="4" t="s">
        <v>1017</v>
      </c>
      <c r="CC1135" s="4" t="s">
        <v>1018</v>
      </c>
      <c r="DO1135" s="4">
        <v>3</v>
      </c>
    </row>
    <row r="1136" customHeight="1" spans="1:164">
      <c r="A1136" s="39">
        <v>33</v>
      </c>
      <c r="B1136" s="4" t="s">
        <v>1008</v>
      </c>
      <c r="C1136" s="5" t="s">
        <v>1029</v>
      </c>
      <c r="N1136" s="4" t="s">
        <v>536</v>
      </c>
      <c r="O1136" s="4" t="s">
        <v>502</v>
      </c>
      <c r="P1136" s="4">
        <v>4</v>
      </c>
      <c r="Q1136" s="4" t="s">
        <v>539</v>
      </c>
      <c r="BI1136" s="4" t="s">
        <v>309</v>
      </c>
      <c r="BN1136" s="4">
        <v>1</v>
      </c>
      <c r="BS1136" s="4">
        <v>6.5</v>
      </c>
      <c r="BU1136" s="4">
        <v>200</v>
      </c>
      <c r="BW1136" s="4">
        <v>25</v>
      </c>
      <c r="DO1136" s="4">
        <v>3</v>
      </c>
    </row>
    <row r="1137" customHeight="1" spans="1:164">
      <c r="A1137" s="39">
        <v>33</v>
      </c>
      <c r="B1137" s="4" t="s">
        <v>1008</v>
      </c>
      <c r="C1137" s="5" t="s">
        <v>1029</v>
      </c>
      <c r="BI1137" s="1" t="s">
        <v>309</v>
      </c>
      <c r="BJ1137" s="1"/>
      <c r="BK1137" s="1"/>
      <c r="BL1137" s="1"/>
      <c r="BM1137" s="1"/>
      <c r="BN1137" s="1">
        <v>1</v>
      </c>
      <c r="BO1137" s="1"/>
      <c r="BP1137" s="1"/>
      <c r="BQ1137" s="1"/>
      <c r="BR1137" s="1">
        <v>6.5</v>
      </c>
      <c r="BS1137" s="1"/>
      <c r="BT1137" s="1">
        <v>200</v>
      </c>
      <c r="BU1137" s="1"/>
      <c r="BV1137" s="1">
        <v>25</v>
      </c>
      <c r="BW1137" s="1"/>
      <c r="BX1137" s="1"/>
      <c r="BY1137" s="1"/>
      <c r="BZ1137" s="1"/>
      <c r="CA1137" s="29" t="s">
        <v>496</v>
      </c>
      <c r="CB1137" s="1">
        <v>20</v>
      </c>
      <c r="CC1137" s="1"/>
      <c r="CD1137" s="29"/>
      <c r="CE1137" s="1"/>
      <c r="EA1137" s="4"/>
      <c r="ED1137" s="4"/>
      <c r="FE1137" s="1">
        <v>92.01</v>
      </c>
      <c r="FF1137" s="1">
        <v>0.83</v>
      </c>
      <c r="FH1137" s="1">
        <v>92.01</v>
      </c>
    </row>
    <row r="1138" customHeight="1" spans="1:164">
      <c r="A1138" s="39">
        <v>33</v>
      </c>
      <c r="B1138" s="4" t="s">
        <v>1008</v>
      </c>
      <c r="C1138" s="5" t="s">
        <v>1029</v>
      </c>
      <c r="BI1138" s="1" t="s">
        <v>309</v>
      </c>
      <c r="BJ1138" s="1"/>
      <c r="BK1138" s="1"/>
      <c r="BL1138" s="1"/>
      <c r="BM1138" s="1"/>
      <c r="BN1138" s="1">
        <v>1</v>
      </c>
      <c r="BO1138" s="1"/>
      <c r="BP1138" s="1"/>
      <c r="BQ1138" s="1"/>
      <c r="BR1138" s="1">
        <v>6.5</v>
      </c>
      <c r="BS1138" s="1"/>
      <c r="BT1138" s="1">
        <v>200</v>
      </c>
      <c r="BU1138" s="1"/>
      <c r="BV1138" s="1">
        <v>25</v>
      </c>
      <c r="BW1138" s="1"/>
      <c r="BX1138" s="1"/>
      <c r="BY1138" s="1"/>
      <c r="BZ1138" s="1"/>
      <c r="CA1138" s="29" t="s">
        <v>1017</v>
      </c>
      <c r="CB1138" s="1">
        <v>20</v>
      </c>
      <c r="CC1138" s="1"/>
      <c r="CD1138" s="29"/>
      <c r="CE1138" s="1"/>
      <c r="EA1138" s="4">
        <v>95.32</v>
      </c>
      <c r="EB1138" s="1">
        <v>0</v>
      </c>
      <c r="ED1138" s="4">
        <v>95.32</v>
      </c>
    </row>
    <row r="1139" customHeight="1" spans="1:164">
      <c r="A1139" s="39">
        <v>33</v>
      </c>
      <c r="B1139" s="4" t="s">
        <v>1008</v>
      </c>
      <c r="C1139" s="5" t="s">
        <v>1029</v>
      </c>
      <c r="BI1139" s="1" t="s">
        <v>309</v>
      </c>
      <c r="BJ1139" s="1"/>
      <c r="BK1139" s="1"/>
      <c r="BL1139" s="1"/>
      <c r="BM1139" s="1"/>
      <c r="BN1139" s="1">
        <v>1</v>
      </c>
      <c r="BO1139" s="1"/>
      <c r="BP1139" s="1"/>
      <c r="BQ1139" s="1"/>
      <c r="BR1139" s="1">
        <v>6.5</v>
      </c>
      <c r="BS1139" s="1"/>
      <c r="BT1139" s="1">
        <v>200</v>
      </c>
      <c r="BU1139" s="1"/>
      <c r="BV1139" s="1">
        <v>25</v>
      </c>
      <c r="BW1139" s="1"/>
      <c r="BX1139" s="1"/>
      <c r="BY1139" s="1"/>
      <c r="BZ1139" s="1"/>
      <c r="CA1139" s="29" t="s">
        <v>496</v>
      </c>
      <c r="CB1139" s="1">
        <v>100</v>
      </c>
      <c r="CC1139" s="1"/>
      <c r="CD1139" s="29"/>
      <c r="CE1139" s="1"/>
      <c r="EA1139" s="4"/>
      <c r="ED1139" s="4"/>
      <c r="FE1139" s="1">
        <v>47.37</v>
      </c>
      <c r="FF1139" s="1">
        <v>0</v>
      </c>
      <c r="FH1139" s="1">
        <v>47.37</v>
      </c>
    </row>
    <row r="1140" customHeight="1" spans="1:164">
      <c r="A1140" s="39">
        <v>33</v>
      </c>
      <c r="B1140" s="4" t="s">
        <v>1008</v>
      </c>
      <c r="C1140" s="5" t="s">
        <v>1029</v>
      </c>
      <c r="BI1140" s="1" t="s">
        <v>309</v>
      </c>
      <c r="BJ1140" s="1"/>
      <c r="BK1140" s="1"/>
      <c r="BL1140" s="1"/>
      <c r="BM1140" s="1"/>
      <c r="BN1140" s="1">
        <v>1</v>
      </c>
      <c r="BO1140" s="1"/>
      <c r="BP1140" s="1"/>
      <c r="BQ1140" s="1"/>
      <c r="BR1140" s="1">
        <v>6.5</v>
      </c>
      <c r="BS1140" s="1"/>
      <c r="BT1140" s="1">
        <v>200</v>
      </c>
      <c r="BU1140" s="1"/>
      <c r="BV1140" s="1">
        <v>25</v>
      </c>
      <c r="BW1140" s="1"/>
      <c r="BX1140" s="1"/>
      <c r="BY1140" s="1"/>
      <c r="BZ1140" s="1"/>
      <c r="CA1140" s="29" t="s">
        <v>1017</v>
      </c>
      <c r="CB1140" s="1">
        <v>100</v>
      </c>
      <c r="CC1140" s="1"/>
      <c r="CD1140" s="29"/>
      <c r="CE1140" s="1"/>
      <c r="EA1140" s="4">
        <v>72.02</v>
      </c>
      <c r="EB1140" s="1">
        <v>0</v>
      </c>
      <c r="ED1140" s="4">
        <v>72.02</v>
      </c>
    </row>
    <row r="1141" customHeight="1" spans="1:164">
      <c r="A1141" s="39">
        <v>33</v>
      </c>
      <c r="B1141" s="4" t="s">
        <v>1008</v>
      </c>
      <c r="C1141" s="5" t="s">
        <v>1029</v>
      </c>
      <c r="BI1141" s="1" t="s">
        <v>309</v>
      </c>
      <c r="BJ1141" s="1"/>
      <c r="BK1141" s="1"/>
      <c r="BL1141" s="1"/>
      <c r="BM1141" s="1"/>
      <c r="BN1141" s="1">
        <v>1</v>
      </c>
      <c r="BO1141" s="1"/>
      <c r="BP1141" s="1"/>
      <c r="BQ1141" s="1"/>
      <c r="BR1141" s="1">
        <v>6.5</v>
      </c>
      <c r="BS1141" s="1"/>
      <c r="BT1141" s="1">
        <v>200</v>
      </c>
      <c r="BU1141" s="1"/>
      <c r="BV1141" s="1">
        <v>25</v>
      </c>
      <c r="BW1141" s="1"/>
      <c r="BX1141" s="1"/>
      <c r="BY1141" s="1"/>
      <c r="BZ1141" s="1"/>
      <c r="CA1141" s="29" t="s">
        <v>496</v>
      </c>
      <c r="CB1141" s="1">
        <v>20</v>
      </c>
      <c r="CC1141" s="1"/>
      <c r="CD1141" s="29" t="s">
        <v>1017</v>
      </c>
      <c r="CE1141" s="1">
        <v>20</v>
      </c>
      <c r="EA1141" s="4">
        <v>89.97</v>
      </c>
      <c r="EB1141" s="1">
        <v>1.08</v>
      </c>
      <c r="ED1141" s="4">
        <v>89.97</v>
      </c>
      <c r="FE1141" s="1">
        <v>81.3</v>
      </c>
      <c r="FF1141" s="1">
        <v>0.54</v>
      </c>
      <c r="FH1141" s="1">
        <v>81.3</v>
      </c>
    </row>
    <row r="1142" customHeight="1" spans="1:164">
      <c r="A1142" s="39">
        <v>33</v>
      </c>
      <c r="B1142" s="4" t="s">
        <v>1008</v>
      </c>
      <c r="C1142" s="5" t="s">
        <v>1029</v>
      </c>
      <c r="BI1142" s="1" t="s">
        <v>309</v>
      </c>
      <c r="BJ1142" s="1"/>
      <c r="BK1142" s="1"/>
      <c r="BL1142" s="1"/>
      <c r="BM1142" s="1"/>
      <c r="BN1142" s="1">
        <v>1</v>
      </c>
      <c r="BO1142" s="1"/>
      <c r="BP1142" s="1"/>
      <c r="BQ1142" s="1"/>
      <c r="BR1142" s="1">
        <v>6.5</v>
      </c>
      <c r="BS1142" s="1"/>
      <c r="BT1142" s="1">
        <v>200</v>
      </c>
      <c r="BU1142" s="1"/>
      <c r="BV1142" s="1">
        <v>25</v>
      </c>
      <c r="BW1142" s="1"/>
      <c r="BX1142" s="1"/>
      <c r="BY1142" s="1"/>
      <c r="BZ1142" s="1"/>
      <c r="CA1142" s="29" t="s">
        <v>496</v>
      </c>
      <c r="CB1142" s="1">
        <v>100</v>
      </c>
      <c r="CC1142" s="1"/>
      <c r="CD1142" s="29" t="s">
        <v>1017</v>
      </c>
      <c r="CE1142" s="1">
        <v>100</v>
      </c>
      <c r="EA1142" s="4">
        <v>57.1</v>
      </c>
      <c r="ED1142" s="4">
        <v>57.1</v>
      </c>
      <c r="EE1142" s="1">
        <v>0</v>
      </c>
      <c r="FE1142" s="1">
        <v>55.99</v>
      </c>
      <c r="FF1142" s="1">
        <v>0</v>
      </c>
      <c r="FH1142" s="1">
        <v>55.99</v>
      </c>
    </row>
    <row r="1143" customHeight="1" spans="1:164">
      <c r="A1143" s="3">
        <v>34</v>
      </c>
      <c r="B1143" s="4" t="s">
        <v>1030</v>
      </c>
      <c r="C1143" s="5" t="s">
        <v>1031</v>
      </c>
      <c r="D1143" s="4" t="s">
        <v>300</v>
      </c>
      <c r="E1143" s="4" t="s">
        <v>1032</v>
      </c>
      <c r="N1143" s="4" t="s">
        <v>536</v>
      </c>
      <c r="O1143" s="4" t="s">
        <v>502</v>
      </c>
      <c r="Q1143" s="4" t="s">
        <v>540</v>
      </c>
      <c r="AB1143" s="4" t="s">
        <v>1033</v>
      </c>
      <c r="AC1143" s="4" t="s">
        <v>1034</v>
      </c>
      <c r="AD1143" s="4" t="s">
        <v>1035</v>
      </c>
      <c r="AE1143" s="4" t="s">
        <v>1036</v>
      </c>
      <c r="AF1143" s="4" t="s">
        <v>1037</v>
      </c>
      <c r="AH1143" s="4" t="s">
        <v>596</v>
      </c>
      <c r="AL1143" s="4" t="s">
        <v>407</v>
      </c>
      <c r="BD1143" s="4" t="s">
        <v>1038</v>
      </c>
      <c r="BI1143" s="4" t="s">
        <v>321</v>
      </c>
      <c r="BK1143" s="4">
        <v>5</v>
      </c>
      <c r="BL1143" s="4">
        <v>1</v>
      </c>
      <c r="BO1143" s="4">
        <v>0.001</v>
      </c>
      <c r="BS1143" s="4">
        <v>6.51</v>
      </c>
      <c r="BU1143" s="4">
        <v>30</v>
      </c>
      <c r="BV1143" s="4">
        <v>1440</v>
      </c>
      <c r="CB1143" s="4" t="s">
        <v>7</v>
      </c>
      <c r="CC1143" s="4">
        <v>2000</v>
      </c>
      <c r="DO1143" s="4">
        <v>3</v>
      </c>
      <c r="EA1143" s="4">
        <v>61.21</v>
      </c>
      <c r="EB1143" s="1">
        <v>3.43</v>
      </c>
      <c r="ED1143" s="4">
        <v>61.21</v>
      </c>
    </row>
    <row r="1144" customHeight="1" spans="1:164">
      <c r="A1144" s="3">
        <v>34</v>
      </c>
      <c r="B1144" s="4" t="s">
        <v>1030</v>
      </c>
      <c r="C1144" s="5" t="s">
        <v>1031</v>
      </c>
      <c r="D1144" s="4" t="s">
        <v>300</v>
      </c>
      <c r="E1144" s="4" t="s">
        <v>1032</v>
      </c>
      <c r="N1144" s="4" t="s">
        <v>536</v>
      </c>
      <c r="O1144" s="4" t="s">
        <v>502</v>
      </c>
      <c r="Q1144" s="4" t="s">
        <v>540</v>
      </c>
      <c r="AB1144" s="4" t="s">
        <v>1033</v>
      </c>
      <c r="AC1144" s="4" t="s">
        <v>1034</v>
      </c>
      <c r="AD1144" s="4" t="s">
        <v>1035</v>
      </c>
      <c r="AE1144" s="4" t="s">
        <v>1036</v>
      </c>
      <c r="AF1144" s="4" t="s">
        <v>1037</v>
      </c>
      <c r="AH1144" s="4" t="s">
        <v>596</v>
      </c>
      <c r="AL1144" s="4" t="s">
        <v>407</v>
      </c>
      <c r="BD1144" s="4" t="s">
        <v>1038</v>
      </c>
      <c r="BI1144" s="4" t="s">
        <v>321</v>
      </c>
      <c r="BK1144" s="4">
        <v>5</v>
      </c>
      <c r="BL1144" s="4">
        <v>1</v>
      </c>
      <c r="BO1144" s="4">
        <v>0.003</v>
      </c>
      <c r="BS1144" s="4">
        <v>6.51</v>
      </c>
      <c r="BU1144" s="4">
        <v>30</v>
      </c>
      <c r="BV1144" s="4">
        <v>1440</v>
      </c>
      <c r="CB1144" s="4" t="s">
        <v>7</v>
      </c>
      <c r="CC1144" s="4">
        <v>2000</v>
      </c>
      <c r="DO1144" s="4">
        <v>3</v>
      </c>
      <c r="EA1144" s="4">
        <v>95.32</v>
      </c>
      <c r="EB1144" s="1">
        <v>1.37</v>
      </c>
      <c r="ED1144" s="4">
        <v>95.32</v>
      </c>
    </row>
    <row r="1145" customHeight="1" spans="1:164">
      <c r="A1145" s="3">
        <v>34</v>
      </c>
      <c r="B1145" s="4" t="s">
        <v>1030</v>
      </c>
      <c r="C1145" s="5" t="s">
        <v>1031</v>
      </c>
      <c r="D1145" s="4" t="s">
        <v>300</v>
      </c>
      <c r="E1145" s="4" t="s">
        <v>1032</v>
      </c>
      <c r="N1145" s="4" t="s">
        <v>536</v>
      </c>
      <c r="O1145" s="4" t="s">
        <v>502</v>
      </c>
      <c r="Q1145" s="4" t="s">
        <v>540</v>
      </c>
      <c r="AB1145" s="4" t="s">
        <v>1033</v>
      </c>
      <c r="AC1145" s="4" t="s">
        <v>1034</v>
      </c>
      <c r="AD1145" s="4" t="s">
        <v>1035</v>
      </c>
      <c r="AE1145" s="4" t="s">
        <v>1036</v>
      </c>
      <c r="AF1145" s="4" t="s">
        <v>1037</v>
      </c>
      <c r="AH1145" s="4" t="s">
        <v>596</v>
      </c>
      <c r="AL1145" s="4" t="s">
        <v>407</v>
      </c>
      <c r="BD1145" s="4" t="s">
        <v>1038</v>
      </c>
      <c r="BI1145" s="4" t="s">
        <v>321</v>
      </c>
      <c r="BK1145" s="4">
        <v>5</v>
      </c>
      <c r="BL1145" s="4">
        <v>1</v>
      </c>
      <c r="BO1145" s="4">
        <v>0.005</v>
      </c>
      <c r="BS1145" s="4">
        <v>6.51</v>
      </c>
      <c r="BU1145" s="4">
        <v>30</v>
      </c>
      <c r="BV1145" s="4">
        <v>1440</v>
      </c>
      <c r="CB1145" s="4" t="s">
        <v>7</v>
      </c>
      <c r="CC1145" s="4">
        <v>2000</v>
      </c>
      <c r="DO1145" s="4">
        <v>3</v>
      </c>
      <c r="EA1145" s="4">
        <v>97.8</v>
      </c>
      <c r="EB1145" s="1">
        <v>0.82</v>
      </c>
      <c r="ED1145" s="4">
        <v>97.8</v>
      </c>
    </row>
    <row r="1146" customHeight="1" spans="1:164">
      <c r="A1146" s="3">
        <v>34</v>
      </c>
      <c r="B1146" s="4" t="s">
        <v>1030</v>
      </c>
      <c r="C1146" s="5" t="s">
        <v>1031</v>
      </c>
      <c r="D1146" s="4" t="s">
        <v>300</v>
      </c>
      <c r="E1146" s="4" t="s">
        <v>1032</v>
      </c>
      <c r="N1146" s="4" t="s">
        <v>536</v>
      </c>
      <c r="O1146" s="4" t="s">
        <v>502</v>
      </c>
      <c r="Q1146" s="4" t="s">
        <v>540</v>
      </c>
      <c r="AB1146" s="4" t="s">
        <v>1033</v>
      </c>
      <c r="AC1146" s="4" t="s">
        <v>1034</v>
      </c>
      <c r="AD1146" s="4" t="s">
        <v>1035</v>
      </c>
      <c r="AE1146" s="4" t="s">
        <v>1036</v>
      </c>
      <c r="AF1146" s="4" t="s">
        <v>1037</v>
      </c>
      <c r="AH1146" s="4" t="s">
        <v>596</v>
      </c>
      <c r="AL1146" s="4" t="s">
        <v>407</v>
      </c>
      <c r="BD1146" s="4" t="s">
        <v>1038</v>
      </c>
      <c r="BI1146" s="4" t="s">
        <v>321</v>
      </c>
      <c r="BK1146" s="4">
        <v>5</v>
      </c>
      <c r="BL1146" s="4">
        <v>1</v>
      </c>
      <c r="BO1146" s="4">
        <v>0.007</v>
      </c>
      <c r="BS1146" s="4">
        <v>6.51</v>
      </c>
      <c r="BU1146" s="4">
        <v>30</v>
      </c>
      <c r="BV1146" s="4">
        <v>1440</v>
      </c>
      <c r="CB1146" s="4" t="s">
        <v>7</v>
      </c>
      <c r="CC1146" s="4">
        <v>2000</v>
      </c>
      <c r="DO1146" s="4">
        <v>3</v>
      </c>
      <c r="EA1146" s="4">
        <v>99.45</v>
      </c>
      <c r="EB1146" s="1">
        <v>0.14</v>
      </c>
      <c r="ED1146" s="4">
        <v>99.45</v>
      </c>
    </row>
    <row r="1147" customHeight="1" spans="1:164">
      <c r="A1147" s="3">
        <v>34</v>
      </c>
      <c r="B1147" s="4" t="s">
        <v>1030</v>
      </c>
      <c r="C1147" s="5" t="s">
        <v>1031</v>
      </c>
      <c r="D1147" s="4" t="s">
        <v>300</v>
      </c>
      <c r="E1147" s="4" t="s">
        <v>1032</v>
      </c>
      <c r="N1147" s="4" t="s">
        <v>536</v>
      </c>
      <c r="O1147" s="4" t="s">
        <v>502</v>
      </c>
      <c r="Q1147" s="4" t="s">
        <v>540</v>
      </c>
      <c r="AB1147" s="4" t="s">
        <v>1033</v>
      </c>
      <c r="AC1147" s="4" t="s">
        <v>1034</v>
      </c>
      <c r="AD1147" s="4" t="s">
        <v>1035</v>
      </c>
      <c r="AE1147" s="4" t="s">
        <v>1036</v>
      </c>
      <c r="AF1147" s="4" t="s">
        <v>1037</v>
      </c>
      <c r="AH1147" s="4" t="s">
        <v>596</v>
      </c>
      <c r="AL1147" s="4" t="s">
        <v>407</v>
      </c>
      <c r="BD1147" s="4" t="s">
        <v>1038</v>
      </c>
      <c r="BI1147" s="4" t="s">
        <v>321</v>
      </c>
      <c r="BK1147" s="4">
        <v>5</v>
      </c>
      <c r="BL1147" s="4">
        <v>1</v>
      </c>
      <c r="BO1147" s="4">
        <v>0.01</v>
      </c>
      <c r="BS1147" s="4">
        <v>6.51</v>
      </c>
      <c r="BU1147" s="4">
        <v>30</v>
      </c>
      <c r="BV1147" s="4">
        <v>1440</v>
      </c>
      <c r="CB1147" s="4" t="s">
        <v>7</v>
      </c>
      <c r="CC1147" s="4">
        <v>2000</v>
      </c>
      <c r="DO1147" s="4">
        <v>3</v>
      </c>
      <c r="EA1147" s="1">
        <v>99.45</v>
      </c>
      <c r="EB1147" s="1">
        <v>0.41</v>
      </c>
      <c r="ED1147" s="1">
        <v>99.45</v>
      </c>
    </row>
    <row r="1148" customHeight="1" spans="1:164">
      <c r="A1148" s="3">
        <v>34</v>
      </c>
      <c r="B1148" s="4" t="s">
        <v>1030</v>
      </c>
      <c r="C1148" s="5" t="s">
        <v>1031</v>
      </c>
      <c r="D1148" s="4" t="s">
        <v>300</v>
      </c>
      <c r="E1148" s="4" t="s">
        <v>1032</v>
      </c>
      <c r="N1148" s="4" t="s">
        <v>536</v>
      </c>
      <c r="O1148" s="4" t="s">
        <v>502</v>
      </c>
      <c r="Q1148" s="4" t="s">
        <v>540</v>
      </c>
      <c r="AB1148" s="4" t="s">
        <v>1033</v>
      </c>
      <c r="AC1148" s="4" t="s">
        <v>1034</v>
      </c>
      <c r="AD1148" s="4" t="s">
        <v>1035</v>
      </c>
      <c r="AE1148" s="4" t="s">
        <v>1036</v>
      </c>
      <c r="AF1148" s="4" t="s">
        <v>1037</v>
      </c>
      <c r="AH1148" s="4" t="s">
        <v>596</v>
      </c>
      <c r="AL1148" s="4" t="s">
        <v>407</v>
      </c>
      <c r="BD1148" s="4" t="s">
        <v>1038</v>
      </c>
      <c r="BI1148" s="4" t="s">
        <v>321</v>
      </c>
      <c r="BK1148" s="4">
        <v>5</v>
      </c>
      <c r="BL1148" s="4">
        <v>1</v>
      </c>
      <c r="BO1148" s="4">
        <v>0.003</v>
      </c>
      <c r="BS1148" s="4">
        <v>6.51</v>
      </c>
      <c r="BU1148" s="4">
        <v>30</v>
      </c>
      <c r="BV1148" s="4">
        <v>1440</v>
      </c>
      <c r="CB1148" s="4" t="s">
        <v>7</v>
      </c>
      <c r="CC1148" s="4">
        <v>500</v>
      </c>
      <c r="DO1148" s="4">
        <v>3</v>
      </c>
      <c r="EA1148" s="1">
        <v>96.17</v>
      </c>
      <c r="EB1148" s="1">
        <v>0.03</v>
      </c>
      <c r="ED1148" s="1">
        <v>96.17</v>
      </c>
    </row>
    <row r="1149" customHeight="1" spans="1:164">
      <c r="A1149" s="3">
        <v>34</v>
      </c>
      <c r="B1149" s="4" t="s">
        <v>1030</v>
      </c>
      <c r="C1149" s="5" t="s">
        <v>1031</v>
      </c>
      <c r="D1149" s="4" t="s">
        <v>300</v>
      </c>
      <c r="E1149" s="4" t="s">
        <v>1032</v>
      </c>
      <c r="N1149" s="4" t="s">
        <v>536</v>
      </c>
      <c r="O1149" s="4" t="s">
        <v>502</v>
      </c>
      <c r="Q1149" s="4" t="s">
        <v>540</v>
      </c>
      <c r="AB1149" s="4" t="s">
        <v>1033</v>
      </c>
      <c r="AC1149" s="4" t="s">
        <v>1034</v>
      </c>
      <c r="AD1149" s="4" t="s">
        <v>1035</v>
      </c>
      <c r="AE1149" s="4" t="s">
        <v>1036</v>
      </c>
      <c r="AF1149" s="4" t="s">
        <v>1037</v>
      </c>
      <c r="AH1149" s="4" t="s">
        <v>596</v>
      </c>
      <c r="AL1149" s="4" t="s">
        <v>407</v>
      </c>
      <c r="BD1149" s="4" t="s">
        <v>1038</v>
      </c>
      <c r="BI1149" s="4" t="s">
        <v>321</v>
      </c>
      <c r="BK1149" s="4">
        <v>5</v>
      </c>
      <c r="BL1149" s="4">
        <v>1</v>
      </c>
      <c r="BO1149" s="4">
        <v>0.003</v>
      </c>
      <c r="BS1149" s="4">
        <v>6.51</v>
      </c>
      <c r="BU1149" s="4">
        <v>30</v>
      </c>
      <c r="BV1149" s="4">
        <v>1440</v>
      </c>
      <c r="CB1149" s="4" t="s">
        <v>7</v>
      </c>
      <c r="CC1149" s="4">
        <v>1000</v>
      </c>
      <c r="DO1149" s="4">
        <v>3</v>
      </c>
      <c r="EA1149" s="1">
        <v>95.26</v>
      </c>
      <c r="EB1149" s="1">
        <v>0.24</v>
      </c>
      <c r="ED1149" s="1">
        <v>95.26</v>
      </c>
    </row>
    <row r="1150" customHeight="1" spans="1:164">
      <c r="A1150" s="3">
        <v>34</v>
      </c>
      <c r="B1150" s="4" t="s">
        <v>1030</v>
      </c>
      <c r="C1150" s="5" t="s">
        <v>1031</v>
      </c>
      <c r="D1150" s="4" t="s">
        <v>300</v>
      </c>
      <c r="E1150" s="4" t="s">
        <v>1032</v>
      </c>
      <c r="N1150" s="4" t="s">
        <v>536</v>
      </c>
      <c r="O1150" s="4" t="s">
        <v>502</v>
      </c>
      <c r="Q1150" s="4" t="s">
        <v>540</v>
      </c>
      <c r="AB1150" s="4" t="s">
        <v>1033</v>
      </c>
      <c r="AC1150" s="4" t="s">
        <v>1034</v>
      </c>
      <c r="AD1150" s="4" t="s">
        <v>1035</v>
      </c>
      <c r="AE1150" s="4" t="s">
        <v>1036</v>
      </c>
      <c r="AF1150" s="4" t="s">
        <v>1037</v>
      </c>
      <c r="AH1150" s="4" t="s">
        <v>596</v>
      </c>
      <c r="AL1150" s="4" t="s">
        <v>407</v>
      </c>
      <c r="BD1150" s="4" t="s">
        <v>1038</v>
      </c>
      <c r="BI1150" s="4" t="s">
        <v>321</v>
      </c>
      <c r="BK1150" s="4">
        <v>5</v>
      </c>
      <c r="BL1150" s="4">
        <v>1</v>
      </c>
      <c r="BO1150" s="4">
        <v>0.003</v>
      </c>
      <c r="BS1150" s="4">
        <v>6.51</v>
      </c>
      <c r="BU1150" s="4">
        <v>30</v>
      </c>
      <c r="BV1150" s="4">
        <v>1440</v>
      </c>
      <c r="CB1150" s="4" t="s">
        <v>7</v>
      </c>
      <c r="CC1150" s="4">
        <v>1500</v>
      </c>
      <c r="DO1150" s="4">
        <v>3</v>
      </c>
      <c r="EA1150" s="1">
        <v>95.32</v>
      </c>
      <c r="EB1150" s="1">
        <v>0.44</v>
      </c>
      <c r="ED1150" s="1">
        <v>95.32</v>
      </c>
    </row>
    <row r="1151" customHeight="1" spans="1:164">
      <c r="A1151" s="3">
        <v>34</v>
      </c>
      <c r="B1151" s="4" t="s">
        <v>1030</v>
      </c>
      <c r="C1151" s="5" t="s">
        <v>1031</v>
      </c>
      <c r="D1151" s="4" t="s">
        <v>300</v>
      </c>
      <c r="E1151" s="4" t="s">
        <v>1032</v>
      </c>
      <c r="N1151" s="4" t="s">
        <v>536</v>
      </c>
      <c r="O1151" s="4" t="s">
        <v>502</v>
      </c>
      <c r="Q1151" s="4" t="s">
        <v>540</v>
      </c>
      <c r="AB1151" s="4" t="s">
        <v>1033</v>
      </c>
      <c r="AC1151" s="4" t="s">
        <v>1034</v>
      </c>
      <c r="AD1151" s="4" t="s">
        <v>1035</v>
      </c>
      <c r="AE1151" s="4" t="s">
        <v>1036</v>
      </c>
      <c r="AF1151" s="4" t="s">
        <v>1037</v>
      </c>
      <c r="AH1151" s="4" t="s">
        <v>596</v>
      </c>
      <c r="AL1151" s="4" t="s">
        <v>407</v>
      </c>
      <c r="BD1151" s="4" t="s">
        <v>1038</v>
      </c>
      <c r="BI1151" s="4" t="s">
        <v>321</v>
      </c>
      <c r="BK1151" s="4">
        <v>5</v>
      </c>
      <c r="BL1151" s="4">
        <v>1</v>
      </c>
      <c r="BO1151" s="4">
        <v>0.003</v>
      </c>
      <c r="BS1151" s="4">
        <v>6.51</v>
      </c>
      <c r="BU1151" s="4">
        <v>30</v>
      </c>
      <c r="BV1151" s="4">
        <v>1440</v>
      </c>
      <c r="CB1151" s="4" t="s">
        <v>7</v>
      </c>
      <c r="CC1151" s="4">
        <v>2000</v>
      </c>
      <c r="DO1151" s="4">
        <v>3</v>
      </c>
      <c r="EA1151" s="1">
        <v>94.77</v>
      </c>
      <c r="EB1151" s="1">
        <v>0.73</v>
      </c>
      <c r="ED1151" s="1">
        <v>94.77</v>
      </c>
    </row>
    <row r="1152" customHeight="1" spans="1:164">
      <c r="A1152" s="3">
        <v>34</v>
      </c>
      <c r="B1152" s="4" t="s">
        <v>1030</v>
      </c>
      <c r="C1152" s="5" t="s">
        <v>1031</v>
      </c>
      <c r="D1152" s="4" t="s">
        <v>300</v>
      </c>
      <c r="E1152" s="4" t="s">
        <v>1032</v>
      </c>
      <c r="N1152" s="4" t="s">
        <v>536</v>
      </c>
      <c r="O1152" s="4" t="s">
        <v>502</v>
      </c>
      <c r="Q1152" s="4" t="s">
        <v>540</v>
      </c>
      <c r="AB1152" s="4" t="s">
        <v>1033</v>
      </c>
      <c r="AC1152" s="4" t="s">
        <v>1034</v>
      </c>
      <c r="AD1152" s="4" t="s">
        <v>1035</v>
      </c>
      <c r="AE1152" s="4" t="s">
        <v>1036</v>
      </c>
      <c r="AF1152" s="4" t="s">
        <v>1037</v>
      </c>
      <c r="AH1152" s="4" t="s">
        <v>596</v>
      </c>
      <c r="AL1152" s="4" t="s">
        <v>407</v>
      </c>
      <c r="BD1152" s="4" t="s">
        <v>1038</v>
      </c>
      <c r="BI1152" s="4" t="s">
        <v>321</v>
      </c>
      <c r="BK1152" s="4">
        <v>5</v>
      </c>
      <c r="BL1152" s="4">
        <v>1</v>
      </c>
      <c r="BO1152" s="4">
        <v>0.01</v>
      </c>
      <c r="BS1152" s="4">
        <v>4</v>
      </c>
      <c r="BU1152" s="4">
        <v>30</v>
      </c>
      <c r="BV1152" s="4">
        <v>1440</v>
      </c>
      <c r="CB1152" s="4" t="s">
        <v>7</v>
      </c>
      <c r="CC1152" s="4">
        <v>2000</v>
      </c>
      <c r="DO1152" s="4">
        <v>3</v>
      </c>
      <c r="EA1152" s="1">
        <v>31.75</v>
      </c>
      <c r="EB1152" s="1">
        <v>0.4</v>
      </c>
      <c r="ED1152" s="1">
        <v>31.75</v>
      </c>
    </row>
    <row r="1153" customHeight="1" spans="1:239">
      <c r="A1153" s="3">
        <v>34</v>
      </c>
      <c r="B1153" s="4" t="s">
        <v>1030</v>
      </c>
      <c r="C1153" s="5" t="s">
        <v>1031</v>
      </c>
      <c r="D1153" s="4" t="s">
        <v>300</v>
      </c>
      <c r="E1153" s="4" t="s">
        <v>1032</v>
      </c>
      <c r="N1153" s="4" t="s">
        <v>536</v>
      </c>
      <c r="O1153" s="4" t="s">
        <v>502</v>
      </c>
      <c r="Q1153" s="4" t="s">
        <v>540</v>
      </c>
      <c r="AB1153" s="4" t="s">
        <v>1033</v>
      </c>
      <c r="AC1153" s="4" t="s">
        <v>1034</v>
      </c>
      <c r="AD1153" s="4" t="s">
        <v>1035</v>
      </c>
      <c r="AE1153" s="4" t="s">
        <v>1036</v>
      </c>
      <c r="AF1153" s="4" t="s">
        <v>1037</v>
      </c>
      <c r="AH1153" s="4" t="s">
        <v>596</v>
      </c>
      <c r="AL1153" s="4" t="s">
        <v>407</v>
      </c>
      <c r="BD1153" s="4" t="s">
        <v>1038</v>
      </c>
      <c r="BI1153" s="4" t="s">
        <v>321</v>
      </c>
      <c r="BK1153" s="4">
        <v>5</v>
      </c>
      <c r="BL1153" s="4">
        <v>1</v>
      </c>
      <c r="BO1153" s="4">
        <v>0.01</v>
      </c>
      <c r="BS1153" s="4">
        <v>5</v>
      </c>
      <c r="BU1153" s="4">
        <v>30</v>
      </c>
      <c r="BV1153" s="4">
        <v>1440</v>
      </c>
      <c r="CB1153" s="4" t="s">
        <v>7</v>
      </c>
      <c r="CC1153" s="4">
        <v>2000</v>
      </c>
      <c r="DO1153" s="4">
        <v>3</v>
      </c>
      <c r="EA1153" s="4">
        <v>90.51</v>
      </c>
      <c r="EB1153" s="1">
        <v>1.84</v>
      </c>
      <c r="ED1153" s="4">
        <v>90.51</v>
      </c>
    </row>
    <row r="1154" customHeight="1" spans="1:239">
      <c r="A1154" s="3">
        <v>34</v>
      </c>
      <c r="B1154" s="4" t="s">
        <v>1030</v>
      </c>
      <c r="C1154" s="5" t="s">
        <v>1031</v>
      </c>
      <c r="D1154" s="4" t="s">
        <v>300</v>
      </c>
      <c r="E1154" s="4" t="s">
        <v>1032</v>
      </c>
      <c r="N1154" s="4" t="s">
        <v>536</v>
      </c>
      <c r="O1154" s="4" t="s">
        <v>502</v>
      </c>
      <c r="Q1154" s="4" t="s">
        <v>540</v>
      </c>
      <c r="AB1154" s="4" t="s">
        <v>1033</v>
      </c>
      <c r="AC1154" s="4" t="s">
        <v>1034</v>
      </c>
      <c r="AD1154" s="4" t="s">
        <v>1035</v>
      </c>
      <c r="AE1154" s="4" t="s">
        <v>1036</v>
      </c>
      <c r="AF1154" s="4" t="s">
        <v>1037</v>
      </c>
      <c r="AH1154" s="4" t="s">
        <v>596</v>
      </c>
      <c r="AL1154" s="4" t="s">
        <v>407</v>
      </c>
      <c r="BD1154" s="4" t="s">
        <v>1038</v>
      </c>
      <c r="BI1154" s="4" t="s">
        <v>321</v>
      </c>
      <c r="BK1154" s="4">
        <v>5</v>
      </c>
      <c r="BL1154" s="4">
        <v>1</v>
      </c>
      <c r="BO1154" s="4">
        <v>0.01</v>
      </c>
      <c r="BS1154" s="4">
        <v>6</v>
      </c>
      <c r="BU1154" s="4">
        <v>30</v>
      </c>
      <c r="BV1154" s="4">
        <v>1440</v>
      </c>
      <c r="CB1154" s="4" t="s">
        <v>7</v>
      </c>
      <c r="CC1154" s="4">
        <v>2000</v>
      </c>
      <c r="DO1154" s="4">
        <v>3</v>
      </c>
      <c r="EA1154" s="4">
        <v>91.83</v>
      </c>
      <c r="EB1154" s="1">
        <v>4.35</v>
      </c>
      <c r="ED1154" s="4">
        <v>91.83</v>
      </c>
    </row>
    <row r="1155" customHeight="1" spans="1:239">
      <c r="A1155" s="3">
        <v>34</v>
      </c>
      <c r="B1155" s="4" t="s">
        <v>1030</v>
      </c>
      <c r="C1155" s="5" t="s">
        <v>1031</v>
      </c>
      <c r="D1155" s="4" t="s">
        <v>300</v>
      </c>
      <c r="E1155" s="4" t="s">
        <v>1032</v>
      </c>
      <c r="N1155" s="4" t="s">
        <v>536</v>
      </c>
      <c r="O1155" s="4" t="s">
        <v>502</v>
      </c>
      <c r="Q1155" s="4" t="s">
        <v>540</v>
      </c>
      <c r="AB1155" s="4" t="s">
        <v>1033</v>
      </c>
      <c r="AC1155" s="4" t="s">
        <v>1034</v>
      </c>
      <c r="AD1155" s="4" t="s">
        <v>1035</v>
      </c>
      <c r="AE1155" s="4" t="s">
        <v>1036</v>
      </c>
      <c r="AF1155" s="4" t="s">
        <v>1037</v>
      </c>
      <c r="AH1155" s="4" t="s">
        <v>596</v>
      </c>
      <c r="AL1155" s="4" t="s">
        <v>407</v>
      </c>
      <c r="BD1155" s="4" t="s">
        <v>1038</v>
      </c>
      <c r="BI1155" s="4" t="s">
        <v>321</v>
      </c>
      <c r="BK1155" s="4">
        <v>5</v>
      </c>
      <c r="BL1155" s="4">
        <v>1</v>
      </c>
      <c r="BO1155" s="4">
        <v>0.01</v>
      </c>
      <c r="BS1155" s="4">
        <v>6.5</v>
      </c>
      <c r="BU1155" s="4">
        <v>30</v>
      </c>
      <c r="BV1155" s="4">
        <v>1440</v>
      </c>
      <c r="CB1155" s="4" t="s">
        <v>7</v>
      </c>
      <c r="CC1155" s="4">
        <v>2000</v>
      </c>
      <c r="DO1155" s="4">
        <v>3</v>
      </c>
      <c r="EA1155" s="4">
        <v>94.6</v>
      </c>
      <c r="EB1155" s="1">
        <v>0.79</v>
      </c>
      <c r="ED1155" s="4">
        <v>94.6</v>
      </c>
    </row>
    <row r="1156" customHeight="1" spans="1:239">
      <c r="A1156" s="3">
        <v>34</v>
      </c>
      <c r="B1156" s="4" t="s">
        <v>1030</v>
      </c>
      <c r="C1156" s="5" t="s">
        <v>1031</v>
      </c>
      <c r="D1156" s="4" t="s">
        <v>300</v>
      </c>
      <c r="E1156" s="4" t="s">
        <v>1032</v>
      </c>
      <c r="N1156" s="4" t="s">
        <v>536</v>
      </c>
      <c r="O1156" s="4" t="s">
        <v>502</v>
      </c>
      <c r="Q1156" s="4" t="s">
        <v>540</v>
      </c>
      <c r="AB1156" s="4" t="s">
        <v>1033</v>
      </c>
      <c r="AC1156" s="4" t="s">
        <v>1034</v>
      </c>
      <c r="AD1156" s="4" t="s">
        <v>1035</v>
      </c>
      <c r="AE1156" s="4" t="s">
        <v>1036</v>
      </c>
      <c r="AF1156" s="4" t="s">
        <v>1037</v>
      </c>
      <c r="AH1156" s="4" t="s">
        <v>596</v>
      </c>
      <c r="AL1156" s="4" t="s">
        <v>407</v>
      </c>
      <c r="BD1156" s="4" t="s">
        <v>1038</v>
      </c>
      <c r="BI1156" s="4" t="s">
        <v>321</v>
      </c>
      <c r="BM1156" s="4">
        <v>0</v>
      </c>
      <c r="BO1156" s="4">
        <v>0</v>
      </c>
      <c r="BS1156" s="4">
        <v>6.51</v>
      </c>
      <c r="BU1156" s="4" t="s">
        <v>398</v>
      </c>
      <c r="BV1156" s="4">
        <v>1080</v>
      </c>
      <c r="BW1156" s="4" t="s">
        <v>311</v>
      </c>
      <c r="CB1156" s="4" t="s">
        <v>7</v>
      </c>
      <c r="DO1156" s="4">
        <v>3</v>
      </c>
      <c r="DQ1156" s="4">
        <v>142.27</v>
      </c>
      <c r="DR1156" s="1">
        <v>2.68</v>
      </c>
      <c r="DS1156" s="4">
        <v>142.27</v>
      </c>
      <c r="DT1156" s="1">
        <v>2.68</v>
      </c>
      <c r="EC1156" s="1">
        <f>(DQ1156-DS1156)/DQ1156*100</f>
        <v>0</v>
      </c>
      <c r="ED1156" s="1">
        <v>0</v>
      </c>
    </row>
    <row r="1157" customHeight="1" spans="1:239">
      <c r="A1157" s="3">
        <v>34</v>
      </c>
      <c r="B1157" s="4" t="s">
        <v>1030</v>
      </c>
      <c r="C1157" s="5" t="s">
        <v>1031</v>
      </c>
      <c r="D1157" s="4" t="s">
        <v>300</v>
      </c>
      <c r="E1157" s="4" t="s">
        <v>1032</v>
      </c>
      <c r="N1157" s="4" t="s">
        <v>536</v>
      </c>
      <c r="O1157" s="4" t="s">
        <v>502</v>
      </c>
      <c r="Q1157" s="4" t="s">
        <v>540</v>
      </c>
      <c r="AB1157" s="4" t="s">
        <v>1033</v>
      </c>
      <c r="AC1157" s="4" t="s">
        <v>1034</v>
      </c>
      <c r="AD1157" s="4" t="s">
        <v>1035</v>
      </c>
      <c r="AE1157" s="4" t="s">
        <v>1036</v>
      </c>
      <c r="AF1157" s="4" t="s">
        <v>1037</v>
      </c>
      <c r="AH1157" s="4" t="s">
        <v>596</v>
      </c>
      <c r="AL1157" s="4" t="s">
        <v>407</v>
      </c>
      <c r="BD1157" s="4" t="s">
        <v>1038</v>
      </c>
      <c r="BI1157" s="4" t="s">
        <v>321</v>
      </c>
      <c r="BM1157" s="4">
        <v>0.003</v>
      </c>
      <c r="BO1157" s="4">
        <v>0.003</v>
      </c>
      <c r="BS1157" s="4">
        <v>6.51</v>
      </c>
      <c r="BU1157" s="4" t="s">
        <v>398</v>
      </c>
      <c r="BV1157" s="4">
        <v>1080</v>
      </c>
      <c r="BW1157" s="4" t="s">
        <v>311</v>
      </c>
      <c r="CB1157" s="4" t="s">
        <v>7</v>
      </c>
      <c r="DO1157" s="4">
        <v>3</v>
      </c>
      <c r="DQ1157" s="4">
        <v>142.27</v>
      </c>
      <c r="DR1157" s="1">
        <v>2.68</v>
      </c>
      <c r="DS1157" s="4">
        <v>130.52</v>
      </c>
      <c r="DT1157" s="1">
        <v>6.6</v>
      </c>
      <c r="EC1157" s="1">
        <f t="shared" ref="EC1157:EC1164" si="31">(DQ1157-DS1157)/DQ1157*100</f>
        <v>8.25894426091235</v>
      </c>
      <c r="ED1157" s="1">
        <v>8.25894426091235</v>
      </c>
    </row>
    <row r="1158" customHeight="1" spans="1:239">
      <c r="A1158" s="3">
        <v>34</v>
      </c>
      <c r="B1158" s="4" t="s">
        <v>1030</v>
      </c>
      <c r="C1158" s="5" t="s">
        <v>1031</v>
      </c>
      <c r="D1158" s="4" t="s">
        <v>300</v>
      </c>
      <c r="E1158" s="4" t="s">
        <v>1032</v>
      </c>
      <c r="N1158" s="4" t="s">
        <v>536</v>
      </c>
      <c r="O1158" s="4" t="s">
        <v>502</v>
      </c>
      <c r="Q1158" s="4" t="s">
        <v>540</v>
      </c>
      <c r="AB1158" s="4" t="s">
        <v>1033</v>
      </c>
      <c r="AC1158" s="4" t="s">
        <v>1034</v>
      </c>
      <c r="AD1158" s="4" t="s">
        <v>1035</v>
      </c>
      <c r="AE1158" s="4" t="s">
        <v>1036</v>
      </c>
      <c r="AF1158" s="4" t="s">
        <v>1037</v>
      </c>
      <c r="AH1158" s="4" t="s">
        <v>596</v>
      </c>
      <c r="AL1158" s="4" t="s">
        <v>407</v>
      </c>
      <c r="BD1158" s="4" t="s">
        <v>1038</v>
      </c>
      <c r="BI1158" s="4" t="s">
        <v>321</v>
      </c>
      <c r="BM1158" s="4">
        <v>0.003</v>
      </c>
      <c r="BO1158" s="4">
        <v>0.003</v>
      </c>
      <c r="BS1158" s="4">
        <v>6.51</v>
      </c>
      <c r="BU1158" s="4" t="s">
        <v>398</v>
      </c>
      <c r="BV1158" s="4">
        <v>1080</v>
      </c>
      <c r="BW1158" s="4" t="s">
        <v>311</v>
      </c>
      <c r="CB1158" s="4" t="s">
        <v>7</v>
      </c>
      <c r="DO1158" s="4">
        <v>3</v>
      </c>
      <c r="DQ1158" s="4">
        <v>142.27</v>
      </c>
      <c r="DR1158" s="1">
        <v>2.68</v>
      </c>
      <c r="DS1158" s="4">
        <v>89.07</v>
      </c>
      <c r="DT1158" s="1">
        <v>0.62</v>
      </c>
      <c r="EC1158" s="1">
        <f t="shared" si="31"/>
        <v>37.393688057918</v>
      </c>
      <c r="ED1158" s="1">
        <v>37.393688057918</v>
      </c>
    </row>
    <row r="1159" customHeight="1" spans="1:239">
      <c r="A1159" s="3">
        <v>34</v>
      </c>
      <c r="B1159" s="4" t="s">
        <v>1030</v>
      </c>
      <c r="C1159" s="5" t="s">
        <v>1031</v>
      </c>
      <c r="D1159" s="4" t="s">
        <v>300</v>
      </c>
      <c r="E1159" s="4" t="s">
        <v>1032</v>
      </c>
      <c r="N1159" s="4" t="s">
        <v>536</v>
      </c>
      <c r="O1159" s="4" t="s">
        <v>502</v>
      </c>
      <c r="Q1159" s="4" t="s">
        <v>540</v>
      </c>
      <c r="AB1159" s="4" t="s">
        <v>1033</v>
      </c>
      <c r="AC1159" s="4" t="s">
        <v>1034</v>
      </c>
      <c r="AD1159" s="4" t="s">
        <v>1035</v>
      </c>
      <c r="AE1159" s="4" t="s">
        <v>1036</v>
      </c>
      <c r="AF1159" s="4" t="s">
        <v>1037</v>
      </c>
      <c r="AH1159" s="4" t="s">
        <v>596</v>
      </c>
      <c r="AL1159" s="4" t="s">
        <v>407</v>
      </c>
      <c r="BD1159" s="4" t="s">
        <v>1038</v>
      </c>
      <c r="BI1159" s="4" t="s">
        <v>321</v>
      </c>
      <c r="BM1159" s="4">
        <v>0.003</v>
      </c>
      <c r="BO1159" s="4">
        <v>0.003</v>
      </c>
      <c r="BS1159" s="4">
        <v>6.51</v>
      </c>
      <c r="BU1159" s="4" t="s">
        <v>398</v>
      </c>
      <c r="BV1159" s="4">
        <v>1080</v>
      </c>
      <c r="BW1159" s="4" t="s">
        <v>311</v>
      </c>
      <c r="CB1159" s="4" t="s">
        <v>7</v>
      </c>
      <c r="DO1159" s="4">
        <v>3</v>
      </c>
      <c r="DQ1159" s="4">
        <v>142.27</v>
      </c>
      <c r="DR1159" s="1">
        <v>2.68</v>
      </c>
      <c r="DS1159" s="4">
        <v>48.25</v>
      </c>
      <c r="DT1159" s="1">
        <v>0.62</v>
      </c>
      <c r="EC1159" s="1">
        <f t="shared" si="31"/>
        <v>66.0856118647642</v>
      </c>
      <c r="ED1159" s="1">
        <v>66.0856118647642</v>
      </c>
    </row>
    <row r="1160" customHeight="1" spans="1:239">
      <c r="A1160" s="3">
        <v>34</v>
      </c>
      <c r="B1160" s="4" t="s">
        <v>1030</v>
      </c>
      <c r="C1160" s="5" t="s">
        <v>1031</v>
      </c>
      <c r="D1160" s="4" t="s">
        <v>300</v>
      </c>
      <c r="E1160" s="4" t="s">
        <v>1032</v>
      </c>
      <c r="N1160" s="4" t="s">
        <v>536</v>
      </c>
      <c r="O1160" s="4" t="s">
        <v>502</v>
      </c>
      <c r="Q1160" s="4" t="s">
        <v>540</v>
      </c>
      <c r="AB1160" s="4" t="s">
        <v>1033</v>
      </c>
      <c r="AC1160" s="4" t="s">
        <v>1034</v>
      </c>
      <c r="AD1160" s="4" t="s">
        <v>1035</v>
      </c>
      <c r="AE1160" s="4" t="s">
        <v>1036</v>
      </c>
      <c r="AF1160" s="4" t="s">
        <v>1037</v>
      </c>
      <c r="AH1160" s="4" t="s">
        <v>596</v>
      </c>
      <c r="AL1160" s="4" t="s">
        <v>407</v>
      </c>
      <c r="BD1160" s="4" t="s">
        <v>1038</v>
      </c>
      <c r="BI1160" s="4" t="s">
        <v>321</v>
      </c>
      <c r="BM1160" s="4">
        <v>0.003</v>
      </c>
      <c r="BO1160" s="4">
        <v>0.003</v>
      </c>
      <c r="BS1160" s="4">
        <v>6.51</v>
      </c>
      <c r="BU1160" s="4" t="s">
        <v>398</v>
      </c>
      <c r="BV1160" s="4">
        <v>1080</v>
      </c>
      <c r="BW1160" s="4" t="s">
        <v>311</v>
      </c>
      <c r="CB1160" s="4" t="s">
        <v>7</v>
      </c>
      <c r="DO1160" s="4">
        <v>3</v>
      </c>
      <c r="DQ1160" s="4">
        <v>142.27</v>
      </c>
      <c r="DR1160" s="1">
        <v>2.68</v>
      </c>
      <c r="DS1160" s="4">
        <v>42.47</v>
      </c>
      <c r="DT1160" s="1">
        <v>0.41</v>
      </c>
      <c r="EC1160" s="1">
        <f t="shared" si="31"/>
        <v>70.1483095522598</v>
      </c>
      <c r="ED1160" s="1">
        <v>70.1483095522598</v>
      </c>
    </row>
    <row r="1161" customHeight="1" spans="1:239">
      <c r="A1161" s="3">
        <v>34</v>
      </c>
      <c r="B1161" s="4" t="s">
        <v>1030</v>
      </c>
      <c r="C1161" s="5" t="s">
        <v>1031</v>
      </c>
      <c r="D1161" s="4" t="s">
        <v>300</v>
      </c>
      <c r="E1161" s="4" t="s">
        <v>1032</v>
      </c>
      <c r="N1161" s="4" t="s">
        <v>536</v>
      </c>
      <c r="O1161" s="4" t="s">
        <v>502</v>
      </c>
      <c r="Q1161" s="4" t="s">
        <v>540</v>
      </c>
      <c r="AB1161" s="4" t="s">
        <v>1033</v>
      </c>
      <c r="AC1161" s="4" t="s">
        <v>1034</v>
      </c>
      <c r="AD1161" s="4" t="s">
        <v>1035</v>
      </c>
      <c r="AE1161" s="4" t="s">
        <v>1036</v>
      </c>
      <c r="AF1161" s="4" t="s">
        <v>1037</v>
      </c>
      <c r="AH1161" s="4" t="s">
        <v>596</v>
      </c>
      <c r="AL1161" s="4" t="s">
        <v>407</v>
      </c>
      <c r="BD1161" s="4" t="s">
        <v>1038</v>
      </c>
      <c r="BI1161" s="4" t="s">
        <v>321</v>
      </c>
      <c r="BM1161" s="4">
        <v>0.003</v>
      </c>
      <c r="BO1161" s="4">
        <v>0.003</v>
      </c>
      <c r="BS1161" s="4">
        <v>6.51</v>
      </c>
      <c r="BU1161" s="4" t="s">
        <v>398</v>
      </c>
      <c r="BV1161" s="4">
        <v>1080</v>
      </c>
      <c r="BW1161" s="4" t="s">
        <v>311</v>
      </c>
      <c r="CB1161" s="4" t="s">
        <v>7</v>
      </c>
      <c r="DO1161" s="4">
        <v>3</v>
      </c>
      <c r="DQ1161" s="4">
        <v>142.27</v>
      </c>
      <c r="DR1161" s="1">
        <v>2.68</v>
      </c>
      <c r="DS1161" s="4">
        <v>42.06</v>
      </c>
      <c r="DT1161" s="1">
        <v>2.06</v>
      </c>
      <c r="EC1161" s="1">
        <f t="shared" si="31"/>
        <v>70.4364939903001</v>
      </c>
      <c r="ED1161" s="1">
        <v>70.4364939903001</v>
      </c>
    </row>
    <row r="1162" customHeight="1" spans="1:239">
      <c r="A1162" s="3">
        <v>34</v>
      </c>
      <c r="B1162" s="4" t="s">
        <v>1030</v>
      </c>
      <c r="C1162" s="5" t="s">
        <v>1031</v>
      </c>
      <c r="D1162" s="4" t="s">
        <v>300</v>
      </c>
      <c r="E1162" s="4" t="s">
        <v>1032</v>
      </c>
      <c r="N1162" s="4" t="s">
        <v>536</v>
      </c>
      <c r="O1162" s="4" t="s">
        <v>502</v>
      </c>
      <c r="Q1162" s="4" t="s">
        <v>540</v>
      </c>
      <c r="AB1162" s="4" t="s">
        <v>1033</v>
      </c>
      <c r="AC1162" s="4" t="s">
        <v>1034</v>
      </c>
      <c r="AD1162" s="4" t="s">
        <v>1035</v>
      </c>
      <c r="AE1162" s="4" t="s">
        <v>1036</v>
      </c>
      <c r="AF1162" s="4" t="s">
        <v>1037</v>
      </c>
      <c r="AH1162" s="4" t="s">
        <v>596</v>
      </c>
      <c r="AL1162" s="4" t="s">
        <v>407</v>
      </c>
      <c r="BD1162" s="4" t="s">
        <v>1038</v>
      </c>
      <c r="BI1162" s="4" t="s">
        <v>321</v>
      </c>
      <c r="BM1162" s="4">
        <v>0.003</v>
      </c>
      <c r="BO1162" s="4">
        <v>0.003</v>
      </c>
      <c r="BS1162" s="4">
        <v>6.51</v>
      </c>
      <c r="BU1162" s="4" t="s">
        <v>398</v>
      </c>
      <c r="BV1162" s="4">
        <v>1080</v>
      </c>
      <c r="BW1162" s="4" t="s">
        <v>311</v>
      </c>
      <c r="CB1162" s="4" t="s">
        <v>7</v>
      </c>
      <c r="DO1162" s="4">
        <v>3</v>
      </c>
      <c r="DQ1162" s="4">
        <v>142.27</v>
      </c>
      <c r="DR1162" s="1">
        <v>2.68</v>
      </c>
      <c r="DS1162" s="4">
        <v>39.38</v>
      </c>
      <c r="DT1162" s="1">
        <v>2.68</v>
      </c>
      <c r="EC1162" s="1">
        <f t="shared" si="31"/>
        <v>72.3202361706614</v>
      </c>
      <c r="ED1162" s="1">
        <v>72.3202361706614</v>
      </c>
    </row>
    <row r="1163" customHeight="1" spans="1:239">
      <c r="A1163" s="3">
        <v>34</v>
      </c>
      <c r="B1163" s="4" t="s">
        <v>1030</v>
      </c>
      <c r="C1163" s="5" t="s">
        <v>1031</v>
      </c>
      <c r="D1163" s="4" t="s">
        <v>300</v>
      </c>
      <c r="E1163" s="4" t="s">
        <v>1032</v>
      </c>
      <c r="N1163" s="4" t="s">
        <v>536</v>
      </c>
      <c r="O1163" s="4" t="s">
        <v>502</v>
      </c>
      <c r="Q1163" s="4" t="s">
        <v>540</v>
      </c>
      <c r="AB1163" s="4" t="s">
        <v>1033</v>
      </c>
      <c r="AC1163" s="4" t="s">
        <v>1034</v>
      </c>
      <c r="AD1163" s="4" t="s">
        <v>1035</v>
      </c>
      <c r="AE1163" s="4" t="s">
        <v>1036</v>
      </c>
      <c r="AF1163" s="4" t="s">
        <v>1037</v>
      </c>
      <c r="AH1163" s="4" t="s">
        <v>596</v>
      </c>
      <c r="AL1163" s="4" t="s">
        <v>407</v>
      </c>
      <c r="BD1163" s="4" t="s">
        <v>1038</v>
      </c>
      <c r="BI1163" s="4" t="s">
        <v>321</v>
      </c>
      <c r="BM1163" s="4">
        <v>0.003</v>
      </c>
      <c r="BO1163" s="4">
        <v>0.003</v>
      </c>
      <c r="BS1163" s="4">
        <v>6.51</v>
      </c>
      <c r="BU1163" s="4" t="s">
        <v>398</v>
      </c>
      <c r="BV1163" s="4">
        <v>1080</v>
      </c>
      <c r="BW1163" s="4" t="s">
        <v>311</v>
      </c>
      <c r="CB1163" s="4" t="s">
        <v>7</v>
      </c>
      <c r="DO1163" s="4">
        <v>3</v>
      </c>
      <c r="DQ1163" s="4">
        <v>142.27</v>
      </c>
      <c r="DR1163" s="1">
        <v>2.68</v>
      </c>
      <c r="DS1163" s="4">
        <v>31.34</v>
      </c>
      <c r="DT1163" s="1">
        <v>6.8</v>
      </c>
      <c r="EC1163" s="1">
        <f t="shared" si="31"/>
        <v>77.9714627117453</v>
      </c>
      <c r="ED1163" s="1">
        <v>77.9714627117453</v>
      </c>
    </row>
    <row r="1164" customHeight="1" spans="1:239">
      <c r="A1164" s="3">
        <v>34</v>
      </c>
      <c r="B1164" s="4" t="s">
        <v>1030</v>
      </c>
      <c r="C1164" s="5" t="s">
        <v>1031</v>
      </c>
      <c r="D1164" s="4" t="s">
        <v>300</v>
      </c>
      <c r="E1164" s="4" t="s">
        <v>1032</v>
      </c>
      <c r="N1164" s="4" t="s">
        <v>536</v>
      </c>
      <c r="O1164" s="4" t="s">
        <v>502</v>
      </c>
      <c r="Q1164" s="4" t="s">
        <v>540</v>
      </c>
      <c r="AB1164" s="4" t="s">
        <v>1033</v>
      </c>
      <c r="AC1164" s="4" t="s">
        <v>1034</v>
      </c>
      <c r="AD1164" s="4" t="s">
        <v>1035</v>
      </c>
      <c r="AE1164" s="4" t="s">
        <v>1036</v>
      </c>
      <c r="AF1164" s="4" t="s">
        <v>1037</v>
      </c>
      <c r="AH1164" s="4" t="s">
        <v>596</v>
      </c>
      <c r="AL1164" s="4" t="s">
        <v>407</v>
      </c>
      <c r="BD1164" s="4" t="s">
        <v>1038</v>
      </c>
      <c r="BI1164" s="4" t="s">
        <v>321</v>
      </c>
      <c r="BM1164" s="4">
        <v>0.003</v>
      </c>
      <c r="BO1164" s="4">
        <v>0.003</v>
      </c>
      <c r="BS1164" s="4">
        <v>6.51</v>
      </c>
      <c r="BU1164" s="4" t="s">
        <v>398</v>
      </c>
      <c r="BV1164" s="4">
        <v>1080</v>
      </c>
      <c r="BW1164" s="4" t="s">
        <v>311</v>
      </c>
      <c r="CB1164" s="4" t="s">
        <v>7</v>
      </c>
      <c r="DO1164" s="4">
        <v>3</v>
      </c>
      <c r="DQ1164" s="4">
        <v>142.27</v>
      </c>
      <c r="DR1164" s="1">
        <v>2.68</v>
      </c>
      <c r="DS1164" s="4">
        <v>33.4</v>
      </c>
      <c r="DT1164" s="1">
        <v>4.12</v>
      </c>
      <c r="EC1164" s="1">
        <f t="shared" si="31"/>
        <v>76.5235116328109</v>
      </c>
      <c r="ED1164" s="1">
        <v>76.5235116328109</v>
      </c>
    </row>
    <row r="1165" customHeight="1" spans="1:239">
      <c r="A1165" s="39">
        <v>35</v>
      </c>
      <c r="B1165" s="4" t="s">
        <v>1039</v>
      </c>
      <c r="C1165" s="5" t="s">
        <v>1040</v>
      </c>
      <c r="E1165" s="4" t="s">
        <v>1041</v>
      </c>
      <c r="AB1165" s="4" t="s">
        <v>1042</v>
      </c>
      <c r="AC1165" s="4" t="s">
        <v>1043</v>
      </c>
      <c r="AD1165" s="4" t="s">
        <v>1044</v>
      </c>
      <c r="AE1165" s="4" t="s">
        <v>1045</v>
      </c>
      <c r="AF1165" s="4" t="s">
        <v>1046</v>
      </c>
      <c r="AH1165" s="4" t="s">
        <v>596</v>
      </c>
      <c r="AI1165" s="4" t="s">
        <v>1047</v>
      </c>
      <c r="AJ1165" s="4" t="s">
        <v>1048</v>
      </c>
      <c r="AK1165" s="4" t="s">
        <v>1049</v>
      </c>
      <c r="AQ1165" s="4" t="s">
        <v>457</v>
      </c>
      <c r="AS1165" s="4" t="s">
        <v>11</v>
      </c>
      <c r="AU1165" s="4" t="s">
        <v>14</v>
      </c>
      <c r="BE1165" s="4" t="s">
        <v>667</v>
      </c>
      <c r="BI1165" s="4" t="s">
        <v>321</v>
      </c>
      <c r="BL1165" s="4">
        <v>250</v>
      </c>
      <c r="BM1165" s="4">
        <v>0</v>
      </c>
      <c r="BS1165" s="4">
        <v>5.95</v>
      </c>
      <c r="BV1165" s="4" t="s">
        <v>1050</v>
      </c>
      <c r="BW1165" s="4">
        <v>25</v>
      </c>
      <c r="BX1165" s="4" t="s">
        <v>557</v>
      </c>
      <c r="BY1165" s="4">
        <v>14</v>
      </c>
      <c r="CB1165" s="4" t="s">
        <v>882</v>
      </c>
      <c r="CC1165" s="4">
        <v>0.81</v>
      </c>
      <c r="CE1165" s="4" t="s">
        <v>670</v>
      </c>
      <c r="CF1165" s="4">
        <v>54.71</v>
      </c>
      <c r="CH1165" s="4" t="s">
        <v>669</v>
      </c>
      <c r="CI1165" s="4">
        <v>174.75</v>
      </c>
      <c r="DM1165" s="4" t="s">
        <v>408</v>
      </c>
      <c r="DN1165" s="4">
        <v>5.85</v>
      </c>
      <c r="DO1165" s="4">
        <v>3</v>
      </c>
      <c r="DS1165" s="4">
        <v>0.111</v>
      </c>
      <c r="DT1165" s="1">
        <v>0.00184</v>
      </c>
      <c r="ED1165" s="1">
        <v>0</v>
      </c>
      <c r="GA1165" s="4">
        <v>0.0411</v>
      </c>
      <c r="GB1165" s="1">
        <v>0.00131</v>
      </c>
      <c r="GI1165" s="4"/>
      <c r="GL1165" s="4"/>
      <c r="HR1165" s="4">
        <v>0.52</v>
      </c>
      <c r="HT1165" s="4">
        <v>0.52</v>
      </c>
      <c r="HU1165" s="1">
        <v>0</v>
      </c>
      <c r="IB1165" s="4"/>
      <c r="ID1165" s="1">
        <f>(CI1165-HT1165)/CI1165*100</f>
        <v>99.7024320457797</v>
      </c>
      <c r="IE1165" s="4">
        <v>99.7024320457797</v>
      </c>
    </row>
    <row r="1166" customHeight="1" spans="1:239">
      <c r="A1166" s="39">
        <v>35</v>
      </c>
      <c r="B1166" s="4" t="s">
        <v>1039</v>
      </c>
      <c r="C1166" s="5" t="s">
        <v>1040</v>
      </c>
      <c r="E1166" s="4" t="s">
        <v>1041</v>
      </c>
      <c r="AB1166" s="4" t="s">
        <v>1042</v>
      </c>
      <c r="AC1166" s="4" t="s">
        <v>1043</v>
      </c>
      <c r="AD1166" s="4" t="s">
        <v>1044</v>
      </c>
      <c r="AE1166" s="4" t="s">
        <v>1045</v>
      </c>
      <c r="AF1166" s="4" t="s">
        <v>1046</v>
      </c>
      <c r="AH1166" s="4" t="s">
        <v>596</v>
      </c>
      <c r="AI1166" s="4" t="s">
        <v>1047</v>
      </c>
      <c r="AJ1166" s="4" t="s">
        <v>1048</v>
      </c>
      <c r="AK1166" s="4" t="s">
        <v>1049</v>
      </c>
      <c r="AQ1166" s="4" t="s">
        <v>457</v>
      </c>
      <c r="AS1166" s="4" t="s">
        <v>11</v>
      </c>
      <c r="AU1166" s="4" t="s">
        <v>14</v>
      </c>
      <c r="BE1166" s="4" t="s">
        <v>667</v>
      </c>
      <c r="BI1166" s="4" t="s">
        <v>321</v>
      </c>
      <c r="BL1166" s="4">
        <v>250</v>
      </c>
      <c r="BM1166" s="4">
        <v>1.25</v>
      </c>
      <c r="BS1166" s="4">
        <v>5.95</v>
      </c>
      <c r="BV1166" s="4" t="s">
        <v>1050</v>
      </c>
      <c r="BW1166" s="4">
        <v>25</v>
      </c>
      <c r="BX1166" s="4" t="s">
        <v>557</v>
      </c>
      <c r="BY1166" s="4">
        <v>14</v>
      </c>
      <c r="CB1166" s="4" t="s">
        <v>882</v>
      </c>
      <c r="CC1166" s="4">
        <v>0.81</v>
      </c>
      <c r="CE1166" s="4" t="s">
        <v>670</v>
      </c>
      <c r="CF1166" s="4">
        <v>54.71</v>
      </c>
      <c r="CH1166" s="4" t="s">
        <v>669</v>
      </c>
      <c r="CI1166" s="4">
        <v>174.75</v>
      </c>
      <c r="DM1166" s="4" t="s">
        <v>408</v>
      </c>
      <c r="DN1166" s="4">
        <v>6.38</v>
      </c>
      <c r="DO1166" s="4">
        <v>3</v>
      </c>
      <c r="DS1166" s="4">
        <v>0.057</v>
      </c>
      <c r="DT1166" s="1">
        <v>0.00184</v>
      </c>
      <c r="EA1166" s="4">
        <v>48.6486486486486</v>
      </c>
      <c r="ED1166" s="4">
        <v>48.6486486486486</v>
      </c>
      <c r="GA1166" s="4">
        <v>0.0647</v>
      </c>
      <c r="GB1166" s="1">
        <v>0.00065</v>
      </c>
      <c r="GI1166" s="4">
        <v>-57.4209245742092</v>
      </c>
      <c r="GL1166" s="4">
        <v>-57.4209245742092</v>
      </c>
      <c r="HR1166" s="4">
        <v>0.52</v>
      </c>
      <c r="HT1166" s="4">
        <v>0.12</v>
      </c>
      <c r="HU1166" s="1">
        <v>0.01579</v>
      </c>
      <c r="IB1166" s="4">
        <v>76.9230769230769</v>
      </c>
      <c r="ID1166" s="1">
        <f t="shared" ref="ID1166:ID1172" si="32">(CI1166-HT1166)/CI1166*100</f>
        <v>99.931330472103</v>
      </c>
      <c r="IE1166" s="4">
        <v>99.931330472103</v>
      </c>
    </row>
    <row r="1167" customHeight="1" spans="1:239">
      <c r="A1167" s="39">
        <v>35</v>
      </c>
      <c r="B1167" s="4" t="s">
        <v>1039</v>
      </c>
      <c r="C1167" s="5" t="s">
        <v>1040</v>
      </c>
      <c r="E1167" s="4" t="s">
        <v>1041</v>
      </c>
      <c r="AB1167" s="4" t="s">
        <v>1042</v>
      </c>
      <c r="AC1167" s="4" t="s">
        <v>1043</v>
      </c>
      <c r="AD1167" s="4" t="s">
        <v>1044</v>
      </c>
      <c r="AE1167" s="4" t="s">
        <v>1045</v>
      </c>
      <c r="AF1167" s="4" t="s">
        <v>1046</v>
      </c>
      <c r="AH1167" s="4" t="s">
        <v>596</v>
      </c>
      <c r="AI1167" s="4" t="s">
        <v>1047</v>
      </c>
      <c r="AJ1167" s="4" t="s">
        <v>1048</v>
      </c>
      <c r="AK1167" s="4" t="s">
        <v>1049</v>
      </c>
      <c r="AQ1167" s="4" t="s">
        <v>457</v>
      </c>
      <c r="AS1167" s="4" t="s">
        <v>11</v>
      </c>
      <c r="AU1167" s="4" t="s">
        <v>14</v>
      </c>
      <c r="BE1167" s="4" t="s">
        <v>667</v>
      </c>
      <c r="BI1167" s="4" t="s">
        <v>321</v>
      </c>
      <c r="BL1167" s="4">
        <v>250</v>
      </c>
      <c r="BM1167" s="4">
        <v>2.5</v>
      </c>
      <c r="BS1167" s="4">
        <v>5.95</v>
      </c>
      <c r="BV1167" s="4" t="s">
        <v>1050</v>
      </c>
      <c r="BW1167" s="4">
        <v>25</v>
      </c>
      <c r="BX1167" s="4" t="s">
        <v>557</v>
      </c>
      <c r="BY1167" s="4">
        <v>14</v>
      </c>
      <c r="CB1167" s="4" t="s">
        <v>882</v>
      </c>
      <c r="CC1167" s="4">
        <v>0.81</v>
      </c>
      <c r="CE1167" s="4" t="s">
        <v>670</v>
      </c>
      <c r="CF1167" s="4">
        <v>54.71</v>
      </c>
      <c r="CH1167" s="4" t="s">
        <v>669</v>
      </c>
      <c r="CI1167" s="4">
        <v>174.75</v>
      </c>
      <c r="DM1167" s="4" t="s">
        <v>408</v>
      </c>
      <c r="DN1167" s="4">
        <v>7.01</v>
      </c>
      <c r="DO1167" s="4">
        <v>3</v>
      </c>
      <c r="DS1167" s="4">
        <v>0.023</v>
      </c>
      <c r="DT1167" s="1">
        <v>0.00322</v>
      </c>
      <c r="EA1167" s="4">
        <v>79.2792792792793</v>
      </c>
      <c r="ED1167" s="4">
        <v>79.2792792792793</v>
      </c>
      <c r="GA1167" s="4">
        <v>0.0307</v>
      </c>
      <c r="GB1167" s="1">
        <v>0.00092</v>
      </c>
      <c r="GI1167" s="4">
        <v>25.3041362530414</v>
      </c>
      <c r="GL1167" s="4">
        <v>25.3041362530414</v>
      </c>
      <c r="HR1167" s="4">
        <v>0.52</v>
      </c>
      <c r="HT1167" s="4">
        <v>0.055</v>
      </c>
      <c r="HU1167" s="1">
        <v>0.02368</v>
      </c>
      <c r="IB1167" s="4">
        <v>89.4230769230769</v>
      </c>
      <c r="ID1167" s="1">
        <f t="shared" si="32"/>
        <v>99.9685264663805</v>
      </c>
      <c r="IE1167" s="4">
        <v>99.9685264663805</v>
      </c>
    </row>
    <row r="1168" customHeight="1" spans="1:239">
      <c r="A1168" s="39">
        <v>35</v>
      </c>
      <c r="B1168" s="4" t="s">
        <v>1039</v>
      </c>
      <c r="C1168" s="5" t="s">
        <v>1040</v>
      </c>
      <c r="E1168" s="4" t="s">
        <v>1041</v>
      </c>
      <c r="AB1168" s="4" t="s">
        <v>1042</v>
      </c>
      <c r="AC1168" s="4" t="s">
        <v>1043</v>
      </c>
      <c r="AD1168" s="4" t="s">
        <v>1044</v>
      </c>
      <c r="AE1168" s="4" t="s">
        <v>1045</v>
      </c>
      <c r="AF1168" s="4" t="s">
        <v>1046</v>
      </c>
      <c r="AH1168" s="4" t="s">
        <v>596</v>
      </c>
      <c r="AI1168" s="4" t="s">
        <v>1047</v>
      </c>
      <c r="AJ1168" s="4" t="s">
        <v>1048</v>
      </c>
      <c r="AK1168" s="4" t="s">
        <v>1049</v>
      </c>
      <c r="AQ1168" s="4" t="s">
        <v>457</v>
      </c>
      <c r="AS1168" s="4" t="s">
        <v>11</v>
      </c>
      <c r="AU1168" s="4" t="s">
        <v>14</v>
      </c>
      <c r="BE1168" s="4" t="s">
        <v>667</v>
      </c>
      <c r="BI1168" s="4" t="s">
        <v>321</v>
      </c>
      <c r="BL1168" s="4">
        <v>250</v>
      </c>
      <c r="BM1168" s="4">
        <v>7.1</v>
      </c>
      <c r="BS1168" s="4">
        <v>5.95</v>
      </c>
      <c r="BV1168" s="4" t="s">
        <v>1050</v>
      </c>
      <c r="BW1168" s="4">
        <v>25</v>
      </c>
      <c r="BX1168" s="4" t="s">
        <v>557</v>
      </c>
      <c r="BY1168" s="4">
        <v>14</v>
      </c>
      <c r="CB1168" s="4" t="s">
        <v>882</v>
      </c>
      <c r="CC1168" s="4">
        <v>0.81</v>
      </c>
      <c r="CE1168" s="4" t="s">
        <v>670</v>
      </c>
      <c r="CF1168" s="4">
        <v>54.71</v>
      </c>
      <c r="CH1168" s="4" t="s">
        <v>669</v>
      </c>
      <c r="CI1168" s="4">
        <v>174.75</v>
      </c>
      <c r="DM1168" s="4" t="s">
        <v>408</v>
      </c>
      <c r="DN1168" s="4">
        <v>7.36</v>
      </c>
      <c r="DO1168" s="4">
        <v>3</v>
      </c>
      <c r="DS1168" s="4">
        <v>0.004</v>
      </c>
      <c r="DT1168" s="1">
        <v>0.00046</v>
      </c>
      <c r="EA1168" s="4">
        <v>96.3963963963964</v>
      </c>
      <c r="ED1168" s="4">
        <v>96.3963963963964</v>
      </c>
      <c r="GA1168" s="4">
        <v>0.0385</v>
      </c>
      <c r="GB1168" s="1">
        <v>0.00033</v>
      </c>
      <c r="GI1168" s="4">
        <v>6.32603406326034</v>
      </c>
      <c r="GL1168" s="4">
        <v>6.32603406326034</v>
      </c>
      <c r="HR1168" s="4">
        <v>0.52</v>
      </c>
      <c r="HT1168" s="4">
        <v>0.036</v>
      </c>
      <c r="HU1168" s="1">
        <v>0.01974</v>
      </c>
      <c r="IB1168" s="4">
        <v>93.0769230769231</v>
      </c>
      <c r="ID1168" s="1">
        <f t="shared" si="32"/>
        <v>99.9793991416309</v>
      </c>
      <c r="IE1168" s="4">
        <v>99.9793991416309</v>
      </c>
    </row>
    <row r="1169" customHeight="1" spans="1:239">
      <c r="A1169" s="39">
        <v>35</v>
      </c>
      <c r="B1169" s="4" t="s">
        <v>1039</v>
      </c>
      <c r="C1169" s="5" t="s">
        <v>1040</v>
      </c>
      <c r="E1169" s="4" t="s">
        <v>1041</v>
      </c>
      <c r="AB1169" s="4" t="s">
        <v>1042</v>
      </c>
      <c r="AC1169" s="4" t="s">
        <v>1043</v>
      </c>
      <c r="AD1169" s="4" t="s">
        <v>1044</v>
      </c>
      <c r="AE1169" s="4" t="s">
        <v>1045</v>
      </c>
      <c r="AF1169" s="4" t="s">
        <v>1046</v>
      </c>
      <c r="AH1169" s="4" t="s">
        <v>596</v>
      </c>
      <c r="AI1169" s="4" t="s">
        <v>1047</v>
      </c>
      <c r="AJ1169" s="4" t="s">
        <v>1048</v>
      </c>
      <c r="AK1169" s="4" t="s">
        <v>1049</v>
      </c>
      <c r="AQ1169" s="4" t="s">
        <v>457</v>
      </c>
      <c r="AS1169" s="4" t="s">
        <v>11</v>
      </c>
      <c r="AU1169" s="4" t="s">
        <v>14</v>
      </c>
      <c r="BE1169" s="4" t="s">
        <v>667</v>
      </c>
      <c r="BI1169" s="4" t="s">
        <v>321</v>
      </c>
      <c r="BL1169" s="4">
        <v>250</v>
      </c>
      <c r="BM1169" s="4">
        <v>0</v>
      </c>
      <c r="BS1169" s="4">
        <v>5.95</v>
      </c>
      <c r="BV1169" s="4" t="s">
        <v>1050</v>
      </c>
      <c r="BW1169" s="4">
        <v>25</v>
      </c>
      <c r="BX1169" s="4" t="s">
        <v>557</v>
      </c>
      <c r="BY1169" s="4">
        <v>14</v>
      </c>
      <c r="CB1169" s="4" t="s">
        <v>882</v>
      </c>
      <c r="CC1169" s="4">
        <v>0.81</v>
      </c>
      <c r="CE1169" s="4" t="s">
        <v>670</v>
      </c>
      <c r="CF1169" s="4">
        <v>54.71</v>
      </c>
      <c r="CH1169" s="4" t="s">
        <v>669</v>
      </c>
      <c r="CI1169" s="4">
        <v>174.75</v>
      </c>
      <c r="DM1169" s="4" t="s">
        <v>1051</v>
      </c>
      <c r="DN1169" s="4">
        <v>6.07</v>
      </c>
      <c r="DO1169" s="4">
        <v>3</v>
      </c>
      <c r="DS1169" s="4">
        <v>0.089</v>
      </c>
      <c r="DT1169" s="1">
        <v>0.00322</v>
      </c>
      <c r="EA1169" s="4"/>
      <c r="ED1169" s="4">
        <v>0</v>
      </c>
      <c r="GA1169" s="4">
        <v>0.11</v>
      </c>
      <c r="GB1169" s="1">
        <v>0.00111</v>
      </c>
      <c r="GI1169" s="4"/>
      <c r="GL1169" s="4"/>
      <c r="HR1169" s="4">
        <v>0.37</v>
      </c>
      <c r="HT1169" s="4">
        <v>0.37</v>
      </c>
      <c r="HU1169" s="1">
        <v>0.04342</v>
      </c>
      <c r="IB1169" s="4"/>
      <c r="ID1169" s="1">
        <f t="shared" si="32"/>
        <v>99.7882689556509</v>
      </c>
      <c r="IE1169" s="4">
        <v>99.7882689556509</v>
      </c>
    </row>
    <row r="1170" customHeight="1" spans="1:239">
      <c r="A1170" s="39">
        <v>35</v>
      </c>
      <c r="B1170" s="4" t="s">
        <v>1039</v>
      </c>
      <c r="C1170" s="5" t="s">
        <v>1040</v>
      </c>
      <c r="E1170" s="4" t="s">
        <v>1041</v>
      </c>
      <c r="AB1170" s="4" t="s">
        <v>1042</v>
      </c>
      <c r="AC1170" s="4" t="s">
        <v>1043</v>
      </c>
      <c r="AD1170" s="4" t="s">
        <v>1044</v>
      </c>
      <c r="AE1170" s="4" t="s">
        <v>1045</v>
      </c>
      <c r="AF1170" s="4" t="s">
        <v>1046</v>
      </c>
      <c r="AH1170" s="4" t="s">
        <v>596</v>
      </c>
      <c r="AI1170" s="4" t="s">
        <v>1047</v>
      </c>
      <c r="AJ1170" s="4" t="s">
        <v>1048</v>
      </c>
      <c r="AK1170" s="4" t="s">
        <v>1049</v>
      </c>
      <c r="AQ1170" s="4" t="s">
        <v>457</v>
      </c>
      <c r="AS1170" s="4" t="s">
        <v>11</v>
      </c>
      <c r="AU1170" s="4" t="s">
        <v>14</v>
      </c>
      <c r="BE1170" s="4" t="s">
        <v>667</v>
      </c>
      <c r="BI1170" s="4" t="s">
        <v>321</v>
      </c>
      <c r="BL1170" s="4">
        <v>250</v>
      </c>
      <c r="BM1170" s="4">
        <v>1.25</v>
      </c>
      <c r="BS1170" s="4">
        <v>5.95</v>
      </c>
      <c r="BV1170" s="4" t="s">
        <v>1050</v>
      </c>
      <c r="BW1170" s="4">
        <v>25</v>
      </c>
      <c r="BX1170" s="4" t="s">
        <v>557</v>
      </c>
      <c r="BY1170" s="4">
        <v>14</v>
      </c>
      <c r="CB1170" s="4" t="s">
        <v>882</v>
      </c>
      <c r="CC1170" s="4">
        <v>0.81</v>
      </c>
      <c r="CE1170" s="4" t="s">
        <v>670</v>
      </c>
      <c r="CF1170" s="4">
        <v>54.71</v>
      </c>
      <c r="CH1170" s="4" t="s">
        <v>669</v>
      </c>
      <c r="CI1170" s="4">
        <v>174.75</v>
      </c>
      <c r="DM1170" s="4" t="s">
        <v>1051</v>
      </c>
      <c r="DN1170" s="4">
        <v>6.7</v>
      </c>
      <c r="DO1170" s="4">
        <v>3</v>
      </c>
      <c r="DS1170" s="4">
        <v>0.033</v>
      </c>
      <c r="DT1170" s="1">
        <v>0.00184</v>
      </c>
      <c r="EA1170" s="4">
        <v>62.9213483146067</v>
      </c>
      <c r="ED1170" s="4">
        <v>62.9213483146067</v>
      </c>
      <c r="GA1170" s="4">
        <v>0.084</v>
      </c>
      <c r="GB1170" s="1">
        <v>0.00085</v>
      </c>
      <c r="GI1170" s="4">
        <v>23.6363636363636</v>
      </c>
      <c r="GL1170" s="4">
        <v>23.6363636363636</v>
      </c>
      <c r="HR1170" s="4">
        <v>0.37</v>
      </c>
      <c r="HT1170" s="4">
        <v>0.099</v>
      </c>
      <c r="HU1170" s="1">
        <v>0.01184</v>
      </c>
      <c r="IB1170" s="4">
        <v>73.2432432432433</v>
      </c>
      <c r="ID1170" s="1">
        <f t="shared" si="32"/>
        <v>99.943347639485</v>
      </c>
      <c r="IE1170" s="4">
        <v>99.943347639485</v>
      </c>
    </row>
    <row r="1171" customHeight="1" spans="1:239">
      <c r="A1171" s="39">
        <v>35</v>
      </c>
      <c r="B1171" s="4" t="s">
        <v>1039</v>
      </c>
      <c r="C1171" s="5" t="s">
        <v>1040</v>
      </c>
      <c r="E1171" s="4" t="s">
        <v>1041</v>
      </c>
      <c r="AB1171" s="4" t="s">
        <v>1042</v>
      </c>
      <c r="AC1171" s="4" t="s">
        <v>1043</v>
      </c>
      <c r="AD1171" s="4" t="s">
        <v>1044</v>
      </c>
      <c r="AE1171" s="4" t="s">
        <v>1045</v>
      </c>
      <c r="AF1171" s="4" t="s">
        <v>1046</v>
      </c>
      <c r="AH1171" s="4" t="s">
        <v>596</v>
      </c>
      <c r="AI1171" s="4" t="s">
        <v>1047</v>
      </c>
      <c r="AJ1171" s="4" t="s">
        <v>1048</v>
      </c>
      <c r="AK1171" s="4" t="s">
        <v>1049</v>
      </c>
      <c r="AQ1171" s="4" t="s">
        <v>457</v>
      </c>
      <c r="AS1171" s="4" t="s">
        <v>11</v>
      </c>
      <c r="AU1171" s="4" t="s">
        <v>14</v>
      </c>
      <c r="BE1171" s="4" t="s">
        <v>667</v>
      </c>
      <c r="BI1171" s="4" t="s">
        <v>321</v>
      </c>
      <c r="BL1171" s="4">
        <v>250</v>
      </c>
      <c r="BM1171" s="4">
        <v>2.5</v>
      </c>
      <c r="BS1171" s="4">
        <v>5.95</v>
      </c>
      <c r="BV1171" s="4" t="s">
        <v>1050</v>
      </c>
      <c r="BW1171" s="4">
        <v>25</v>
      </c>
      <c r="BX1171" s="4" t="s">
        <v>557</v>
      </c>
      <c r="BY1171" s="4">
        <v>14</v>
      </c>
      <c r="CB1171" s="4" t="s">
        <v>882</v>
      </c>
      <c r="CC1171" s="4">
        <v>0.81</v>
      </c>
      <c r="CE1171" s="4" t="s">
        <v>670</v>
      </c>
      <c r="CF1171" s="4">
        <v>54.71</v>
      </c>
      <c r="CH1171" s="4" t="s">
        <v>669</v>
      </c>
      <c r="CI1171" s="4">
        <v>174.75</v>
      </c>
      <c r="DM1171" s="4" t="s">
        <v>1051</v>
      </c>
      <c r="DN1171" s="4">
        <v>7.04</v>
      </c>
      <c r="DO1171" s="4">
        <v>3</v>
      </c>
      <c r="DS1171" s="4">
        <v>0.014</v>
      </c>
      <c r="DT1171" s="1">
        <v>0.00138</v>
      </c>
      <c r="EA1171" s="4">
        <v>84.2696629213483</v>
      </c>
      <c r="ED1171" s="4">
        <v>84.2696629213483</v>
      </c>
      <c r="GA1171" s="4">
        <v>0.063</v>
      </c>
      <c r="GB1171" s="1">
        <v>0.00078</v>
      </c>
      <c r="GI1171" s="4">
        <v>42.7272727272727</v>
      </c>
      <c r="GL1171" s="4">
        <v>42.7272727272727</v>
      </c>
      <c r="HR1171" s="4">
        <v>0.37</v>
      </c>
      <c r="HT1171" s="4">
        <v>0.083</v>
      </c>
      <c r="HU1171" s="1">
        <v>0.03158</v>
      </c>
      <c r="IB1171" s="4">
        <v>77.5675675675676</v>
      </c>
      <c r="ID1171" s="1">
        <f t="shared" si="32"/>
        <v>99.9525035765379</v>
      </c>
      <c r="IE1171" s="4">
        <v>99.9525035765379</v>
      </c>
    </row>
    <row r="1172" customHeight="1" spans="1:239">
      <c r="A1172" s="39">
        <v>35</v>
      </c>
      <c r="B1172" s="4" t="s">
        <v>1039</v>
      </c>
      <c r="C1172" s="5" t="s">
        <v>1040</v>
      </c>
      <c r="E1172" s="4" t="s">
        <v>1041</v>
      </c>
      <c r="AB1172" s="4" t="s">
        <v>1042</v>
      </c>
      <c r="AC1172" s="4" t="s">
        <v>1043</v>
      </c>
      <c r="AD1172" s="4" t="s">
        <v>1044</v>
      </c>
      <c r="AE1172" s="4" t="s">
        <v>1045</v>
      </c>
      <c r="AF1172" s="4" t="s">
        <v>1046</v>
      </c>
      <c r="AH1172" s="4" t="s">
        <v>596</v>
      </c>
      <c r="AI1172" s="4" t="s">
        <v>1047</v>
      </c>
      <c r="AJ1172" s="4" t="s">
        <v>1048</v>
      </c>
      <c r="AK1172" s="4" t="s">
        <v>1049</v>
      </c>
      <c r="AQ1172" s="4" t="s">
        <v>457</v>
      </c>
      <c r="AS1172" s="4" t="s">
        <v>11</v>
      </c>
      <c r="AU1172" s="4" t="s">
        <v>14</v>
      </c>
      <c r="BE1172" s="4" t="s">
        <v>667</v>
      </c>
      <c r="BI1172" s="4" t="s">
        <v>321</v>
      </c>
      <c r="BL1172" s="4">
        <v>250</v>
      </c>
      <c r="BM1172" s="4">
        <v>7.1</v>
      </c>
      <c r="BS1172" s="4">
        <v>5.95</v>
      </c>
      <c r="BV1172" s="4" t="s">
        <v>1050</v>
      </c>
      <c r="BW1172" s="4">
        <v>25</v>
      </c>
      <c r="BX1172" s="4" t="s">
        <v>557</v>
      </c>
      <c r="BY1172" s="4">
        <v>14</v>
      </c>
      <c r="CB1172" s="4" t="s">
        <v>882</v>
      </c>
      <c r="CC1172" s="4">
        <v>0.81</v>
      </c>
      <c r="CE1172" s="4" t="s">
        <v>670</v>
      </c>
      <c r="CF1172" s="4">
        <v>54.71</v>
      </c>
      <c r="CH1172" s="4" t="s">
        <v>669</v>
      </c>
      <c r="CI1172" s="4">
        <v>174.75</v>
      </c>
      <c r="DM1172" s="4" t="s">
        <v>1051</v>
      </c>
      <c r="DN1172" s="4">
        <v>7.33</v>
      </c>
      <c r="DO1172" s="4">
        <v>3</v>
      </c>
      <c r="DS1172" s="4">
        <v>0.005</v>
      </c>
      <c r="DT1172" s="1">
        <v>0.00046</v>
      </c>
      <c r="EA1172" s="4">
        <v>94.3820224719101</v>
      </c>
      <c r="ED1172" s="4">
        <v>94.3820224719101</v>
      </c>
      <c r="GA1172" s="4">
        <v>0.048</v>
      </c>
      <c r="GB1172" s="1">
        <v>0.00137</v>
      </c>
      <c r="GI1172" s="4">
        <v>56.3636363636364</v>
      </c>
      <c r="GL1172" s="4">
        <v>56.3636363636364</v>
      </c>
      <c r="HR1172" s="4">
        <v>0.37</v>
      </c>
      <c r="HT1172" s="4">
        <v>0.083</v>
      </c>
      <c r="HU1172" s="1">
        <v>0.05526</v>
      </c>
      <c r="IB1172" s="4">
        <v>77.5675675675676</v>
      </c>
      <c r="ID1172" s="1">
        <f t="shared" si="32"/>
        <v>99.9525035765379</v>
      </c>
      <c r="IE1172" s="4">
        <v>99.9525035765379</v>
      </c>
    </row>
    <row r="1173" customHeight="1" spans="1:239">
      <c r="A1173" s="39">
        <v>35</v>
      </c>
      <c r="B1173" s="4" t="s">
        <v>1039</v>
      </c>
      <c r="C1173" s="5" t="s">
        <v>1040</v>
      </c>
      <c r="E1173" s="4" t="s">
        <v>1041</v>
      </c>
      <c r="AB1173" s="4" t="s">
        <v>1042</v>
      </c>
      <c r="AC1173" s="4" t="s">
        <v>1043</v>
      </c>
      <c r="AD1173" s="4" t="s">
        <v>1044</v>
      </c>
      <c r="AE1173" s="4" t="s">
        <v>1045</v>
      </c>
      <c r="AF1173" s="4" t="s">
        <v>1046</v>
      </c>
      <c r="AH1173" s="4" t="s">
        <v>596</v>
      </c>
      <c r="AI1173" s="4" t="s">
        <v>1047</v>
      </c>
      <c r="AJ1173" s="4" t="s">
        <v>1048</v>
      </c>
      <c r="AK1173" s="4" t="s">
        <v>1049</v>
      </c>
      <c r="AQ1173" s="4" t="s">
        <v>457</v>
      </c>
      <c r="AS1173" s="4" t="s">
        <v>11</v>
      </c>
      <c r="AU1173" s="4" t="s">
        <v>14</v>
      </c>
      <c r="DO1173" s="4">
        <v>3</v>
      </c>
    </row>
    <row r="1174" customHeight="1" spans="1:239">
      <c r="A1174" s="39">
        <v>35</v>
      </c>
      <c r="B1174" s="4" t="s">
        <v>1039</v>
      </c>
      <c r="C1174" s="5" t="s">
        <v>1040</v>
      </c>
      <c r="E1174" s="4" t="s">
        <v>1041</v>
      </c>
      <c r="AB1174" s="4" t="s">
        <v>1042</v>
      </c>
      <c r="AC1174" s="4" t="s">
        <v>1043</v>
      </c>
      <c r="AD1174" s="4" t="s">
        <v>1044</v>
      </c>
      <c r="AE1174" s="4" t="s">
        <v>1045</v>
      </c>
      <c r="AF1174" s="4" t="s">
        <v>1046</v>
      </c>
      <c r="AH1174" s="4" t="s">
        <v>596</v>
      </c>
      <c r="AI1174" s="4" t="s">
        <v>1047</v>
      </c>
      <c r="AJ1174" s="4" t="s">
        <v>1048</v>
      </c>
      <c r="AK1174" s="4" t="s">
        <v>1049</v>
      </c>
      <c r="AQ1174" s="4" t="s">
        <v>457</v>
      </c>
      <c r="AS1174" s="4" t="s">
        <v>11</v>
      </c>
      <c r="AU1174" s="4" t="s">
        <v>14</v>
      </c>
      <c r="DO1174" s="4">
        <v>3</v>
      </c>
    </row>
    <row r="1175" customHeight="1" spans="1:239">
      <c r="A1175" s="39">
        <v>35</v>
      </c>
      <c r="B1175" s="4" t="s">
        <v>1039</v>
      </c>
      <c r="C1175" s="5" t="s">
        <v>1040</v>
      </c>
      <c r="E1175" s="4" t="s">
        <v>1041</v>
      </c>
      <c r="AB1175" s="4" t="s">
        <v>1042</v>
      </c>
      <c r="AC1175" s="4" t="s">
        <v>1043</v>
      </c>
      <c r="AD1175" s="4" t="s">
        <v>1044</v>
      </c>
      <c r="AE1175" s="4" t="s">
        <v>1045</v>
      </c>
      <c r="AF1175" s="4" t="s">
        <v>1046</v>
      </c>
      <c r="AH1175" s="4" t="s">
        <v>596</v>
      </c>
      <c r="AI1175" s="4" t="s">
        <v>1047</v>
      </c>
      <c r="AJ1175" s="4" t="s">
        <v>1048</v>
      </c>
      <c r="AK1175" s="4" t="s">
        <v>1049</v>
      </c>
      <c r="AQ1175" s="4" t="s">
        <v>457</v>
      </c>
      <c r="AS1175" s="4" t="s">
        <v>11</v>
      </c>
      <c r="AU1175" s="4" t="s">
        <v>14</v>
      </c>
      <c r="DO1175" s="4">
        <v>3</v>
      </c>
    </row>
    <row r="1176" customHeight="1" spans="1:239">
      <c r="A1176" s="39">
        <v>35</v>
      </c>
      <c r="B1176" s="4" t="s">
        <v>1039</v>
      </c>
      <c r="C1176" s="5" t="s">
        <v>1040</v>
      </c>
      <c r="E1176" s="4" t="s">
        <v>1041</v>
      </c>
      <c r="AB1176" s="4" t="s">
        <v>1042</v>
      </c>
      <c r="AC1176" s="4" t="s">
        <v>1043</v>
      </c>
      <c r="AD1176" s="4" t="s">
        <v>1044</v>
      </c>
      <c r="AE1176" s="4" t="s">
        <v>1045</v>
      </c>
      <c r="AF1176" s="4" t="s">
        <v>1046</v>
      </c>
      <c r="AH1176" s="4" t="s">
        <v>596</v>
      </c>
      <c r="AI1176" s="4" t="s">
        <v>1047</v>
      </c>
      <c r="AJ1176" s="4" t="s">
        <v>1048</v>
      </c>
      <c r="AK1176" s="4" t="s">
        <v>1049</v>
      </c>
      <c r="AQ1176" s="4" t="s">
        <v>457</v>
      </c>
      <c r="AS1176" s="4" t="s">
        <v>11</v>
      </c>
      <c r="AU1176" s="4" t="s">
        <v>14</v>
      </c>
      <c r="DO1176" s="4">
        <v>3</v>
      </c>
    </row>
    <row r="1177" customHeight="1" spans="1:239">
      <c r="A1177" s="39">
        <v>35</v>
      </c>
      <c r="B1177" s="4" t="s">
        <v>1039</v>
      </c>
      <c r="C1177" s="5" t="s">
        <v>1040</v>
      </c>
      <c r="E1177" s="4" t="s">
        <v>1041</v>
      </c>
      <c r="AB1177" s="4" t="s">
        <v>1042</v>
      </c>
      <c r="AC1177" s="4" t="s">
        <v>1043</v>
      </c>
      <c r="AD1177" s="4" t="s">
        <v>1044</v>
      </c>
      <c r="AE1177" s="4" t="s">
        <v>1045</v>
      </c>
      <c r="AF1177" s="4" t="s">
        <v>1046</v>
      </c>
      <c r="AH1177" s="4" t="s">
        <v>596</v>
      </c>
      <c r="AI1177" s="4" t="s">
        <v>1047</v>
      </c>
      <c r="AJ1177" s="4" t="s">
        <v>1048</v>
      </c>
      <c r="AK1177" s="4" t="s">
        <v>1049</v>
      </c>
      <c r="AQ1177" s="4" t="s">
        <v>457</v>
      </c>
      <c r="AS1177" s="4" t="s">
        <v>11</v>
      </c>
      <c r="AU1177" s="4" t="s">
        <v>14</v>
      </c>
      <c r="BF1177" s="4" t="s">
        <v>328</v>
      </c>
      <c r="BG1177" s="4" t="s">
        <v>1052</v>
      </c>
      <c r="BH1177" s="4" t="s">
        <v>1053</v>
      </c>
      <c r="DO1177" s="4">
        <v>3</v>
      </c>
    </row>
    <row r="1178" customHeight="1" spans="1:239">
      <c r="A1178" s="39">
        <v>35</v>
      </c>
      <c r="B1178" s="4" t="s">
        <v>1039</v>
      </c>
      <c r="C1178" s="5" t="s">
        <v>1040</v>
      </c>
      <c r="E1178" s="4" t="s">
        <v>1041</v>
      </c>
      <c r="AB1178" s="4" t="s">
        <v>1042</v>
      </c>
      <c r="AC1178" s="4" t="s">
        <v>1043</v>
      </c>
      <c r="AD1178" s="4" t="s">
        <v>1044</v>
      </c>
      <c r="AE1178" s="4" t="s">
        <v>1045</v>
      </c>
      <c r="AF1178" s="4" t="s">
        <v>1046</v>
      </c>
      <c r="AH1178" s="4" t="s">
        <v>596</v>
      </c>
      <c r="AI1178" s="4" t="s">
        <v>1047</v>
      </c>
      <c r="AJ1178" s="4" t="s">
        <v>1048</v>
      </c>
      <c r="AK1178" s="4" t="s">
        <v>1049</v>
      </c>
      <c r="AQ1178" s="4" t="s">
        <v>457</v>
      </c>
      <c r="AS1178" s="4" t="s">
        <v>11</v>
      </c>
      <c r="AU1178" s="4" t="s">
        <v>14</v>
      </c>
      <c r="BF1178" s="4" t="s">
        <v>328</v>
      </c>
      <c r="BG1178" s="4" t="s">
        <v>1052</v>
      </c>
      <c r="BH1178" s="4" t="s">
        <v>1053</v>
      </c>
      <c r="DO1178" s="4">
        <v>3</v>
      </c>
    </row>
    <row r="1179" customHeight="1" spans="1:239">
      <c r="A1179" s="39">
        <v>35</v>
      </c>
      <c r="B1179" s="4" t="s">
        <v>1039</v>
      </c>
      <c r="C1179" s="5" t="s">
        <v>1040</v>
      </c>
      <c r="E1179" s="4" t="s">
        <v>1041</v>
      </c>
      <c r="AB1179" s="4" t="s">
        <v>1042</v>
      </c>
      <c r="AC1179" s="4" t="s">
        <v>1043</v>
      </c>
      <c r="AD1179" s="4" t="s">
        <v>1044</v>
      </c>
      <c r="AE1179" s="4" t="s">
        <v>1045</v>
      </c>
      <c r="AF1179" s="4" t="s">
        <v>1046</v>
      </c>
      <c r="AH1179" s="4" t="s">
        <v>596</v>
      </c>
      <c r="AI1179" s="4" t="s">
        <v>1047</v>
      </c>
      <c r="AJ1179" s="4" t="s">
        <v>1048</v>
      </c>
      <c r="AK1179" s="4" t="s">
        <v>1049</v>
      </c>
      <c r="AQ1179" s="4" t="s">
        <v>457</v>
      </c>
      <c r="AS1179" s="4" t="s">
        <v>11</v>
      </c>
      <c r="AU1179" s="4" t="s">
        <v>14</v>
      </c>
      <c r="BF1179" s="4" t="s">
        <v>328</v>
      </c>
      <c r="BG1179" s="4" t="s">
        <v>1052</v>
      </c>
      <c r="BH1179" s="4" t="s">
        <v>1053</v>
      </c>
      <c r="DO1179" s="4">
        <v>3</v>
      </c>
    </row>
    <row r="1180" customHeight="1" spans="1:239">
      <c r="A1180" s="39">
        <v>35</v>
      </c>
      <c r="B1180" s="4" t="s">
        <v>1039</v>
      </c>
      <c r="C1180" s="5" t="s">
        <v>1040</v>
      </c>
      <c r="E1180" s="4" t="s">
        <v>1041</v>
      </c>
      <c r="AB1180" s="4" t="s">
        <v>1042</v>
      </c>
      <c r="AC1180" s="4" t="s">
        <v>1043</v>
      </c>
      <c r="AD1180" s="4" t="s">
        <v>1044</v>
      </c>
      <c r="AE1180" s="4" t="s">
        <v>1045</v>
      </c>
      <c r="AF1180" s="4" t="s">
        <v>1046</v>
      </c>
      <c r="AH1180" s="4" t="s">
        <v>596</v>
      </c>
      <c r="AI1180" s="4" t="s">
        <v>1047</v>
      </c>
      <c r="AJ1180" s="4" t="s">
        <v>1048</v>
      </c>
      <c r="AK1180" s="4" t="s">
        <v>1049</v>
      </c>
      <c r="AQ1180" s="4" t="s">
        <v>457</v>
      </c>
      <c r="AS1180" s="4" t="s">
        <v>11</v>
      </c>
      <c r="AU1180" s="4" t="s">
        <v>14</v>
      </c>
      <c r="BF1180" s="4" t="s">
        <v>328</v>
      </c>
      <c r="BG1180" s="4" t="s">
        <v>1052</v>
      </c>
      <c r="BH1180" s="4" t="s">
        <v>1053</v>
      </c>
      <c r="DO1180" s="4">
        <v>3</v>
      </c>
    </row>
    <row r="1181" customHeight="1" spans="1:239">
      <c r="A1181" s="39">
        <v>35</v>
      </c>
      <c r="B1181" s="4" t="s">
        <v>1039</v>
      </c>
      <c r="C1181" s="5" t="s">
        <v>1040</v>
      </c>
      <c r="E1181" s="4" t="s">
        <v>1041</v>
      </c>
      <c r="AB1181" s="4" t="s">
        <v>1042</v>
      </c>
      <c r="AC1181" s="4" t="s">
        <v>1043</v>
      </c>
      <c r="AD1181" s="4" t="s">
        <v>1044</v>
      </c>
      <c r="AE1181" s="4" t="s">
        <v>1045</v>
      </c>
      <c r="AF1181" s="4" t="s">
        <v>1046</v>
      </c>
      <c r="AH1181" s="4" t="s">
        <v>596</v>
      </c>
      <c r="AI1181" s="4" t="s">
        <v>1047</v>
      </c>
      <c r="AJ1181" s="4" t="s">
        <v>1048</v>
      </c>
      <c r="AK1181" s="4" t="s">
        <v>1049</v>
      </c>
      <c r="AQ1181" s="4" t="s">
        <v>457</v>
      </c>
      <c r="AS1181" s="4" t="s">
        <v>11</v>
      </c>
      <c r="AU1181" s="4" t="s">
        <v>14</v>
      </c>
      <c r="BF1181" s="4" t="s">
        <v>328</v>
      </c>
      <c r="BG1181" s="4" t="s">
        <v>1052</v>
      </c>
      <c r="BH1181" s="4" t="s">
        <v>1053</v>
      </c>
      <c r="DO1181" s="4">
        <v>3</v>
      </c>
    </row>
    <row r="1182" customHeight="1" spans="1:239">
      <c r="A1182" s="39">
        <v>35</v>
      </c>
      <c r="B1182" s="4" t="s">
        <v>1039</v>
      </c>
      <c r="C1182" s="5" t="s">
        <v>1040</v>
      </c>
      <c r="E1182" s="4" t="s">
        <v>1041</v>
      </c>
      <c r="AB1182" s="4" t="s">
        <v>1042</v>
      </c>
      <c r="AC1182" s="4" t="s">
        <v>1043</v>
      </c>
      <c r="AD1182" s="4" t="s">
        <v>1044</v>
      </c>
      <c r="AE1182" s="4" t="s">
        <v>1045</v>
      </c>
      <c r="AF1182" s="4" t="s">
        <v>1046</v>
      </c>
      <c r="AH1182" s="4" t="s">
        <v>596</v>
      </c>
      <c r="AI1182" s="4" t="s">
        <v>1047</v>
      </c>
      <c r="AJ1182" s="4" t="s">
        <v>1048</v>
      </c>
      <c r="AK1182" s="4" t="s">
        <v>1049</v>
      </c>
      <c r="AQ1182" s="4" t="s">
        <v>457</v>
      </c>
      <c r="AS1182" s="4" t="s">
        <v>11</v>
      </c>
      <c r="AU1182" s="4" t="s">
        <v>14</v>
      </c>
      <c r="BF1182" s="4" t="s">
        <v>328</v>
      </c>
      <c r="BG1182" s="4" t="s">
        <v>1052</v>
      </c>
      <c r="BH1182" s="4" t="s">
        <v>1053</v>
      </c>
      <c r="DO1182" s="4">
        <v>3</v>
      </c>
    </row>
    <row r="1183" customHeight="1" spans="1:239">
      <c r="A1183" s="39">
        <v>35</v>
      </c>
      <c r="B1183" s="4" t="s">
        <v>1039</v>
      </c>
      <c r="C1183" s="5" t="s">
        <v>1040</v>
      </c>
      <c r="E1183" s="4" t="s">
        <v>1041</v>
      </c>
      <c r="AB1183" s="4" t="s">
        <v>1042</v>
      </c>
      <c r="AC1183" s="4" t="s">
        <v>1043</v>
      </c>
      <c r="AD1183" s="4" t="s">
        <v>1044</v>
      </c>
      <c r="AE1183" s="4" t="s">
        <v>1045</v>
      </c>
      <c r="AF1183" s="4" t="s">
        <v>1046</v>
      </c>
      <c r="AH1183" s="4" t="s">
        <v>596</v>
      </c>
      <c r="AI1183" s="4" t="s">
        <v>1047</v>
      </c>
      <c r="AJ1183" s="4" t="s">
        <v>1048</v>
      </c>
      <c r="AK1183" s="4" t="s">
        <v>1049</v>
      </c>
      <c r="AQ1183" s="4" t="s">
        <v>457</v>
      </c>
      <c r="AS1183" s="4" t="s">
        <v>11</v>
      </c>
      <c r="AU1183" s="4" t="s">
        <v>14</v>
      </c>
      <c r="BF1183" s="4" t="s">
        <v>328</v>
      </c>
      <c r="BG1183" s="4" t="s">
        <v>1052</v>
      </c>
      <c r="BH1183" s="4" t="s">
        <v>1053</v>
      </c>
      <c r="DO1183" s="4">
        <v>3</v>
      </c>
    </row>
    <row r="1184" customHeight="1" spans="1:239">
      <c r="A1184" s="39">
        <v>35</v>
      </c>
      <c r="B1184" s="4" t="s">
        <v>1039</v>
      </c>
      <c r="C1184" s="5" t="s">
        <v>1040</v>
      </c>
      <c r="E1184" s="4" t="s">
        <v>1041</v>
      </c>
      <c r="AB1184" s="4" t="s">
        <v>1042</v>
      </c>
      <c r="AC1184" s="4" t="s">
        <v>1043</v>
      </c>
      <c r="AD1184" s="4" t="s">
        <v>1044</v>
      </c>
      <c r="AE1184" s="4" t="s">
        <v>1045</v>
      </c>
      <c r="AF1184" s="4" t="s">
        <v>1046</v>
      </c>
      <c r="AH1184" s="4" t="s">
        <v>596</v>
      </c>
      <c r="AI1184" s="4" t="s">
        <v>1047</v>
      </c>
      <c r="AJ1184" s="4" t="s">
        <v>1048</v>
      </c>
      <c r="AK1184" s="4" t="s">
        <v>1049</v>
      </c>
      <c r="AQ1184" s="4" t="s">
        <v>457</v>
      </c>
      <c r="AS1184" s="4" t="s">
        <v>11</v>
      </c>
      <c r="AU1184" s="4" t="s">
        <v>14</v>
      </c>
      <c r="BF1184" s="4" t="s">
        <v>328</v>
      </c>
      <c r="BG1184" s="4" t="s">
        <v>1052</v>
      </c>
      <c r="BH1184" s="4" t="s">
        <v>1053</v>
      </c>
      <c r="DO1184" s="4">
        <v>3</v>
      </c>
    </row>
    <row r="1185" customHeight="1" spans="1:209">
      <c r="A1185" s="3">
        <v>36</v>
      </c>
      <c r="B1185" s="4" t="s">
        <v>1054</v>
      </c>
      <c r="C1185" s="5" t="s">
        <v>1055</v>
      </c>
      <c r="D1185" s="4" t="s">
        <v>559</v>
      </c>
      <c r="N1185" s="4" t="s">
        <v>567</v>
      </c>
      <c r="O1185" s="4" t="s">
        <v>343</v>
      </c>
      <c r="Q1185" s="4" t="s">
        <v>540</v>
      </c>
      <c r="T1185" s="4">
        <v>42.45</v>
      </c>
      <c r="U1185" s="4">
        <v>0.3629</v>
      </c>
      <c r="V1185" s="4">
        <v>28.03</v>
      </c>
      <c r="AB1185" s="4" t="s">
        <v>1056</v>
      </c>
      <c r="AC1185" s="4" t="s">
        <v>1057</v>
      </c>
      <c r="AH1185" s="4" t="s">
        <v>371</v>
      </c>
      <c r="AI1185" s="4" t="s">
        <v>1058</v>
      </c>
      <c r="AM1185" s="4" t="s">
        <v>1059</v>
      </c>
      <c r="AQ1185" s="4" t="s">
        <v>464</v>
      </c>
      <c r="AR1185" s="4" t="s">
        <v>1060</v>
      </c>
      <c r="AS1185" s="4" t="s">
        <v>465</v>
      </c>
      <c r="AT1185" s="4" t="s">
        <v>1061</v>
      </c>
      <c r="AU1185" s="4" t="s">
        <v>1062</v>
      </c>
      <c r="AV1185" s="4" t="s">
        <v>1063</v>
      </c>
      <c r="AW1185" s="4" t="s">
        <v>420</v>
      </c>
      <c r="AX1185" s="4" t="s">
        <v>1064</v>
      </c>
      <c r="BD1185" s="4" t="s">
        <v>1065</v>
      </c>
      <c r="BI1185" s="4" t="s">
        <v>321</v>
      </c>
      <c r="BK1185" s="4">
        <v>250</v>
      </c>
      <c r="BL1185" s="4">
        <v>10</v>
      </c>
      <c r="BM1185" s="4">
        <v>0.8</v>
      </c>
      <c r="BN1185" s="4">
        <v>0.8</v>
      </c>
      <c r="BO1185" s="4">
        <v>0.02</v>
      </c>
      <c r="CB1185" s="4" t="s">
        <v>12</v>
      </c>
      <c r="CD1185" s="4">
        <v>200</v>
      </c>
      <c r="CE1185" s="4" t="s">
        <v>11</v>
      </c>
      <c r="CG1185" s="4">
        <v>200</v>
      </c>
      <c r="CH1185" s="4" t="s">
        <v>10</v>
      </c>
      <c r="CJ1185" s="4">
        <v>200</v>
      </c>
      <c r="CK1185" s="4" t="s">
        <v>8</v>
      </c>
      <c r="CM1185" s="4">
        <v>200</v>
      </c>
      <c r="CR1185" s="4" t="s">
        <v>512</v>
      </c>
      <c r="CU1185" s="4">
        <v>0</v>
      </c>
      <c r="DO1185" s="4">
        <v>3</v>
      </c>
      <c r="EP1185" s="4">
        <v>99.77</v>
      </c>
      <c r="ES1185" s="4">
        <v>99.77</v>
      </c>
      <c r="FT1185" s="4">
        <v>99.77</v>
      </c>
      <c r="FW1185" s="4">
        <v>99.77</v>
      </c>
      <c r="GI1185" s="4">
        <v>99.77</v>
      </c>
      <c r="GL1185" s="4">
        <v>99.77</v>
      </c>
      <c r="GX1185" s="4">
        <v>99.77</v>
      </c>
      <c r="HA1185" s="4">
        <v>99.77</v>
      </c>
    </row>
    <row r="1186" customHeight="1" spans="1:209">
      <c r="A1186" s="3">
        <v>36</v>
      </c>
      <c r="B1186" s="4" t="s">
        <v>1054</v>
      </c>
      <c r="C1186" s="5" t="s">
        <v>1055</v>
      </c>
      <c r="D1186" s="4" t="s">
        <v>559</v>
      </c>
      <c r="N1186" s="4" t="s">
        <v>567</v>
      </c>
      <c r="O1186" s="4" t="s">
        <v>343</v>
      </c>
      <c r="Q1186" s="4" t="s">
        <v>540</v>
      </c>
      <c r="T1186" s="4">
        <v>42.45</v>
      </c>
      <c r="U1186" s="4">
        <v>0.3629</v>
      </c>
      <c r="V1186" s="4">
        <v>28.03</v>
      </c>
      <c r="AB1186" s="4" t="s">
        <v>1056</v>
      </c>
      <c r="AC1186" s="4" t="s">
        <v>1057</v>
      </c>
      <c r="AH1186" s="4" t="s">
        <v>371</v>
      </c>
      <c r="AI1186" s="4" t="s">
        <v>1058</v>
      </c>
      <c r="AM1186" s="4" t="s">
        <v>1059</v>
      </c>
      <c r="AQ1186" s="4" t="s">
        <v>464</v>
      </c>
      <c r="AR1186" s="4" t="s">
        <v>1060</v>
      </c>
      <c r="AS1186" s="4" t="s">
        <v>465</v>
      </c>
      <c r="AT1186" s="4" t="s">
        <v>1061</v>
      </c>
      <c r="AU1186" s="4" t="s">
        <v>1062</v>
      </c>
      <c r="AV1186" s="4" t="s">
        <v>1063</v>
      </c>
      <c r="AW1186" s="4" t="s">
        <v>420</v>
      </c>
      <c r="AX1186" s="4" t="s">
        <v>1064</v>
      </c>
      <c r="BD1186" s="4" t="s">
        <v>1065</v>
      </c>
      <c r="BI1186" s="4" t="s">
        <v>321</v>
      </c>
      <c r="BK1186" s="4">
        <v>250</v>
      </c>
      <c r="BL1186" s="4">
        <v>10</v>
      </c>
      <c r="BM1186" s="4">
        <v>0.8</v>
      </c>
      <c r="BN1186" s="4">
        <v>0.8</v>
      </c>
      <c r="BO1186" s="4">
        <v>0.02</v>
      </c>
      <c r="CB1186" s="4" t="s">
        <v>12</v>
      </c>
      <c r="CD1186" s="4">
        <v>200</v>
      </c>
      <c r="CE1186" s="4" t="s">
        <v>11</v>
      </c>
      <c r="CG1186" s="4">
        <v>200</v>
      </c>
      <c r="CH1186" s="4" t="s">
        <v>10</v>
      </c>
      <c r="CJ1186" s="4">
        <v>200</v>
      </c>
      <c r="CK1186" s="4" t="s">
        <v>8</v>
      </c>
      <c r="CM1186" s="4">
        <v>200</v>
      </c>
      <c r="CR1186" s="4" t="s">
        <v>537</v>
      </c>
      <c r="CU1186" s="4">
        <v>200</v>
      </c>
      <c r="DO1186" s="4">
        <v>3</v>
      </c>
      <c r="EP1186" s="4">
        <v>99.53</v>
      </c>
      <c r="ES1186" s="4">
        <v>99.53</v>
      </c>
      <c r="FT1186" s="4">
        <v>99.07</v>
      </c>
      <c r="FW1186" s="4">
        <v>99.07</v>
      </c>
      <c r="GI1186" s="4">
        <v>99.07</v>
      </c>
      <c r="GL1186" s="4">
        <v>99.07</v>
      </c>
      <c r="GX1186" s="4">
        <v>98.83</v>
      </c>
      <c r="HA1186" s="4">
        <v>98.83</v>
      </c>
    </row>
    <row r="1187" customHeight="1" spans="1:209">
      <c r="A1187" s="3">
        <v>36</v>
      </c>
      <c r="B1187" s="4" t="s">
        <v>1054</v>
      </c>
      <c r="C1187" s="5" t="s">
        <v>1055</v>
      </c>
      <c r="D1187" s="4" t="s">
        <v>559</v>
      </c>
      <c r="N1187" s="4" t="s">
        <v>567</v>
      </c>
      <c r="O1187" s="4" t="s">
        <v>343</v>
      </c>
      <c r="Q1187" s="4" t="s">
        <v>540</v>
      </c>
      <c r="T1187" s="4">
        <v>42.45</v>
      </c>
      <c r="U1187" s="4">
        <v>0.3629</v>
      </c>
      <c r="V1187" s="4">
        <v>28.03</v>
      </c>
      <c r="AB1187" s="4" t="s">
        <v>1056</v>
      </c>
      <c r="AC1187" s="4" t="s">
        <v>1057</v>
      </c>
      <c r="AH1187" s="4" t="s">
        <v>371</v>
      </c>
      <c r="AI1187" s="4" t="s">
        <v>1058</v>
      </c>
      <c r="AM1187" s="4" t="s">
        <v>1059</v>
      </c>
      <c r="AQ1187" s="4" t="s">
        <v>464</v>
      </c>
      <c r="AR1187" s="4" t="s">
        <v>1060</v>
      </c>
      <c r="AS1187" s="4" t="s">
        <v>465</v>
      </c>
      <c r="AT1187" s="4" t="s">
        <v>1061</v>
      </c>
      <c r="AU1187" s="4" t="s">
        <v>1062</v>
      </c>
      <c r="AV1187" s="4" t="s">
        <v>1063</v>
      </c>
      <c r="AW1187" s="4" t="s">
        <v>420</v>
      </c>
      <c r="AX1187" s="4" t="s">
        <v>1064</v>
      </c>
      <c r="BD1187" s="4" t="s">
        <v>1065</v>
      </c>
      <c r="BI1187" s="4" t="s">
        <v>321</v>
      </c>
      <c r="BK1187" s="4">
        <v>250</v>
      </c>
      <c r="BL1187" s="4">
        <v>10</v>
      </c>
      <c r="BM1187" s="4">
        <v>0.8</v>
      </c>
      <c r="BN1187" s="4">
        <v>0.8</v>
      </c>
      <c r="BO1187" s="4">
        <v>0.02</v>
      </c>
      <c r="CB1187" s="4" t="s">
        <v>12</v>
      </c>
      <c r="CD1187" s="4">
        <v>200</v>
      </c>
      <c r="CE1187" s="4" t="s">
        <v>11</v>
      </c>
      <c r="CG1187" s="4">
        <v>200</v>
      </c>
      <c r="CH1187" s="4" t="s">
        <v>10</v>
      </c>
      <c r="CJ1187" s="4">
        <v>200</v>
      </c>
      <c r="CK1187" s="4" t="s">
        <v>8</v>
      </c>
      <c r="CM1187" s="4">
        <v>200</v>
      </c>
      <c r="CR1187" s="4" t="s">
        <v>538</v>
      </c>
      <c r="CU1187" s="4">
        <v>200</v>
      </c>
      <c r="DO1187" s="4">
        <v>3</v>
      </c>
      <c r="EP1187" s="4">
        <v>98.83</v>
      </c>
      <c r="ES1187" s="4">
        <v>98.83</v>
      </c>
      <c r="FT1187" s="4">
        <v>98.14</v>
      </c>
      <c r="FW1187" s="4">
        <v>98.14</v>
      </c>
      <c r="GI1187" s="4">
        <v>99.37</v>
      </c>
      <c r="GL1187" s="4">
        <v>99.37</v>
      </c>
      <c r="GX1187" s="4">
        <v>98.14</v>
      </c>
      <c r="HA1187" s="4">
        <v>98.14</v>
      </c>
    </row>
    <row r="1188" customHeight="1" spans="1:209">
      <c r="A1188" s="3">
        <v>36</v>
      </c>
      <c r="B1188" s="4" t="s">
        <v>1054</v>
      </c>
      <c r="C1188" s="5" t="s">
        <v>1055</v>
      </c>
      <c r="D1188" s="4" t="s">
        <v>559</v>
      </c>
      <c r="N1188" s="4" t="s">
        <v>567</v>
      </c>
      <c r="O1188" s="4" t="s">
        <v>343</v>
      </c>
      <c r="Q1188" s="4" t="s">
        <v>540</v>
      </c>
      <c r="T1188" s="4">
        <v>42.45</v>
      </c>
      <c r="U1188" s="4">
        <v>0.3629</v>
      </c>
      <c r="V1188" s="4">
        <v>28.03</v>
      </c>
      <c r="AB1188" s="4" t="s">
        <v>1056</v>
      </c>
      <c r="AC1188" s="4" t="s">
        <v>1057</v>
      </c>
      <c r="AH1188" s="4" t="s">
        <v>371</v>
      </c>
      <c r="AI1188" s="4" t="s">
        <v>1058</v>
      </c>
      <c r="AM1188" s="4" t="s">
        <v>1059</v>
      </c>
      <c r="AQ1188" s="4" t="s">
        <v>464</v>
      </c>
      <c r="AR1188" s="4" t="s">
        <v>1060</v>
      </c>
      <c r="AS1188" s="4" t="s">
        <v>465</v>
      </c>
      <c r="AT1188" s="4" t="s">
        <v>1061</v>
      </c>
      <c r="AU1188" s="4" t="s">
        <v>1062</v>
      </c>
      <c r="AV1188" s="4" t="s">
        <v>1063</v>
      </c>
      <c r="AW1188" s="4" t="s">
        <v>420</v>
      </c>
      <c r="AX1188" s="4" t="s">
        <v>1064</v>
      </c>
      <c r="BD1188" s="4" t="s">
        <v>1065</v>
      </c>
      <c r="BI1188" s="4" t="s">
        <v>321</v>
      </c>
      <c r="BK1188" s="4">
        <v>250</v>
      </c>
      <c r="BL1188" s="4">
        <v>10</v>
      </c>
      <c r="BM1188" s="4">
        <v>0.8</v>
      </c>
      <c r="BN1188" s="4">
        <v>0.8</v>
      </c>
      <c r="BO1188" s="4">
        <v>0.02</v>
      </c>
      <c r="CB1188" s="4" t="s">
        <v>12</v>
      </c>
      <c r="CD1188" s="4">
        <v>200</v>
      </c>
      <c r="CE1188" s="4" t="s">
        <v>11</v>
      </c>
      <c r="CG1188" s="4">
        <v>200</v>
      </c>
      <c r="CH1188" s="4" t="s">
        <v>10</v>
      </c>
      <c r="CJ1188" s="4">
        <v>200</v>
      </c>
      <c r="CK1188" s="4" t="s">
        <v>8</v>
      </c>
      <c r="CM1188" s="4">
        <v>200</v>
      </c>
      <c r="CR1188" s="4" t="s">
        <v>536</v>
      </c>
      <c r="CU1188" s="4">
        <v>200</v>
      </c>
      <c r="DO1188" s="4">
        <v>3</v>
      </c>
      <c r="EP1188" s="4">
        <v>99.07</v>
      </c>
      <c r="ES1188" s="4">
        <v>99.07</v>
      </c>
      <c r="FT1188" s="4">
        <v>99.07</v>
      </c>
      <c r="FW1188" s="4">
        <v>99.07</v>
      </c>
      <c r="GI1188" s="4">
        <v>99.57</v>
      </c>
      <c r="GL1188" s="4">
        <v>99.57</v>
      </c>
      <c r="GX1188" s="4">
        <v>95.1</v>
      </c>
      <c r="HA1188" s="4">
        <v>95.1</v>
      </c>
    </row>
    <row r="1189" customHeight="1" spans="1:209">
      <c r="A1189" s="3">
        <v>36</v>
      </c>
      <c r="B1189" s="4" t="s">
        <v>1054</v>
      </c>
      <c r="C1189" s="5" t="s">
        <v>1055</v>
      </c>
      <c r="D1189" s="4" t="s">
        <v>559</v>
      </c>
      <c r="N1189" s="4" t="s">
        <v>567</v>
      </c>
      <c r="O1189" s="4" t="s">
        <v>343</v>
      </c>
      <c r="Q1189" s="4" t="s">
        <v>540</v>
      </c>
      <c r="T1189" s="4">
        <v>42.45</v>
      </c>
      <c r="U1189" s="4">
        <v>0.3629</v>
      </c>
      <c r="V1189" s="4">
        <v>28.03</v>
      </c>
      <c r="AB1189" s="4" t="s">
        <v>1056</v>
      </c>
      <c r="AC1189" s="4" t="s">
        <v>1057</v>
      </c>
      <c r="AH1189" s="4" t="s">
        <v>371</v>
      </c>
      <c r="AI1189" s="4" t="s">
        <v>1058</v>
      </c>
      <c r="AM1189" s="4" t="s">
        <v>1059</v>
      </c>
      <c r="AQ1189" s="4" t="s">
        <v>464</v>
      </c>
      <c r="AR1189" s="4" t="s">
        <v>1060</v>
      </c>
      <c r="AS1189" s="4" t="s">
        <v>465</v>
      </c>
      <c r="AT1189" s="4" t="s">
        <v>1061</v>
      </c>
      <c r="AU1189" s="4" t="s">
        <v>1062</v>
      </c>
      <c r="AV1189" s="4" t="s">
        <v>1063</v>
      </c>
      <c r="AW1189" s="4" t="s">
        <v>420</v>
      </c>
      <c r="AX1189" s="4" t="s">
        <v>1064</v>
      </c>
      <c r="BD1189" s="4" t="s">
        <v>1065</v>
      </c>
      <c r="BI1189" s="4" t="s">
        <v>321</v>
      </c>
      <c r="BK1189" s="4">
        <v>250</v>
      </c>
      <c r="BL1189" s="4">
        <v>10</v>
      </c>
      <c r="BM1189" s="4">
        <v>0.8</v>
      </c>
      <c r="BN1189" s="4">
        <v>0.8</v>
      </c>
      <c r="BO1189" s="4">
        <v>0.02</v>
      </c>
      <c r="CB1189" s="4" t="s">
        <v>12</v>
      </c>
      <c r="CD1189" s="4">
        <v>200</v>
      </c>
      <c r="CE1189" s="4" t="s">
        <v>11</v>
      </c>
      <c r="CG1189" s="4">
        <v>200</v>
      </c>
      <c r="CH1189" s="4" t="s">
        <v>10</v>
      </c>
      <c r="CJ1189" s="4">
        <v>200</v>
      </c>
      <c r="CK1189" s="4" t="s">
        <v>8</v>
      </c>
      <c r="CM1189" s="4">
        <v>200</v>
      </c>
      <c r="CR1189" s="4" t="s">
        <v>567</v>
      </c>
      <c r="CU1189" s="4">
        <v>200</v>
      </c>
      <c r="DO1189" s="4">
        <v>3</v>
      </c>
      <c r="EP1189" s="4">
        <v>98.6</v>
      </c>
      <c r="ES1189" s="4">
        <v>98.6</v>
      </c>
      <c r="FT1189" s="4">
        <v>97.9</v>
      </c>
      <c r="FW1189" s="4">
        <v>97.9</v>
      </c>
      <c r="GI1189" s="4">
        <v>96.27</v>
      </c>
      <c r="GL1189" s="4">
        <v>96.27</v>
      </c>
      <c r="GX1189" s="4">
        <v>95.8</v>
      </c>
      <c r="HA1189" s="4">
        <v>95.8</v>
      </c>
    </row>
    <row r="1190" customHeight="1" spans="1:209">
      <c r="A1190" s="3">
        <v>36</v>
      </c>
      <c r="B1190" s="4" t="s">
        <v>1054</v>
      </c>
      <c r="C1190" s="5" t="s">
        <v>1055</v>
      </c>
      <c r="D1190" s="4" t="s">
        <v>559</v>
      </c>
      <c r="N1190" s="4" t="s">
        <v>567</v>
      </c>
      <c r="O1190" s="4" t="s">
        <v>343</v>
      </c>
      <c r="Q1190" s="4" t="s">
        <v>540</v>
      </c>
      <c r="T1190" s="4">
        <v>42.45</v>
      </c>
      <c r="U1190" s="4">
        <v>0.3629</v>
      </c>
      <c r="V1190" s="4">
        <v>28.03</v>
      </c>
      <c r="AB1190" s="4" t="s">
        <v>1056</v>
      </c>
      <c r="AC1190" s="4" t="s">
        <v>1057</v>
      </c>
      <c r="AH1190" s="4" t="s">
        <v>371</v>
      </c>
      <c r="AI1190" s="4" t="s">
        <v>1058</v>
      </c>
      <c r="AM1190" s="4" t="s">
        <v>1059</v>
      </c>
      <c r="AQ1190" s="4" t="s">
        <v>464</v>
      </c>
      <c r="AR1190" s="4" t="s">
        <v>1060</v>
      </c>
      <c r="AS1190" s="4" t="s">
        <v>465</v>
      </c>
      <c r="AT1190" s="4" t="s">
        <v>1061</v>
      </c>
      <c r="AU1190" s="4" t="s">
        <v>1062</v>
      </c>
      <c r="AV1190" s="4" t="s">
        <v>1063</v>
      </c>
      <c r="AW1190" s="4" t="s">
        <v>420</v>
      </c>
      <c r="AX1190" s="4" t="s">
        <v>1064</v>
      </c>
      <c r="BD1190" s="4" t="s">
        <v>1065</v>
      </c>
      <c r="BI1190" s="4" t="s">
        <v>321</v>
      </c>
      <c r="BK1190" s="4">
        <v>250</v>
      </c>
      <c r="BL1190" s="4">
        <v>10</v>
      </c>
      <c r="BM1190" s="4">
        <v>0.8</v>
      </c>
      <c r="BN1190" s="4">
        <v>0.8</v>
      </c>
      <c r="BO1190" s="4">
        <v>0.02</v>
      </c>
      <c r="CB1190" s="4" t="s">
        <v>12</v>
      </c>
      <c r="CD1190" s="4">
        <v>200</v>
      </c>
      <c r="CE1190" s="4" t="s">
        <v>11</v>
      </c>
      <c r="CG1190" s="4">
        <v>200</v>
      </c>
      <c r="CH1190" s="4" t="s">
        <v>10</v>
      </c>
      <c r="CJ1190" s="4">
        <v>200</v>
      </c>
      <c r="CK1190" s="4" t="s">
        <v>8</v>
      </c>
      <c r="CM1190" s="4">
        <v>200</v>
      </c>
      <c r="CR1190" s="4" t="s">
        <v>539</v>
      </c>
      <c r="CU1190" s="4">
        <v>200</v>
      </c>
      <c r="DO1190" s="4">
        <v>3</v>
      </c>
      <c r="EP1190" s="4">
        <v>98.14</v>
      </c>
      <c r="ES1190" s="4">
        <v>98.14</v>
      </c>
      <c r="FT1190" s="4">
        <v>98.83</v>
      </c>
      <c r="FW1190" s="4">
        <v>98.83</v>
      </c>
      <c r="GI1190" s="4">
        <v>98.83</v>
      </c>
      <c r="GL1190" s="4">
        <v>98.83</v>
      </c>
      <c r="GX1190" s="4">
        <v>98.37</v>
      </c>
      <c r="HA1190" s="4">
        <v>98.37</v>
      </c>
    </row>
    <row r="1191" customHeight="1" spans="1:209">
      <c r="A1191" s="3">
        <v>36</v>
      </c>
      <c r="B1191" s="4" t="s">
        <v>1054</v>
      </c>
      <c r="C1191" s="5" t="s">
        <v>1055</v>
      </c>
      <c r="D1191" s="4" t="s">
        <v>559</v>
      </c>
      <c r="N1191" s="4" t="s">
        <v>567</v>
      </c>
      <c r="O1191" s="4" t="s">
        <v>343</v>
      </c>
      <c r="Q1191" s="4" t="s">
        <v>540</v>
      </c>
      <c r="T1191" s="4">
        <v>42.45</v>
      </c>
      <c r="U1191" s="4">
        <v>0.3629</v>
      </c>
      <c r="V1191" s="4">
        <v>28.03</v>
      </c>
      <c r="AB1191" s="4" t="s">
        <v>1056</v>
      </c>
      <c r="AC1191" s="4" t="s">
        <v>1057</v>
      </c>
      <c r="AH1191" s="4" t="s">
        <v>371</v>
      </c>
      <c r="AI1191" s="4" t="s">
        <v>1058</v>
      </c>
      <c r="AM1191" s="4" t="s">
        <v>1059</v>
      </c>
      <c r="AQ1191" s="4" t="s">
        <v>464</v>
      </c>
      <c r="AR1191" s="4" t="s">
        <v>1060</v>
      </c>
      <c r="AS1191" s="4" t="s">
        <v>465</v>
      </c>
      <c r="AT1191" s="4" t="s">
        <v>1061</v>
      </c>
      <c r="AU1191" s="4" t="s">
        <v>1062</v>
      </c>
      <c r="AV1191" s="4" t="s">
        <v>1063</v>
      </c>
      <c r="AW1191" s="4" t="s">
        <v>420</v>
      </c>
      <c r="AX1191" s="4" t="s">
        <v>1064</v>
      </c>
      <c r="BD1191" s="4" t="s">
        <v>1065</v>
      </c>
      <c r="BI1191" s="4" t="s">
        <v>321</v>
      </c>
      <c r="BK1191" s="4">
        <v>250</v>
      </c>
      <c r="BL1191" s="4">
        <v>10</v>
      </c>
      <c r="BM1191" s="4">
        <v>0.8</v>
      </c>
      <c r="BN1191" s="4">
        <v>0.8</v>
      </c>
      <c r="BO1191" s="4">
        <v>0.02</v>
      </c>
      <c r="CB1191" s="4" t="s">
        <v>12</v>
      </c>
      <c r="CD1191" s="4">
        <v>200</v>
      </c>
      <c r="CE1191" s="4" t="s">
        <v>11</v>
      </c>
      <c r="CG1191" s="4">
        <v>200</v>
      </c>
      <c r="CH1191" s="4" t="s">
        <v>10</v>
      </c>
      <c r="CJ1191" s="4">
        <v>200</v>
      </c>
      <c r="CK1191" s="4" t="s">
        <v>8</v>
      </c>
      <c r="CM1191" s="4">
        <v>200</v>
      </c>
      <c r="CR1191" s="4" t="s">
        <v>540</v>
      </c>
      <c r="CU1191" s="4">
        <v>200</v>
      </c>
      <c r="DO1191" s="4">
        <v>3</v>
      </c>
      <c r="EP1191" s="4">
        <v>98.84</v>
      </c>
      <c r="ES1191" s="4">
        <v>98.84</v>
      </c>
      <c r="FT1191" s="4">
        <v>98.83</v>
      </c>
      <c r="FW1191" s="4">
        <v>98.83</v>
      </c>
      <c r="GI1191" s="4">
        <v>99.07</v>
      </c>
      <c r="GL1191" s="4">
        <v>99.07</v>
      </c>
      <c r="GX1191" s="4">
        <v>98.83</v>
      </c>
      <c r="HA1191" s="4">
        <v>98.83</v>
      </c>
    </row>
    <row r="1192" customHeight="1" spans="1:209">
      <c r="A1192" s="3">
        <v>36</v>
      </c>
      <c r="B1192" s="4" t="s">
        <v>1054</v>
      </c>
      <c r="C1192" s="5" t="s">
        <v>1055</v>
      </c>
      <c r="D1192" s="4" t="s">
        <v>559</v>
      </c>
      <c r="N1192" s="4" t="s">
        <v>567</v>
      </c>
      <c r="O1192" s="4" t="s">
        <v>343</v>
      </c>
      <c r="Q1192" s="4" t="s">
        <v>540</v>
      </c>
      <c r="T1192" s="4">
        <v>42.45</v>
      </c>
      <c r="U1192" s="4">
        <v>0.3629</v>
      </c>
      <c r="V1192" s="4">
        <v>28.03</v>
      </c>
      <c r="AB1192" s="4" t="s">
        <v>1056</v>
      </c>
      <c r="AC1192" s="4" t="s">
        <v>1057</v>
      </c>
      <c r="AH1192" s="4" t="s">
        <v>371</v>
      </c>
      <c r="AI1192" s="4" t="s">
        <v>1058</v>
      </c>
      <c r="AM1192" s="4" t="s">
        <v>1059</v>
      </c>
      <c r="AQ1192" s="4" t="s">
        <v>464</v>
      </c>
      <c r="AR1192" s="4" t="s">
        <v>1060</v>
      </c>
      <c r="AS1192" s="4" t="s">
        <v>465</v>
      </c>
      <c r="AT1192" s="4" t="s">
        <v>1061</v>
      </c>
      <c r="AU1192" s="4" t="s">
        <v>1062</v>
      </c>
      <c r="AV1192" s="4" t="s">
        <v>1063</v>
      </c>
      <c r="AW1192" s="4" t="s">
        <v>420</v>
      </c>
      <c r="AX1192" s="4" t="s">
        <v>1064</v>
      </c>
      <c r="BD1192" s="4" t="s">
        <v>1065</v>
      </c>
      <c r="BI1192" s="4" t="s">
        <v>321</v>
      </c>
      <c r="BK1192" s="4">
        <v>250</v>
      </c>
      <c r="BL1192" s="4">
        <v>10</v>
      </c>
      <c r="BM1192" s="4">
        <v>0.8</v>
      </c>
      <c r="BN1192" s="4">
        <v>0.8</v>
      </c>
      <c r="BO1192" s="4">
        <v>0.02</v>
      </c>
      <c r="CB1192" s="4" t="s">
        <v>12</v>
      </c>
      <c r="CD1192" s="4">
        <v>200</v>
      </c>
      <c r="CE1192" s="4" t="s">
        <v>11</v>
      </c>
      <c r="CG1192" s="4">
        <v>200</v>
      </c>
      <c r="CH1192" s="4" t="s">
        <v>10</v>
      </c>
      <c r="CJ1192" s="4">
        <v>200</v>
      </c>
      <c r="CK1192" s="4" t="s">
        <v>8</v>
      </c>
      <c r="CM1192" s="4">
        <v>200</v>
      </c>
      <c r="CR1192" s="4" t="s">
        <v>541</v>
      </c>
      <c r="CU1192" s="4">
        <v>200</v>
      </c>
      <c r="DO1192" s="4">
        <v>3</v>
      </c>
      <c r="EP1192" s="4">
        <v>94.17</v>
      </c>
      <c r="ES1192" s="4">
        <v>94.17</v>
      </c>
      <c r="FT1192" s="4">
        <v>93.71</v>
      </c>
      <c r="FW1192" s="4">
        <v>93.71</v>
      </c>
      <c r="GI1192" s="4">
        <v>97.2</v>
      </c>
      <c r="GL1192" s="4">
        <v>97.2</v>
      </c>
      <c r="GX1192" s="4">
        <v>96.74</v>
      </c>
      <c r="HA1192" s="4">
        <v>96.74</v>
      </c>
    </row>
    <row r="1193" customHeight="1" spans="1:209">
      <c r="A1193" s="3">
        <v>36</v>
      </c>
      <c r="B1193" s="4" t="s">
        <v>1054</v>
      </c>
      <c r="C1193" s="5" t="s">
        <v>1055</v>
      </c>
      <c r="D1193" s="4" t="s">
        <v>559</v>
      </c>
      <c r="N1193" s="4" t="s">
        <v>567</v>
      </c>
      <c r="O1193" s="4" t="s">
        <v>343</v>
      </c>
      <c r="Q1193" s="4" t="s">
        <v>540</v>
      </c>
      <c r="T1193" s="4">
        <v>42.45</v>
      </c>
      <c r="U1193" s="4">
        <v>0.3629</v>
      </c>
      <c r="V1193" s="4">
        <v>28.03</v>
      </c>
      <c r="AB1193" s="4" t="s">
        <v>1056</v>
      </c>
      <c r="AC1193" s="4" t="s">
        <v>1057</v>
      </c>
      <c r="AH1193" s="4" t="s">
        <v>371</v>
      </c>
      <c r="AI1193" s="4" t="s">
        <v>1058</v>
      </c>
      <c r="AM1193" s="4" t="s">
        <v>1059</v>
      </c>
      <c r="AQ1193" s="4" t="s">
        <v>464</v>
      </c>
      <c r="AR1193" s="4" t="s">
        <v>1060</v>
      </c>
      <c r="AS1193" s="4" t="s">
        <v>465</v>
      </c>
      <c r="AT1193" s="4" t="s">
        <v>1061</v>
      </c>
      <c r="AU1193" s="4" t="s">
        <v>1062</v>
      </c>
      <c r="AV1193" s="4" t="s">
        <v>1063</v>
      </c>
      <c r="AW1193" s="4" t="s">
        <v>420</v>
      </c>
      <c r="AX1193" s="4" t="s">
        <v>1064</v>
      </c>
      <c r="BD1193" s="4" t="s">
        <v>1065</v>
      </c>
      <c r="BI1193" s="4" t="s">
        <v>321</v>
      </c>
      <c r="BK1193" s="4">
        <v>250</v>
      </c>
      <c r="BL1193" s="4">
        <v>10</v>
      </c>
      <c r="BM1193" s="4">
        <v>0.8</v>
      </c>
      <c r="BN1193" s="4">
        <v>0.8</v>
      </c>
      <c r="BO1193" s="4">
        <v>0.02</v>
      </c>
      <c r="CB1193" s="4" t="s">
        <v>12</v>
      </c>
      <c r="CD1193" s="4">
        <v>200</v>
      </c>
      <c r="CE1193" s="4" t="s">
        <v>11</v>
      </c>
      <c r="CG1193" s="4">
        <v>200</v>
      </c>
      <c r="CH1193" s="4" t="s">
        <v>10</v>
      </c>
      <c r="CJ1193" s="4">
        <v>200</v>
      </c>
      <c r="CK1193" s="4" t="s">
        <v>8</v>
      </c>
      <c r="CM1193" s="4">
        <v>200</v>
      </c>
      <c r="CR1193" s="4" t="s">
        <v>542</v>
      </c>
      <c r="CU1193" s="4">
        <v>200</v>
      </c>
      <c r="DO1193" s="4">
        <v>3</v>
      </c>
      <c r="EP1193" s="4">
        <v>61.07</v>
      </c>
      <c r="ES1193" s="4">
        <v>61.07</v>
      </c>
      <c r="FT1193" s="4">
        <v>58.51</v>
      </c>
      <c r="FW1193" s="4">
        <v>58.51</v>
      </c>
      <c r="GI1193" s="4">
        <v>98.14</v>
      </c>
      <c r="GL1193" s="4">
        <v>98.14</v>
      </c>
      <c r="GX1193" s="4">
        <v>97.2</v>
      </c>
      <c r="HA1193" s="4">
        <v>97.2</v>
      </c>
    </row>
    <row r="1194" customHeight="1" spans="1:209">
      <c r="A1194" s="3">
        <v>36</v>
      </c>
      <c r="B1194" s="4" t="s">
        <v>1054</v>
      </c>
      <c r="C1194" s="5" t="s">
        <v>1055</v>
      </c>
      <c r="D1194" s="4" t="s">
        <v>559</v>
      </c>
      <c r="N1194" s="4" t="s">
        <v>567</v>
      </c>
      <c r="O1194" s="4" t="s">
        <v>343</v>
      </c>
      <c r="Q1194" s="4" t="s">
        <v>540</v>
      </c>
      <c r="T1194" s="4">
        <v>42.45</v>
      </c>
      <c r="U1194" s="4">
        <v>0.3629</v>
      </c>
      <c r="V1194" s="4">
        <v>28.03</v>
      </c>
      <c r="AB1194" s="4" t="s">
        <v>1056</v>
      </c>
      <c r="AC1194" s="4" t="s">
        <v>1057</v>
      </c>
      <c r="AH1194" s="4" t="s">
        <v>371</v>
      </c>
      <c r="AI1194" s="4" t="s">
        <v>1058</v>
      </c>
      <c r="AM1194" s="4" t="s">
        <v>1059</v>
      </c>
      <c r="AQ1194" s="4" t="s">
        <v>464</v>
      </c>
      <c r="AR1194" s="4" t="s">
        <v>1060</v>
      </c>
      <c r="AS1194" s="4" t="s">
        <v>465</v>
      </c>
      <c r="AT1194" s="4" t="s">
        <v>1061</v>
      </c>
      <c r="AU1194" s="4" t="s">
        <v>1062</v>
      </c>
      <c r="AV1194" s="4" t="s">
        <v>1063</v>
      </c>
      <c r="AW1194" s="4" t="s">
        <v>420</v>
      </c>
      <c r="AX1194" s="4" t="s">
        <v>1064</v>
      </c>
      <c r="BD1194" s="4" t="s">
        <v>1065</v>
      </c>
      <c r="BO1194" s="4">
        <v>0.02</v>
      </c>
      <c r="DO1194" s="4">
        <v>3</v>
      </c>
      <c r="EP1194" s="4"/>
      <c r="ES1194" s="4"/>
      <c r="FT1194" s="4"/>
      <c r="FW1194" s="4"/>
      <c r="GI1194" s="4"/>
      <c r="GL1194" s="4"/>
      <c r="GX1194" s="4"/>
      <c r="HA1194" s="4"/>
    </row>
    <row r="1195" customHeight="1" spans="1:209">
      <c r="A1195" s="3">
        <v>36</v>
      </c>
      <c r="B1195" s="4" t="s">
        <v>1054</v>
      </c>
      <c r="C1195" s="5" t="s">
        <v>1055</v>
      </c>
      <c r="D1195" s="4" t="s">
        <v>559</v>
      </c>
      <c r="N1195" s="4" t="s">
        <v>567</v>
      </c>
      <c r="O1195" s="4" t="s">
        <v>343</v>
      </c>
      <c r="Q1195" s="4" t="s">
        <v>540</v>
      </c>
      <c r="T1195" s="4">
        <v>42.45</v>
      </c>
      <c r="U1195" s="4">
        <v>0.3629</v>
      </c>
      <c r="V1195" s="4">
        <v>28.03</v>
      </c>
      <c r="AB1195" s="4" t="s">
        <v>1056</v>
      </c>
      <c r="AC1195" s="4" t="s">
        <v>1057</v>
      </c>
      <c r="AH1195" s="4" t="s">
        <v>371</v>
      </c>
      <c r="AI1195" s="4" t="s">
        <v>1058</v>
      </c>
      <c r="AM1195" s="4" t="s">
        <v>1059</v>
      </c>
      <c r="AQ1195" s="4" t="s">
        <v>464</v>
      </c>
      <c r="AR1195" s="4" t="s">
        <v>1060</v>
      </c>
      <c r="AS1195" s="4" t="s">
        <v>465</v>
      </c>
      <c r="AT1195" s="4" t="s">
        <v>1061</v>
      </c>
      <c r="AU1195" s="4" t="s">
        <v>1062</v>
      </c>
      <c r="AV1195" s="4" t="s">
        <v>1063</v>
      </c>
      <c r="AW1195" s="4" t="s">
        <v>420</v>
      </c>
      <c r="AX1195" s="4" t="s">
        <v>1064</v>
      </c>
      <c r="BD1195" s="4" t="s">
        <v>1065</v>
      </c>
      <c r="BI1195" s="4" t="s">
        <v>321</v>
      </c>
      <c r="BK1195" s="4">
        <v>250</v>
      </c>
      <c r="BL1195" s="4">
        <v>10</v>
      </c>
      <c r="BM1195" s="4">
        <v>0.8</v>
      </c>
      <c r="BN1195" s="4">
        <v>0.8</v>
      </c>
      <c r="BO1195" s="4">
        <v>0.02</v>
      </c>
      <c r="BS1195" s="4" t="s">
        <v>1066</v>
      </c>
      <c r="BV1195" s="4">
        <v>240</v>
      </c>
      <c r="CB1195" s="4" t="s">
        <v>12</v>
      </c>
      <c r="CD1195" s="4" t="s">
        <v>918</v>
      </c>
      <c r="CE1195" s="4" t="s">
        <v>11</v>
      </c>
      <c r="CG1195" s="4" t="s">
        <v>918</v>
      </c>
      <c r="CH1195" s="4" t="s">
        <v>10</v>
      </c>
      <c r="CJ1195" s="4" t="s">
        <v>918</v>
      </c>
      <c r="CK1195" s="4" t="s">
        <v>8</v>
      </c>
      <c r="CM1195" s="4" t="s">
        <v>918</v>
      </c>
      <c r="DB1195" s="4" t="s">
        <v>1067</v>
      </c>
      <c r="DC1195" s="4" t="s">
        <v>1068</v>
      </c>
      <c r="DE1195" s="4">
        <v>266.25</v>
      </c>
      <c r="DG1195" s="4">
        <v>344.75</v>
      </c>
      <c r="DH1195" s="4">
        <v>119.17</v>
      </c>
      <c r="DI1195" s="4">
        <v>65.06</v>
      </c>
      <c r="DO1195" s="4">
        <v>3</v>
      </c>
      <c r="DW1195" s="1">
        <v>65.06</v>
      </c>
      <c r="DX1195" s="1">
        <v>2.25</v>
      </c>
      <c r="EP1195" s="4"/>
      <c r="ES1195" s="4"/>
      <c r="FA1195" s="1">
        <v>118.89</v>
      </c>
      <c r="FB1195" s="1">
        <v>4.15</v>
      </c>
      <c r="FT1195" s="4"/>
      <c r="FW1195" s="4"/>
      <c r="GE1195" s="29">
        <v>344.75</v>
      </c>
      <c r="GI1195" s="4"/>
      <c r="GL1195" s="4"/>
      <c r="GX1195" s="4"/>
      <c r="HA1195" s="4"/>
    </row>
    <row r="1196" customHeight="1" spans="1:209">
      <c r="A1196" s="3">
        <v>36</v>
      </c>
      <c r="B1196" s="4" t="s">
        <v>1054</v>
      </c>
      <c r="C1196" s="5" t="s">
        <v>1055</v>
      </c>
      <c r="D1196" s="4" t="s">
        <v>559</v>
      </c>
      <c r="N1196" s="4" t="s">
        <v>567</v>
      </c>
      <c r="O1196" s="4" t="s">
        <v>343</v>
      </c>
      <c r="Q1196" s="4" t="s">
        <v>540</v>
      </c>
      <c r="T1196" s="4">
        <v>42.45</v>
      </c>
      <c r="U1196" s="4">
        <v>0.3629</v>
      </c>
      <c r="V1196" s="4">
        <v>28.03</v>
      </c>
      <c r="AB1196" s="4" t="s">
        <v>1056</v>
      </c>
      <c r="AC1196" s="4" t="s">
        <v>1057</v>
      </c>
      <c r="AH1196" s="4" t="s">
        <v>371</v>
      </c>
      <c r="AI1196" s="4" t="s">
        <v>1058</v>
      </c>
      <c r="AM1196" s="4" t="s">
        <v>1059</v>
      </c>
      <c r="AQ1196" s="4" t="s">
        <v>464</v>
      </c>
      <c r="AR1196" s="4" t="s">
        <v>1060</v>
      </c>
      <c r="AS1196" s="4" t="s">
        <v>465</v>
      </c>
      <c r="AT1196" s="4" t="s">
        <v>1061</v>
      </c>
      <c r="AU1196" s="4" t="s">
        <v>1062</v>
      </c>
      <c r="AV1196" s="4" t="s">
        <v>1063</v>
      </c>
      <c r="AW1196" s="4" t="s">
        <v>420</v>
      </c>
      <c r="AX1196" s="4" t="s">
        <v>1064</v>
      </c>
      <c r="BD1196" s="4" t="s">
        <v>1065</v>
      </c>
      <c r="BI1196" s="4" t="s">
        <v>321</v>
      </c>
      <c r="BK1196" s="4">
        <v>250</v>
      </c>
      <c r="BL1196" s="4">
        <v>10</v>
      </c>
      <c r="BM1196" s="4">
        <v>0.8</v>
      </c>
      <c r="BN1196" s="4">
        <v>0.8</v>
      </c>
      <c r="BO1196" s="4">
        <v>0.02</v>
      </c>
      <c r="BS1196" s="4">
        <v>3</v>
      </c>
      <c r="CB1196" s="4" t="s">
        <v>12</v>
      </c>
      <c r="CD1196" s="4">
        <v>200</v>
      </c>
      <c r="CE1196" s="4" t="s">
        <v>11</v>
      </c>
      <c r="CG1196" s="4">
        <v>200</v>
      </c>
      <c r="CH1196" s="4" t="s">
        <v>10</v>
      </c>
      <c r="CJ1196" s="4">
        <v>200</v>
      </c>
      <c r="CK1196" s="4" t="s">
        <v>8</v>
      </c>
      <c r="CM1196" s="4">
        <v>200</v>
      </c>
      <c r="DO1196" s="4">
        <v>3</v>
      </c>
      <c r="EP1196" s="4">
        <v>76.27</v>
      </c>
      <c r="ES1196" s="4">
        <v>76.27</v>
      </c>
      <c r="FT1196" s="4">
        <v>80.57</v>
      </c>
      <c r="FW1196" s="4">
        <v>80.57</v>
      </c>
      <c r="GI1196" s="4">
        <v>48.37</v>
      </c>
      <c r="GL1196" s="4">
        <v>48.37</v>
      </c>
      <c r="GX1196" s="4">
        <v>44.2</v>
      </c>
      <c r="HA1196" s="4">
        <v>44.2</v>
      </c>
    </row>
    <row r="1197" customHeight="1" spans="1:209">
      <c r="A1197" s="3">
        <v>36</v>
      </c>
      <c r="B1197" s="4" t="s">
        <v>1054</v>
      </c>
      <c r="C1197" s="5" t="s">
        <v>1055</v>
      </c>
      <c r="D1197" s="4" t="s">
        <v>559</v>
      </c>
      <c r="N1197" s="4" t="s">
        <v>567</v>
      </c>
      <c r="O1197" s="4" t="s">
        <v>343</v>
      </c>
      <c r="Q1197" s="4" t="s">
        <v>540</v>
      </c>
      <c r="T1197" s="4">
        <v>42.45</v>
      </c>
      <c r="U1197" s="4">
        <v>0.3629</v>
      </c>
      <c r="V1197" s="4">
        <v>28.03</v>
      </c>
      <c r="AB1197" s="4" t="s">
        <v>1056</v>
      </c>
      <c r="AC1197" s="4" t="s">
        <v>1057</v>
      </c>
      <c r="AH1197" s="4" t="s">
        <v>371</v>
      </c>
      <c r="AI1197" s="4" t="s">
        <v>1058</v>
      </c>
      <c r="AM1197" s="4" t="s">
        <v>1059</v>
      </c>
      <c r="AQ1197" s="4" t="s">
        <v>464</v>
      </c>
      <c r="AR1197" s="4" t="s">
        <v>1060</v>
      </c>
      <c r="AS1197" s="4" t="s">
        <v>465</v>
      </c>
      <c r="AT1197" s="4" t="s">
        <v>1061</v>
      </c>
      <c r="AU1197" s="4" t="s">
        <v>1062</v>
      </c>
      <c r="AV1197" s="4" t="s">
        <v>1063</v>
      </c>
      <c r="AW1197" s="4" t="s">
        <v>420</v>
      </c>
      <c r="AX1197" s="4" t="s">
        <v>1064</v>
      </c>
      <c r="BD1197" s="4" t="s">
        <v>1065</v>
      </c>
      <c r="BI1197" s="4" t="s">
        <v>321</v>
      </c>
      <c r="BK1197" s="4">
        <v>250</v>
      </c>
      <c r="BL1197" s="4">
        <v>10</v>
      </c>
      <c r="BM1197" s="4">
        <v>0.8</v>
      </c>
      <c r="BN1197" s="4">
        <v>0.8</v>
      </c>
      <c r="BO1197" s="4">
        <v>0.02</v>
      </c>
      <c r="BS1197" s="4">
        <v>4</v>
      </c>
      <c r="CB1197" s="4" t="s">
        <v>12</v>
      </c>
      <c r="CD1197" s="4">
        <v>200</v>
      </c>
      <c r="CE1197" s="4" t="s">
        <v>11</v>
      </c>
      <c r="CG1197" s="4">
        <v>200</v>
      </c>
      <c r="CH1197" s="4" t="s">
        <v>10</v>
      </c>
      <c r="CJ1197" s="4">
        <v>200</v>
      </c>
      <c r="CK1197" s="4" t="s">
        <v>8</v>
      </c>
      <c r="CM1197" s="4">
        <v>200</v>
      </c>
      <c r="DO1197" s="4">
        <v>3</v>
      </c>
      <c r="EP1197" s="4">
        <v>68.71</v>
      </c>
      <c r="ES1197" s="4">
        <v>68.71</v>
      </c>
      <c r="FT1197" s="4">
        <v>76.53</v>
      </c>
      <c r="FW1197" s="4">
        <v>76.53</v>
      </c>
      <c r="GI1197" s="4">
        <v>54.63</v>
      </c>
      <c r="GL1197" s="4">
        <v>54.63</v>
      </c>
      <c r="GX1197" s="4">
        <v>54.37</v>
      </c>
      <c r="HA1197" s="4">
        <v>54.37</v>
      </c>
    </row>
    <row r="1198" customHeight="1" spans="1:209">
      <c r="A1198" s="3">
        <v>36</v>
      </c>
      <c r="B1198" s="4" t="s">
        <v>1054</v>
      </c>
      <c r="C1198" s="5" t="s">
        <v>1055</v>
      </c>
      <c r="D1198" s="4" t="s">
        <v>559</v>
      </c>
      <c r="N1198" s="4" t="s">
        <v>567</v>
      </c>
      <c r="O1198" s="4" t="s">
        <v>343</v>
      </c>
      <c r="Q1198" s="4" t="s">
        <v>540</v>
      </c>
      <c r="T1198" s="4">
        <v>42.45</v>
      </c>
      <c r="U1198" s="4">
        <v>0.3629</v>
      </c>
      <c r="V1198" s="4">
        <v>28.03</v>
      </c>
      <c r="AB1198" s="4" t="s">
        <v>1056</v>
      </c>
      <c r="AC1198" s="4" t="s">
        <v>1057</v>
      </c>
      <c r="AH1198" s="4" t="s">
        <v>371</v>
      </c>
      <c r="AI1198" s="4" t="s">
        <v>1058</v>
      </c>
      <c r="AM1198" s="4" t="s">
        <v>1059</v>
      </c>
      <c r="AQ1198" s="4" t="s">
        <v>464</v>
      </c>
      <c r="AR1198" s="4" t="s">
        <v>1060</v>
      </c>
      <c r="AS1198" s="4" t="s">
        <v>465</v>
      </c>
      <c r="AT1198" s="4" t="s">
        <v>1061</v>
      </c>
      <c r="AU1198" s="4" t="s">
        <v>1062</v>
      </c>
      <c r="AV1198" s="4" t="s">
        <v>1063</v>
      </c>
      <c r="AW1198" s="4" t="s">
        <v>420</v>
      </c>
      <c r="AX1198" s="4" t="s">
        <v>1064</v>
      </c>
      <c r="BD1198" s="4" t="s">
        <v>1065</v>
      </c>
      <c r="BI1198" s="4" t="s">
        <v>321</v>
      </c>
      <c r="BK1198" s="4">
        <v>250</v>
      </c>
      <c r="BL1198" s="4">
        <v>10</v>
      </c>
      <c r="BM1198" s="4">
        <v>0.8</v>
      </c>
      <c r="BN1198" s="4">
        <v>0.8</v>
      </c>
      <c r="BO1198" s="4">
        <v>0.02</v>
      </c>
      <c r="BS1198" s="4">
        <v>5</v>
      </c>
      <c r="CB1198" s="4" t="s">
        <v>12</v>
      </c>
      <c r="CD1198" s="4">
        <v>200</v>
      </c>
      <c r="CE1198" s="4" t="s">
        <v>11</v>
      </c>
      <c r="CG1198" s="4">
        <v>200</v>
      </c>
      <c r="CH1198" s="4" t="s">
        <v>10</v>
      </c>
      <c r="CJ1198" s="4">
        <v>200</v>
      </c>
      <c r="CK1198" s="4" t="s">
        <v>8</v>
      </c>
      <c r="CM1198" s="4">
        <v>200</v>
      </c>
      <c r="DO1198" s="4">
        <v>3</v>
      </c>
      <c r="EP1198" s="4">
        <v>62.97</v>
      </c>
      <c r="ES1198" s="4">
        <v>62.97</v>
      </c>
      <c r="FT1198" s="4">
        <v>66.62</v>
      </c>
      <c r="FW1198" s="4">
        <v>66.62</v>
      </c>
      <c r="GI1198" s="4">
        <v>70.27</v>
      </c>
      <c r="GL1198" s="4">
        <v>70.27</v>
      </c>
      <c r="GX1198" s="4">
        <v>66.23</v>
      </c>
      <c r="HA1198" s="4">
        <v>66.23</v>
      </c>
    </row>
    <row r="1199" customHeight="1" spans="1:209">
      <c r="A1199" s="3">
        <v>36</v>
      </c>
      <c r="B1199" s="4" t="s">
        <v>1054</v>
      </c>
      <c r="C1199" s="5" t="s">
        <v>1055</v>
      </c>
      <c r="D1199" s="4" t="s">
        <v>559</v>
      </c>
      <c r="N1199" s="4" t="s">
        <v>567</v>
      </c>
      <c r="O1199" s="4" t="s">
        <v>343</v>
      </c>
      <c r="Q1199" s="4" t="s">
        <v>540</v>
      </c>
      <c r="T1199" s="4">
        <v>42.45</v>
      </c>
      <c r="U1199" s="4">
        <v>0.3629</v>
      </c>
      <c r="V1199" s="4">
        <v>28.03</v>
      </c>
      <c r="AB1199" s="4" t="s">
        <v>1056</v>
      </c>
      <c r="AC1199" s="4" t="s">
        <v>1057</v>
      </c>
      <c r="AH1199" s="4" t="s">
        <v>371</v>
      </c>
      <c r="AI1199" s="4" t="s">
        <v>1058</v>
      </c>
      <c r="AM1199" s="4" t="s">
        <v>1059</v>
      </c>
      <c r="AQ1199" s="4" t="s">
        <v>464</v>
      </c>
      <c r="AR1199" s="4" t="s">
        <v>1060</v>
      </c>
      <c r="AS1199" s="4" t="s">
        <v>465</v>
      </c>
      <c r="AT1199" s="4" t="s">
        <v>1061</v>
      </c>
      <c r="AU1199" s="4" t="s">
        <v>1062</v>
      </c>
      <c r="AV1199" s="4" t="s">
        <v>1063</v>
      </c>
      <c r="AW1199" s="4" t="s">
        <v>420</v>
      </c>
      <c r="AX1199" s="4" t="s">
        <v>1064</v>
      </c>
      <c r="BD1199" s="4" t="s">
        <v>1065</v>
      </c>
      <c r="BI1199" s="4" t="s">
        <v>321</v>
      </c>
      <c r="BK1199" s="4">
        <v>250</v>
      </c>
      <c r="BL1199" s="4">
        <v>10</v>
      </c>
      <c r="BM1199" s="4">
        <v>0.8</v>
      </c>
      <c r="BN1199" s="4">
        <v>0.8</v>
      </c>
      <c r="BO1199" s="4">
        <v>0.02</v>
      </c>
      <c r="BS1199" s="4">
        <v>6</v>
      </c>
      <c r="CB1199" s="4" t="s">
        <v>12</v>
      </c>
      <c r="CD1199" s="4">
        <v>200</v>
      </c>
      <c r="CE1199" s="4" t="s">
        <v>11</v>
      </c>
      <c r="CG1199" s="4">
        <v>200</v>
      </c>
      <c r="CH1199" s="4" t="s">
        <v>10</v>
      </c>
      <c r="CJ1199" s="4">
        <v>200</v>
      </c>
      <c r="CK1199" s="4" t="s">
        <v>8</v>
      </c>
      <c r="CM1199" s="4">
        <v>200</v>
      </c>
      <c r="DO1199" s="4">
        <v>3</v>
      </c>
      <c r="EP1199" s="4">
        <v>61.02</v>
      </c>
      <c r="ES1199" s="4">
        <v>61.02</v>
      </c>
      <c r="FT1199" s="4">
        <v>57.5</v>
      </c>
      <c r="FW1199" s="4">
        <v>57.5</v>
      </c>
      <c r="GI1199" s="4">
        <v>77.01</v>
      </c>
      <c r="GL1199" s="4">
        <v>77.01</v>
      </c>
      <c r="GX1199" s="4">
        <v>84.22</v>
      </c>
      <c r="HA1199" s="4">
        <v>84.22</v>
      </c>
    </row>
    <row r="1200" customHeight="1" spans="1:209">
      <c r="A1200" s="3">
        <v>36</v>
      </c>
      <c r="B1200" s="4" t="s">
        <v>1054</v>
      </c>
      <c r="C1200" s="5" t="s">
        <v>1055</v>
      </c>
      <c r="D1200" s="4" t="s">
        <v>559</v>
      </c>
      <c r="N1200" s="4" t="s">
        <v>567</v>
      </c>
      <c r="O1200" s="4" t="s">
        <v>343</v>
      </c>
      <c r="Q1200" s="4" t="s">
        <v>540</v>
      </c>
      <c r="T1200" s="4">
        <v>42.45</v>
      </c>
      <c r="U1200" s="4">
        <v>0.3629</v>
      </c>
      <c r="V1200" s="4">
        <v>28.03</v>
      </c>
      <c r="AB1200" s="4" t="s">
        <v>1056</v>
      </c>
      <c r="AC1200" s="4" t="s">
        <v>1057</v>
      </c>
      <c r="AH1200" s="4" t="s">
        <v>371</v>
      </c>
      <c r="AI1200" s="4" t="s">
        <v>1058</v>
      </c>
      <c r="AM1200" s="4" t="s">
        <v>1059</v>
      </c>
      <c r="AQ1200" s="4" t="s">
        <v>464</v>
      </c>
      <c r="AR1200" s="4" t="s">
        <v>1060</v>
      </c>
      <c r="AS1200" s="4" t="s">
        <v>465</v>
      </c>
      <c r="AT1200" s="4" t="s">
        <v>1061</v>
      </c>
      <c r="AU1200" s="4" t="s">
        <v>1062</v>
      </c>
      <c r="AV1200" s="4" t="s">
        <v>1063</v>
      </c>
      <c r="AW1200" s="4" t="s">
        <v>420</v>
      </c>
      <c r="AX1200" s="4" t="s">
        <v>1064</v>
      </c>
      <c r="BD1200" s="4" t="s">
        <v>1065</v>
      </c>
      <c r="BI1200" s="4" t="s">
        <v>321</v>
      </c>
      <c r="BK1200" s="4">
        <v>250</v>
      </c>
      <c r="BL1200" s="4">
        <v>10</v>
      </c>
      <c r="BM1200" s="4">
        <v>0.8</v>
      </c>
      <c r="BN1200" s="4">
        <v>0.8</v>
      </c>
      <c r="BO1200" s="4">
        <v>0.02</v>
      </c>
      <c r="BS1200" s="4">
        <v>7</v>
      </c>
      <c r="CB1200" s="4" t="s">
        <v>12</v>
      </c>
      <c r="CD1200" s="4">
        <v>200</v>
      </c>
      <c r="CE1200" s="4" t="s">
        <v>11</v>
      </c>
      <c r="CG1200" s="4">
        <v>200</v>
      </c>
      <c r="CH1200" s="4" t="s">
        <v>10</v>
      </c>
      <c r="CJ1200" s="4">
        <v>200</v>
      </c>
      <c r="CK1200" s="4" t="s">
        <v>8</v>
      </c>
      <c r="CM1200" s="4">
        <v>200</v>
      </c>
      <c r="DO1200" s="4">
        <v>3</v>
      </c>
      <c r="EP1200" s="4">
        <v>50.06</v>
      </c>
      <c r="ES1200" s="4">
        <v>50.06</v>
      </c>
      <c r="FT1200" s="4">
        <v>52.4</v>
      </c>
      <c r="FW1200" s="4">
        <v>52.4</v>
      </c>
      <c r="GI1200" s="4">
        <v>83.05</v>
      </c>
      <c r="GL1200" s="4">
        <v>83.05</v>
      </c>
      <c r="GX1200" s="4">
        <v>88.66</v>
      </c>
      <c r="HA1200" s="4">
        <v>88.66</v>
      </c>
    </row>
    <row r="1201" customHeight="1" spans="1:209">
      <c r="A1201" s="3">
        <v>36</v>
      </c>
      <c r="B1201" s="4" t="s">
        <v>1054</v>
      </c>
      <c r="C1201" s="5" t="s">
        <v>1055</v>
      </c>
      <c r="D1201" s="4" t="s">
        <v>559</v>
      </c>
      <c r="N1201" s="4" t="s">
        <v>567</v>
      </c>
      <c r="O1201" s="4" t="s">
        <v>343</v>
      </c>
      <c r="Q1201" s="4" t="s">
        <v>540</v>
      </c>
      <c r="T1201" s="4">
        <v>42.45</v>
      </c>
      <c r="U1201" s="4">
        <v>0.3629</v>
      </c>
      <c r="V1201" s="4">
        <v>28.03</v>
      </c>
      <c r="AB1201" s="4" t="s">
        <v>1056</v>
      </c>
      <c r="AC1201" s="4" t="s">
        <v>1057</v>
      </c>
      <c r="AH1201" s="4" t="s">
        <v>371</v>
      </c>
      <c r="AI1201" s="4" t="s">
        <v>1058</v>
      </c>
      <c r="AM1201" s="4" t="s">
        <v>1059</v>
      </c>
      <c r="AQ1201" s="4" t="s">
        <v>464</v>
      </c>
      <c r="AR1201" s="4" t="s">
        <v>1060</v>
      </c>
      <c r="AS1201" s="4" t="s">
        <v>465</v>
      </c>
      <c r="AT1201" s="4" t="s">
        <v>1061</v>
      </c>
      <c r="AU1201" s="4" t="s">
        <v>1062</v>
      </c>
      <c r="AV1201" s="4" t="s">
        <v>1063</v>
      </c>
      <c r="AW1201" s="4" t="s">
        <v>420</v>
      </c>
      <c r="AX1201" s="4" t="s">
        <v>1064</v>
      </c>
      <c r="BD1201" s="4" t="s">
        <v>1065</v>
      </c>
      <c r="BI1201" s="4" t="s">
        <v>321</v>
      </c>
      <c r="BK1201" s="4">
        <v>250</v>
      </c>
      <c r="BL1201" s="4">
        <v>10</v>
      </c>
      <c r="BM1201" s="4">
        <v>0.2</v>
      </c>
      <c r="BS1201" s="4" t="s">
        <v>1066</v>
      </c>
      <c r="BV1201" s="4" t="s">
        <v>1069</v>
      </c>
      <c r="BW1201" s="4">
        <v>25</v>
      </c>
      <c r="CB1201" s="4" t="s">
        <v>12</v>
      </c>
      <c r="CD1201" s="4">
        <v>200</v>
      </c>
      <c r="CE1201" s="4" t="s">
        <v>11</v>
      </c>
      <c r="CG1201" s="4">
        <v>200</v>
      </c>
      <c r="CH1201" s="4" t="s">
        <v>10</v>
      </c>
      <c r="CJ1201" s="4">
        <v>200</v>
      </c>
      <c r="CK1201" s="4" t="s">
        <v>8</v>
      </c>
      <c r="CM1201" s="4">
        <v>200</v>
      </c>
      <c r="CV1201" s="4">
        <v>90</v>
      </c>
      <c r="CX1201" s="4" t="s">
        <v>314</v>
      </c>
      <c r="CZ1201" s="4" t="s">
        <v>328</v>
      </c>
      <c r="DM1201" s="4">
        <v>240</v>
      </c>
      <c r="DO1201" s="4">
        <v>3</v>
      </c>
      <c r="EL1201" s="4">
        <v>65.33</v>
      </c>
      <c r="EM1201" s="1">
        <v>1.13</v>
      </c>
      <c r="EP1201" s="4"/>
      <c r="ER1201" s="1">
        <f t="shared" ref="ER1201:ER1204" si="33">EL1201/200*100</f>
        <v>32.665</v>
      </c>
      <c r="ES1201" s="4">
        <v>32.665</v>
      </c>
      <c r="FP1201" s="36">
        <v>114.77</v>
      </c>
      <c r="FQ1201" s="36">
        <v>2.46</v>
      </c>
      <c r="FV1201" s="1">
        <f>FP1201/200*100</f>
        <v>57.385</v>
      </c>
      <c r="FW1201" s="1">
        <f t="shared" ref="FW1201:FW1206" si="34">FQ1201/200*100</f>
        <v>1.23</v>
      </c>
      <c r="GE1201" s="1">
        <v>180.19</v>
      </c>
      <c r="GF1201" s="1">
        <v>3.77</v>
      </c>
      <c r="GI1201" s="4"/>
      <c r="GK1201" s="1">
        <f>GE1201/2</f>
        <v>90.095</v>
      </c>
      <c r="GL1201" s="4">
        <v>90.095</v>
      </c>
      <c r="GT1201" s="36">
        <v>143.02</v>
      </c>
      <c r="GU1201" s="36">
        <v>3.4</v>
      </c>
      <c r="GX1201" s="4"/>
      <c r="GZ1201" s="1">
        <f>GT1201/2</f>
        <v>71.51</v>
      </c>
      <c r="HA1201" s="4">
        <v>71.51</v>
      </c>
    </row>
    <row r="1202" customHeight="1" spans="1:209">
      <c r="A1202" s="3">
        <v>36</v>
      </c>
      <c r="B1202" s="4" t="s">
        <v>1070</v>
      </c>
      <c r="C1202" s="5" t="s">
        <v>1071</v>
      </c>
      <c r="D1202" s="4" t="s">
        <v>1072</v>
      </c>
      <c r="E1202" s="4" t="s">
        <v>1073</v>
      </c>
      <c r="N1202" s="4" t="s">
        <v>567</v>
      </c>
      <c r="O1202" s="4" t="s">
        <v>343</v>
      </c>
      <c r="Q1202" s="4" t="s">
        <v>540</v>
      </c>
      <c r="T1202" s="4">
        <v>19.35</v>
      </c>
      <c r="U1202" s="4">
        <v>0.1208</v>
      </c>
      <c r="V1202" s="4">
        <v>25.09</v>
      </c>
      <c r="AB1202" s="4" t="s">
        <v>1074</v>
      </c>
      <c r="AC1202" s="4" t="s">
        <v>1057</v>
      </c>
      <c r="AH1202" s="4" t="s">
        <v>371</v>
      </c>
      <c r="AI1202" s="4" t="s">
        <v>1058</v>
      </c>
      <c r="AM1202" s="4" t="s">
        <v>1059</v>
      </c>
      <c r="AQ1202" s="4" t="s">
        <v>464</v>
      </c>
      <c r="AR1202" s="4" t="s">
        <v>1060</v>
      </c>
      <c r="AS1202" s="4" t="s">
        <v>465</v>
      </c>
      <c r="AT1202" s="4" t="s">
        <v>1061</v>
      </c>
      <c r="AU1202" s="4" t="s">
        <v>1062</v>
      </c>
      <c r="AV1202" s="4" t="s">
        <v>1063</v>
      </c>
      <c r="AW1202" s="4" t="s">
        <v>420</v>
      </c>
      <c r="AX1202" s="4" t="s">
        <v>1064</v>
      </c>
      <c r="BD1202" s="4" t="s">
        <v>1065</v>
      </c>
      <c r="BI1202" s="4" t="s">
        <v>321</v>
      </c>
      <c r="BK1202" s="4">
        <v>250</v>
      </c>
      <c r="BL1202" s="4">
        <v>10</v>
      </c>
      <c r="BM1202" s="4">
        <v>0.2</v>
      </c>
      <c r="BS1202" s="4" t="s">
        <v>1066</v>
      </c>
      <c r="BV1202" s="4" t="s">
        <v>1069</v>
      </c>
      <c r="BW1202" s="4">
        <v>25</v>
      </c>
      <c r="CB1202" s="4" t="s">
        <v>12</v>
      </c>
      <c r="CD1202" s="4">
        <v>200</v>
      </c>
      <c r="CE1202" s="4" t="s">
        <v>11</v>
      </c>
      <c r="CG1202" s="4">
        <v>200</v>
      </c>
      <c r="CH1202" s="4" t="s">
        <v>10</v>
      </c>
      <c r="CJ1202" s="4">
        <v>200</v>
      </c>
      <c r="CK1202" s="4" t="s">
        <v>8</v>
      </c>
      <c r="CM1202" s="4">
        <v>200</v>
      </c>
      <c r="CV1202" s="4">
        <v>90</v>
      </c>
      <c r="CX1202" s="4" t="s">
        <v>314</v>
      </c>
      <c r="CZ1202" s="4" t="s">
        <v>328</v>
      </c>
      <c r="DO1202" s="4">
        <v>3</v>
      </c>
      <c r="EL1202" s="1">
        <v>32.94</v>
      </c>
      <c r="EM1202" s="1">
        <v>1.5</v>
      </c>
      <c r="EP1202" s="4"/>
      <c r="ER1202" s="1">
        <f t="shared" si="33"/>
        <v>16.47</v>
      </c>
      <c r="ES1202" s="4">
        <v>16.47</v>
      </c>
      <c r="FP1202" s="36">
        <v>85.54</v>
      </c>
      <c r="FQ1202" s="36">
        <v>1.85</v>
      </c>
      <c r="FV1202" s="1">
        <f>FP1202/200*100</f>
        <v>42.77</v>
      </c>
      <c r="FW1202" s="1">
        <f t="shared" si="34"/>
        <v>0.925</v>
      </c>
      <c r="GE1202" s="1">
        <v>116.98</v>
      </c>
      <c r="GF1202" s="1">
        <v>2.83</v>
      </c>
      <c r="GI1202" s="4"/>
      <c r="GK1202" s="1">
        <f t="shared" ref="GK1202:GK1207" si="35">GE1202/2</f>
        <v>58.49</v>
      </c>
      <c r="GL1202" s="4">
        <v>58.49</v>
      </c>
      <c r="GT1202" s="36">
        <v>58.49</v>
      </c>
      <c r="GU1202" s="36">
        <v>2.64</v>
      </c>
      <c r="GX1202" s="4"/>
      <c r="GZ1202" s="1">
        <f>GT1202/2</f>
        <v>29.245</v>
      </c>
      <c r="HA1202" s="4">
        <v>29.245</v>
      </c>
    </row>
    <row r="1203" customHeight="1" spans="1:209">
      <c r="A1203" s="3">
        <v>36</v>
      </c>
      <c r="B1203" s="4" t="s">
        <v>1070</v>
      </c>
      <c r="C1203" s="5" t="s">
        <v>1071</v>
      </c>
      <c r="D1203" s="4" t="s">
        <v>1072</v>
      </c>
      <c r="E1203" s="4" t="s">
        <v>1073</v>
      </c>
      <c r="N1203" s="4" t="s">
        <v>567</v>
      </c>
      <c r="O1203" s="4" t="s">
        <v>343</v>
      </c>
      <c r="Q1203" s="4" t="s">
        <v>540</v>
      </c>
      <c r="T1203" s="4">
        <v>19.35</v>
      </c>
      <c r="U1203" s="4">
        <v>0.1208</v>
      </c>
      <c r="V1203" s="4">
        <v>25.09</v>
      </c>
      <c r="AB1203" s="4" t="s">
        <v>1074</v>
      </c>
      <c r="AC1203" s="4" t="s">
        <v>1057</v>
      </c>
      <c r="AH1203" s="4" t="s">
        <v>371</v>
      </c>
      <c r="AI1203" s="4" t="s">
        <v>1058</v>
      </c>
      <c r="AM1203" s="4" t="s">
        <v>1059</v>
      </c>
      <c r="AQ1203" s="4" t="s">
        <v>464</v>
      </c>
      <c r="AR1203" s="4" t="s">
        <v>1060</v>
      </c>
      <c r="AS1203" s="4" t="s">
        <v>465</v>
      </c>
      <c r="AT1203" s="4" t="s">
        <v>1061</v>
      </c>
      <c r="AU1203" s="4" t="s">
        <v>1062</v>
      </c>
      <c r="AV1203" s="4" t="s">
        <v>1063</v>
      </c>
      <c r="AW1203" s="4" t="s">
        <v>420</v>
      </c>
      <c r="AX1203" s="4" t="s">
        <v>1064</v>
      </c>
      <c r="BD1203" s="4" t="s">
        <v>1065</v>
      </c>
      <c r="BI1203" s="4" t="s">
        <v>321</v>
      </c>
      <c r="BK1203" s="4">
        <v>250</v>
      </c>
      <c r="BL1203" s="4">
        <v>10</v>
      </c>
      <c r="BM1203" s="4">
        <v>0.8</v>
      </c>
      <c r="BN1203" s="4">
        <v>0.8</v>
      </c>
      <c r="BO1203" s="4">
        <v>0.02</v>
      </c>
      <c r="BS1203" s="4" t="s">
        <v>1066</v>
      </c>
      <c r="BV1203" s="4">
        <v>240</v>
      </c>
      <c r="CB1203" s="4" t="s">
        <v>12</v>
      </c>
      <c r="CD1203" s="4" t="s">
        <v>918</v>
      </c>
      <c r="CE1203" s="4" t="s">
        <v>11</v>
      </c>
      <c r="CG1203" s="4" t="s">
        <v>918</v>
      </c>
      <c r="CH1203" s="4" t="s">
        <v>10</v>
      </c>
      <c r="CJ1203" s="4" t="s">
        <v>918</v>
      </c>
      <c r="CK1203" s="4" t="s">
        <v>8</v>
      </c>
      <c r="CM1203" s="4" t="s">
        <v>918</v>
      </c>
      <c r="DB1203" s="4" t="s">
        <v>1067</v>
      </c>
      <c r="DC1203" s="4" t="s">
        <v>1068</v>
      </c>
      <c r="DE1203" s="4">
        <v>84.75</v>
      </c>
      <c r="DG1203" s="4">
        <v>259</v>
      </c>
      <c r="DH1203" s="4">
        <v>104.5</v>
      </c>
      <c r="DI1203" s="4">
        <v>58.47</v>
      </c>
      <c r="DO1203" s="4">
        <v>3</v>
      </c>
      <c r="DW1203" s="1">
        <v>40.66</v>
      </c>
      <c r="DX1203" s="1">
        <v>1.95</v>
      </c>
      <c r="EL1203" s="4"/>
      <c r="EP1203" s="4"/>
      <c r="ES1203" s="4"/>
      <c r="FA1203" s="1">
        <v>83.5</v>
      </c>
      <c r="FB1203" s="1">
        <v>3.87</v>
      </c>
      <c r="GE1203" s="29">
        <v>259</v>
      </c>
      <c r="GI1203" s="4"/>
      <c r="GL1203" s="4"/>
      <c r="GX1203" s="4"/>
      <c r="HA1203" s="4"/>
    </row>
    <row r="1204" customHeight="1" spans="1:209">
      <c r="A1204" s="3">
        <v>36</v>
      </c>
      <c r="B1204" s="4" t="s">
        <v>1070</v>
      </c>
      <c r="C1204" s="5" t="s">
        <v>1075</v>
      </c>
      <c r="D1204" s="4" t="s">
        <v>559</v>
      </c>
      <c r="E1204" s="4" t="s">
        <v>1076</v>
      </c>
      <c r="N1204" s="4" t="s">
        <v>567</v>
      </c>
      <c r="O1204" s="4" t="s">
        <v>343</v>
      </c>
      <c r="Q1204" s="4" t="s">
        <v>540</v>
      </c>
      <c r="T1204" s="4">
        <v>30.28</v>
      </c>
      <c r="U1204" s="4">
        <v>0.1331</v>
      </c>
      <c r="V1204" s="4">
        <v>21.47</v>
      </c>
      <c r="AC1204" s="4" t="s">
        <v>1057</v>
      </c>
      <c r="AH1204" s="4" t="s">
        <v>371</v>
      </c>
      <c r="AI1204" s="4" t="s">
        <v>1058</v>
      </c>
      <c r="AM1204" s="4" t="s">
        <v>1059</v>
      </c>
      <c r="AQ1204" s="4" t="s">
        <v>464</v>
      </c>
      <c r="AR1204" s="4" t="s">
        <v>1060</v>
      </c>
      <c r="AS1204" s="4" t="s">
        <v>465</v>
      </c>
      <c r="AT1204" s="4" t="s">
        <v>1061</v>
      </c>
      <c r="AU1204" s="4" t="s">
        <v>1062</v>
      </c>
      <c r="AV1204" s="4" t="s">
        <v>1063</v>
      </c>
      <c r="AW1204" s="4" t="s">
        <v>420</v>
      </c>
      <c r="AX1204" s="4" t="s">
        <v>1064</v>
      </c>
      <c r="BD1204" s="4" t="s">
        <v>1065</v>
      </c>
      <c r="BI1204" s="4" t="s">
        <v>321</v>
      </c>
      <c r="BK1204" s="4">
        <v>250</v>
      </c>
      <c r="BL1204" s="4">
        <v>10</v>
      </c>
      <c r="BM1204" s="4">
        <v>0.2</v>
      </c>
      <c r="BS1204" s="4" t="s">
        <v>1066</v>
      </c>
      <c r="BV1204" s="4" t="s">
        <v>1069</v>
      </c>
      <c r="BW1204" s="4">
        <v>25</v>
      </c>
      <c r="CB1204" s="4" t="s">
        <v>12</v>
      </c>
      <c r="CD1204" s="4">
        <v>200</v>
      </c>
      <c r="CE1204" s="4" t="s">
        <v>11</v>
      </c>
      <c r="CG1204" s="4">
        <v>200</v>
      </c>
      <c r="CH1204" s="4" t="s">
        <v>10</v>
      </c>
      <c r="CJ1204" s="4">
        <v>200</v>
      </c>
      <c r="CK1204" s="4" t="s">
        <v>8</v>
      </c>
      <c r="CM1204" s="4">
        <v>200</v>
      </c>
      <c r="CV1204" s="4">
        <v>90</v>
      </c>
      <c r="CX1204" s="4" t="s">
        <v>314</v>
      </c>
      <c r="CZ1204" s="4" t="s">
        <v>328</v>
      </c>
      <c r="DO1204" s="4">
        <v>3</v>
      </c>
      <c r="EL1204" s="4">
        <v>49.72</v>
      </c>
      <c r="EM1204" s="1">
        <v>1.31</v>
      </c>
      <c r="EP1204" s="4"/>
      <c r="ER1204" s="1">
        <f t="shared" si="33"/>
        <v>24.86</v>
      </c>
      <c r="ES1204" s="4">
        <v>24.86</v>
      </c>
      <c r="FP1204" s="36">
        <v>102.46</v>
      </c>
      <c r="FQ1204" s="36">
        <v>2.15</v>
      </c>
      <c r="FV1204" s="1">
        <f>FP1204/200*100</f>
        <v>51.23</v>
      </c>
      <c r="FW1204" s="1">
        <f t="shared" si="34"/>
        <v>1.075</v>
      </c>
      <c r="GE1204" s="1">
        <v>159.91</v>
      </c>
      <c r="GF1204" s="1">
        <v>3.3</v>
      </c>
      <c r="GI1204" s="4"/>
      <c r="GK1204" s="1">
        <f t="shared" si="35"/>
        <v>79.955</v>
      </c>
      <c r="GL1204" s="4">
        <v>79.955</v>
      </c>
      <c r="GT1204" s="36">
        <v>102.64</v>
      </c>
      <c r="GU1204" s="36">
        <v>3.4</v>
      </c>
      <c r="GX1204" s="4"/>
      <c r="GZ1204" s="1">
        <f>GT1204/2</f>
        <v>51.32</v>
      </c>
      <c r="HA1204" s="4">
        <v>51.32</v>
      </c>
    </row>
    <row r="1205" customHeight="1" spans="1:209">
      <c r="A1205" s="3">
        <v>36</v>
      </c>
      <c r="B1205" s="4" t="s">
        <v>1070</v>
      </c>
      <c r="C1205" s="5" t="s">
        <v>1075</v>
      </c>
      <c r="D1205" s="4" t="s">
        <v>559</v>
      </c>
      <c r="E1205" s="4" t="s">
        <v>1076</v>
      </c>
      <c r="N1205" s="4" t="s">
        <v>567</v>
      </c>
      <c r="O1205" s="4" t="s">
        <v>343</v>
      </c>
      <c r="Q1205" s="4" t="s">
        <v>540</v>
      </c>
      <c r="T1205" s="4">
        <v>30.28</v>
      </c>
      <c r="U1205" s="4">
        <v>0.1331</v>
      </c>
      <c r="V1205" s="4">
        <v>21.47</v>
      </c>
      <c r="AC1205" s="4" t="s">
        <v>1057</v>
      </c>
      <c r="AH1205" s="4" t="s">
        <v>371</v>
      </c>
      <c r="AI1205" s="4" t="s">
        <v>1058</v>
      </c>
      <c r="AM1205" s="4" t="s">
        <v>1059</v>
      </c>
      <c r="AQ1205" s="4" t="s">
        <v>464</v>
      </c>
      <c r="AR1205" s="4" t="s">
        <v>1060</v>
      </c>
      <c r="AS1205" s="4" t="s">
        <v>465</v>
      </c>
      <c r="AT1205" s="4" t="s">
        <v>1061</v>
      </c>
      <c r="AU1205" s="4" t="s">
        <v>1062</v>
      </c>
      <c r="AV1205" s="4" t="s">
        <v>1063</v>
      </c>
      <c r="AW1205" s="4" t="s">
        <v>420</v>
      </c>
      <c r="AX1205" s="4" t="s">
        <v>1064</v>
      </c>
      <c r="BD1205" s="4" t="s">
        <v>1065</v>
      </c>
      <c r="BI1205" s="4" t="s">
        <v>321</v>
      </c>
      <c r="BK1205" s="4">
        <v>250</v>
      </c>
      <c r="BL1205" s="4">
        <v>10</v>
      </c>
      <c r="BM1205" s="4">
        <v>0.8</v>
      </c>
      <c r="BN1205" s="4">
        <v>0.8</v>
      </c>
      <c r="BO1205" s="4">
        <v>0.02</v>
      </c>
      <c r="BS1205" s="4" t="s">
        <v>1066</v>
      </c>
      <c r="BV1205" s="4">
        <v>240</v>
      </c>
      <c r="CB1205" s="4" t="s">
        <v>12</v>
      </c>
      <c r="CD1205" s="4" t="s">
        <v>918</v>
      </c>
      <c r="CE1205" s="4" t="s">
        <v>11</v>
      </c>
      <c r="CG1205" s="4" t="s">
        <v>918</v>
      </c>
      <c r="CH1205" s="4" t="s">
        <v>10</v>
      </c>
      <c r="CJ1205" s="4" t="s">
        <v>918</v>
      </c>
      <c r="CK1205" s="4" t="s">
        <v>8</v>
      </c>
      <c r="CM1205" s="4" t="s">
        <v>918</v>
      </c>
      <c r="DB1205" s="4" t="s">
        <v>1067</v>
      </c>
      <c r="DC1205" s="4" t="s">
        <v>1068</v>
      </c>
      <c r="DE1205" s="4">
        <v>202.5</v>
      </c>
      <c r="DG1205" s="4">
        <v>237.13</v>
      </c>
      <c r="DH1205" s="4">
        <v>97.85</v>
      </c>
      <c r="DI1205" s="4">
        <v>49.04</v>
      </c>
      <c r="DO1205" s="4">
        <v>3</v>
      </c>
      <c r="DW1205" s="1">
        <v>49.04</v>
      </c>
      <c r="DX1205" s="1">
        <v>1.95</v>
      </c>
      <c r="EL1205" s="4"/>
      <c r="EP1205" s="4"/>
      <c r="ES1205" s="4"/>
      <c r="FA1205" s="1">
        <v>97.6</v>
      </c>
      <c r="FB1205" s="1">
        <v>3.87</v>
      </c>
      <c r="GE1205" s="29">
        <v>237.13</v>
      </c>
      <c r="GI1205" s="4"/>
      <c r="GL1205" s="4"/>
      <c r="GX1205" s="4"/>
      <c r="HA1205" s="4"/>
    </row>
    <row r="1206" customHeight="1" spans="1:209">
      <c r="A1206" s="3">
        <v>36</v>
      </c>
      <c r="B1206" s="4" t="s">
        <v>1070</v>
      </c>
      <c r="C1206" s="5" t="s">
        <v>1077</v>
      </c>
      <c r="D1206" s="4" t="s">
        <v>559</v>
      </c>
      <c r="E1206" s="4" t="s">
        <v>1078</v>
      </c>
      <c r="N1206" s="4" t="s">
        <v>567</v>
      </c>
      <c r="O1206" s="4" t="s">
        <v>343</v>
      </c>
      <c r="Q1206" s="4" t="s">
        <v>540</v>
      </c>
      <c r="T1206" s="4">
        <v>32.9</v>
      </c>
      <c r="U1206" s="4">
        <v>0.1345</v>
      </c>
      <c r="V1206" s="4">
        <v>21.03</v>
      </c>
      <c r="AB1206" s="4" t="s">
        <v>1079</v>
      </c>
      <c r="AC1206" s="4" t="s">
        <v>1057</v>
      </c>
      <c r="AH1206" s="4" t="s">
        <v>371</v>
      </c>
      <c r="AI1206" s="4" t="s">
        <v>1058</v>
      </c>
      <c r="AM1206" s="4" t="s">
        <v>1059</v>
      </c>
      <c r="AQ1206" s="4" t="s">
        <v>464</v>
      </c>
      <c r="AR1206" s="4" t="s">
        <v>1060</v>
      </c>
      <c r="AS1206" s="4" t="s">
        <v>465</v>
      </c>
      <c r="AT1206" s="4" t="s">
        <v>1061</v>
      </c>
      <c r="AU1206" s="4" t="s">
        <v>1062</v>
      </c>
      <c r="AV1206" s="4" t="s">
        <v>1063</v>
      </c>
      <c r="AW1206" s="4" t="s">
        <v>420</v>
      </c>
      <c r="AX1206" s="4" t="s">
        <v>1064</v>
      </c>
      <c r="BD1206" s="4" t="s">
        <v>1065</v>
      </c>
      <c r="BI1206" s="4" t="s">
        <v>321</v>
      </c>
      <c r="BK1206" s="4">
        <v>250</v>
      </c>
      <c r="BL1206" s="4">
        <v>10</v>
      </c>
      <c r="BM1206" s="4">
        <v>0.2</v>
      </c>
      <c r="BS1206" s="4" t="s">
        <v>1066</v>
      </c>
      <c r="BV1206" s="4" t="s">
        <v>1069</v>
      </c>
      <c r="BW1206" s="4">
        <v>25</v>
      </c>
      <c r="CB1206" s="4" t="s">
        <v>12</v>
      </c>
      <c r="CD1206" s="4">
        <v>200</v>
      </c>
      <c r="CE1206" s="4" t="s">
        <v>11</v>
      </c>
      <c r="CG1206" s="4">
        <v>200</v>
      </c>
      <c r="CH1206" s="4" t="s">
        <v>10</v>
      </c>
      <c r="CJ1206" s="4">
        <v>200</v>
      </c>
      <c r="CK1206" s="4" t="s">
        <v>8</v>
      </c>
      <c r="CM1206" s="4">
        <v>200</v>
      </c>
      <c r="CV1206" s="4">
        <v>90</v>
      </c>
      <c r="CX1206" s="4" t="s">
        <v>314</v>
      </c>
      <c r="CZ1206" s="4" t="s">
        <v>328</v>
      </c>
      <c r="DO1206" s="4">
        <v>3</v>
      </c>
      <c r="EL1206" s="4">
        <v>55.74</v>
      </c>
      <c r="EM1206" s="1">
        <v>1.31</v>
      </c>
      <c r="EP1206" s="4"/>
      <c r="ER1206" s="1">
        <f>EL1206/200*100</f>
        <v>27.87</v>
      </c>
      <c r="ES1206" s="4">
        <v>27.87</v>
      </c>
      <c r="FP1206" s="36">
        <v>106.77</v>
      </c>
      <c r="FQ1206" s="36">
        <v>2.15</v>
      </c>
      <c r="FV1206" s="1">
        <f>FP1206/200*100</f>
        <v>53.385</v>
      </c>
      <c r="FW1206" s="1">
        <f t="shared" si="34"/>
        <v>1.075</v>
      </c>
      <c r="GE1206" s="1">
        <v>166.51</v>
      </c>
      <c r="GF1206" s="1">
        <v>2.83</v>
      </c>
      <c r="GI1206" s="4"/>
      <c r="GK1206" s="1">
        <f t="shared" si="35"/>
        <v>83.255</v>
      </c>
      <c r="GL1206" s="4">
        <v>83.255</v>
      </c>
      <c r="GT1206" s="36">
        <v>112.83</v>
      </c>
      <c r="GU1206" s="36">
        <v>3.02</v>
      </c>
      <c r="GX1206" s="4"/>
      <c r="GZ1206" s="1">
        <f>GT1206/2</f>
        <v>56.415</v>
      </c>
      <c r="HA1206" s="4">
        <v>56.415</v>
      </c>
    </row>
    <row r="1207" customHeight="1" spans="1:209">
      <c r="A1207" s="3">
        <v>36</v>
      </c>
      <c r="B1207" s="4" t="s">
        <v>1070</v>
      </c>
      <c r="C1207" s="5" t="s">
        <v>1077</v>
      </c>
      <c r="D1207" s="4" t="s">
        <v>559</v>
      </c>
      <c r="E1207" s="4" t="s">
        <v>1078</v>
      </c>
      <c r="N1207" s="4" t="s">
        <v>567</v>
      </c>
      <c r="O1207" s="4" t="s">
        <v>343</v>
      </c>
      <c r="Q1207" s="4" t="s">
        <v>540</v>
      </c>
      <c r="T1207" s="4">
        <v>32.9</v>
      </c>
      <c r="U1207" s="4">
        <v>0.1345</v>
      </c>
      <c r="V1207" s="4">
        <v>21.03</v>
      </c>
      <c r="AB1207" s="4" t="s">
        <v>1079</v>
      </c>
      <c r="AC1207" s="4" t="s">
        <v>1057</v>
      </c>
      <c r="AH1207" s="4" t="s">
        <v>371</v>
      </c>
      <c r="AI1207" s="4" t="s">
        <v>1058</v>
      </c>
      <c r="AM1207" s="4" t="s">
        <v>1059</v>
      </c>
      <c r="AQ1207" s="4" t="s">
        <v>464</v>
      </c>
      <c r="AR1207" s="4" t="s">
        <v>1060</v>
      </c>
      <c r="AS1207" s="4" t="s">
        <v>465</v>
      </c>
      <c r="AT1207" s="4" t="s">
        <v>1061</v>
      </c>
      <c r="AU1207" s="4" t="s">
        <v>1062</v>
      </c>
      <c r="AV1207" s="4" t="s">
        <v>1063</v>
      </c>
      <c r="AW1207" s="4" t="s">
        <v>420</v>
      </c>
      <c r="AX1207" s="4" t="s">
        <v>1064</v>
      </c>
      <c r="BD1207" s="4" t="s">
        <v>1065</v>
      </c>
      <c r="BI1207" s="4" t="s">
        <v>321</v>
      </c>
      <c r="BK1207" s="4">
        <v>250</v>
      </c>
      <c r="BL1207" s="4">
        <v>10</v>
      </c>
      <c r="BM1207" s="4">
        <v>0.8</v>
      </c>
      <c r="BN1207" s="4">
        <v>0.8</v>
      </c>
      <c r="BO1207" s="4">
        <v>0.02</v>
      </c>
      <c r="BS1207" s="4" t="s">
        <v>1066</v>
      </c>
      <c r="BV1207" s="4">
        <v>240</v>
      </c>
      <c r="CB1207" s="4" t="s">
        <v>12</v>
      </c>
      <c r="CD1207" s="4" t="s">
        <v>918</v>
      </c>
      <c r="CE1207" s="4" t="s">
        <v>11</v>
      </c>
      <c r="CG1207" s="4" t="s">
        <v>918</v>
      </c>
      <c r="CH1207" s="4" t="s">
        <v>10</v>
      </c>
      <c r="CJ1207" s="4" t="s">
        <v>918</v>
      </c>
      <c r="CK1207" s="4" t="s">
        <v>8</v>
      </c>
      <c r="CM1207" s="4" t="s">
        <v>918</v>
      </c>
      <c r="DB1207" s="4" t="s">
        <v>1067</v>
      </c>
      <c r="DC1207" s="4" t="s">
        <v>1068</v>
      </c>
      <c r="DE1207" s="4">
        <v>207.75</v>
      </c>
      <c r="DG1207" s="4">
        <v>211.75</v>
      </c>
      <c r="DH1207" s="4">
        <v>83.74</v>
      </c>
      <c r="DI1207" s="4">
        <v>40.51</v>
      </c>
      <c r="DO1207" s="4">
        <v>3</v>
      </c>
      <c r="DW1207" s="1">
        <v>58.47</v>
      </c>
      <c r="DX1207" s="1">
        <v>2.1</v>
      </c>
      <c r="EL1207" s="4"/>
      <c r="EP1207" s="4"/>
      <c r="ES1207" s="4"/>
      <c r="FA1207" s="1">
        <v>103.96</v>
      </c>
      <c r="FB1207" s="1">
        <v>4.15</v>
      </c>
      <c r="GE1207" s="29">
        <v>211.75</v>
      </c>
      <c r="GI1207" s="4"/>
      <c r="GL1207" s="4"/>
      <c r="GX1207" s="4"/>
      <c r="HA1207" s="4"/>
    </row>
    <row r="1208" customHeight="1" spans="1:209">
      <c r="A1208" s="39">
        <v>37</v>
      </c>
      <c r="B1208" s="4" t="s">
        <v>1080</v>
      </c>
      <c r="C1208" s="5" t="s">
        <v>1081</v>
      </c>
      <c r="D1208" s="4" t="s">
        <v>300</v>
      </c>
      <c r="E1208" s="4" t="s">
        <v>1082</v>
      </c>
      <c r="H1208" s="4" t="s">
        <v>328</v>
      </c>
      <c r="I1208" s="4" t="s">
        <v>1083</v>
      </c>
      <c r="J1208" s="4">
        <v>18.8</v>
      </c>
      <c r="N1208" s="4" t="s">
        <v>567</v>
      </c>
      <c r="O1208" s="4" t="s">
        <v>343</v>
      </c>
      <c r="Q1208" s="4" t="s">
        <v>539</v>
      </c>
      <c r="U1208" s="4">
        <v>0.034</v>
      </c>
      <c r="AA1208" s="4" t="s">
        <v>1084</v>
      </c>
      <c r="BI1208" s="4" t="s">
        <v>309</v>
      </c>
      <c r="BN1208" s="4">
        <v>0.5</v>
      </c>
      <c r="BS1208" s="4">
        <v>5</v>
      </c>
      <c r="BU1208" s="4">
        <v>180</v>
      </c>
      <c r="BV1208" s="4">
        <v>2160</v>
      </c>
      <c r="BW1208" s="4">
        <v>25</v>
      </c>
      <c r="CB1208" s="4" t="s">
        <v>11</v>
      </c>
      <c r="DB1208" s="4" t="s">
        <v>951</v>
      </c>
      <c r="DE1208" s="4">
        <v>404.04</v>
      </c>
      <c r="DO1208" s="4">
        <v>3</v>
      </c>
    </row>
    <row r="1209" customHeight="1" spans="1:209">
      <c r="A1209" s="39">
        <v>37</v>
      </c>
      <c r="B1209" s="4" t="s">
        <v>1080</v>
      </c>
      <c r="C1209" s="5" t="s">
        <v>1081</v>
      </c>
      <c r="D1209" s="4" t="s">
        <v>300</v>
      </c>
      <c r="E1209" s="4" t="s">
        <v>1082</v>
      </c>
      <c r="H1209" s="4" t="s">
        <v>328</v>
      </c>
      <c r="I1209" s="4" t="s">
        <v>1083</v>
      </c>
      <c r="J1209" s="4">
        <v>18.8</v>
      </c>
      <c r="N1209" s="4" t="s">
        <v>567</v>
      </c>
      <c r="O1209" s="4" t="s">
        <v>343</v>
      </c>
      <c r="Q1209" s="4" t="s">
        <v>539</v>
      </c>
      <c r="U1209" s="4">
        <v>0.034</v>
      </c>
      <c r="AA1209" s="4" t="s">
        <v>1084</v>
      </c>
      <c r="BI1209" s="4" t="s">
        <v>309</v>
      </c>
      <c r="BN1209" s="4">
        <v>0.5</v>
      </c>
      <c r="BS1209" s="4">
        <v>5</v>
      </c>
      <c r="BU1209" s="4">
        <v>180</v>
      </c>
      <c r="BV1209" s="4">
        <v>2160</v>
      </c>
      <c r="BW1209" s="4">
        <v>25</v>
      </c>
      <c r="CB1209" s="4" t="s">
        <v>7</v>
      </c>
      <c r="DB1209" s="4" t="s">
        <v>430</v>
      </c>
      <c r="DE1209" s="4">
        <v>37.096</v>
      </c>
      <c r="DO1209" s="4">
        <v>3</v>
      </c>
      <c r="DW1209" s="29">
        <v>37.096</v>
      </c>
    </row>
    <row r="1210" customHeight="1" spans="1:209">
      <c r="A1210" s="39">
        <v>37</v>
      </c>
      <c r="B1210" s="4" t="s">
        <v>1080</v>
      </c>
      <c r="C1210" s="5" t="s">
        <v>1085</v>
      </c>
      <c r="D1210" s="4" t="s">
        <v>300</v>
      </c>
      <c r="E1210" s="4" t="s">
        <v>1086</v>
      </c>
      <c r="J1210" s="4">
        <v>34</v>
      </c>
      <c r="N1210" s="4" t="s">
        <v>567</v>
      </c>
      <c r="O1210" s="4" t="s">
        <v>343</v>
      </c>
      <c r="Q1210" s="4" t="s">
        <v>539</v>
      </c>
      <c r="U1210" s="4">
        <v>0.039</v>
      </c>
      <c r="AA1210" s="4" t="s">
        <v>1087</v>
      </c>
      <c r="AC1210" s="4" t="s">
        <v>1088</v>
      </c>
      <c r="AD1210" s="4" t="s">
        <v>1089</v>
      </c>
      <c r="BI1210" s="4" t="s">
        <v>309</v>
      </c>
      <c r="BN1210" s="4">
        <v>0.5</v>
      </c>
      <c r="BS1210" s="4">
        <v>5</v>
      </c>
      <c r="BU1210" s="4">
        <v>180</v>
      </c>
      <c r="BV1210" s="4">
        <v>2160</v>
      </c>
      <c r="BW1210" s="4">
        <v>25</v>
      </c>
      <c r="CB1210" s="4" t="s">
        <v>11</v>
      </c>
      <c r="DB1210" s="4" t="s">
        <v>430</v>
      </c>
      <c r="DE1210" s="4">
        <v>329.448</v>
      </c>
      <c r="DO1210" s="4">
        <v>3</v>
      </c>
    </row>
    <row r="1211" customHeight="1" spans="1:209">
      <c r="A1211" s="39">
        <v>37</v>
      </c>
      <c r="B1211" s="4" t="s">
        <v>1080</v>
      </c>
      <c r="C1211" s="5" t="s">
        <v>1085</v>
      </c>
      <c r="D1211" s="4" t="s">
        <v>300</v>
      </c>
      <c r="E1211" s="4" t="s">
        <v>1086</v>
      </c>
      <c r="J1211" s="4">
        <v>34</v>
      </c>
      <c r="N1211" s="4" t="s">
        <v>567</v>
      </c>
      <c r="O1211" s="4" t="s">
        <v>343</v>
      </c>
      <c r="Q1211" s="4" t="s">
        <v>539</v>
      </c>
      <c r="U1211" s="4">
        <v>0.039</v>
      </c>
      <c r="AA1211" s="4" t="s">
        <v>1087</v>
      </c>
      <c r="AC1211" s="4" t="s">
        <v>1088</v>
      </c>
      <c r="AD1211" s="4" t="s">
        <v>1089</v>
      </c>
      <c r="BI1211" s="4" t="s">
        <v>309</v>
      </c>
      <c r="BN1211" s="4">
        <v>0.5</v>
      </c>
      <c r="BS1211" s="4">
        <v>5</v>
      </c>
      <c r="BU1211" s="4">
        <v>180</v>
      </c>
      <c r="BV1211" s="4">
        <v>2160</v>
      </c>
      <c r="BW1211" s="4">
        <v>25</v>
      </c>
      <c r="CB1211" s="4" t="s">
        <v>7</v>
      </c>
      <c r="DB1211" s="4" t="s">
        <v>430</v>
      </c>
      <c r="DE1211" s="4">
        <v>73.062</v>
      </c>
      <c r="DO1211" s="4">
        <v>3</v>
      </c>
      <c r="DW1211" s="29">
        <v>73.062</v>
      </c>
    </row>
    <row r="1212" customHeight="1" spans="1:209">
      <c r="A1212" s="39">
        <v>37</v>
      </c>
      <c r="B1212" s="4" t="s">
        <v>1080</v>
      </c>
      <c r="C1212" s="5" t="s">
        <v>1085</v>
      </c>
      <c r="D1212" s="4" t="s">
        <v>300</v>
      </c>
      <c r="E1212" s="4" t="s">
        <v>1086</v>
      </c>
      <c r="J1212" s="4">
        <v>34</v>
      </c>
      <c r="N1212" s="4" t="s">
        <v>567</v>
      </c>
      <c r="O1212" s="4" t="s">
        <v>343</v>
      </c>
      <c r="Q1212" s="4" t="s">
        <v>539</v>
      </c>
      <c r="U1212" s="4">
        <v>0.039</v>
      </c>
      <c r="AA1212" s="4" t="s">
        <v>1087</v>
      </c>
      <c r="AC1212" s="4" t="s">
        <v>1088</v>
      </c>
      <c r="AD1212" s="4" t="s">
        <v>1089</v>
      </c>
      <c r="BI1212" s="4" t="s">
        <v>309</v>
      </c>
      <c r="BN1212" s="4">
        <v>0.5</v>
      </c>
      <c r="BS1212" s="4">
        <v>2</v>
      </c>
      <c r="BU1212" s="4">
        <v>180</v>
      </c>
      <c r="BW1212" s="4">
        <v>25</v>
      </c>
      <c r="CB1212" s="4" t="s">
        <v>11</v>
      </c>
      <c r="CV1212" s="4">
        <v>2.9</v>
      </c>
      <c r="DO1212" s="4">
        <v>3</v>
      </c>
      <c r="GE1212" s="4">
        <v>0</v>
      </c>
      <c r="GF1212" s="1">
        <v>0</v>
      </c>
    </row>
    <row r="1213" customHeight="1" spans="1:209">
      <c r="A1213" s="39">
        <v>37</v>
      </c>
      <c r="B1213" s="4" t="s">
        <v>1080</v>
      </c>
      <c r="C1213" s="5" t="s">
        <v>1085</v>
      </c>
      <c r="D1213" s="4" t="s">
        <v>300</v>
      </c>
      <c r="E1213" s="4" t="s">
        <v>1086</v>
      </c>
      <c r="J1213" s="4">
        <v>34</v>
      </c>
      <c r="N1213" s="4" t="s">
        <v>567</v>
      </c>
      <c r="O1213" s="4" t="s">
        <v>343</v>
      </c>
      <c r="Q1213" s="4" t="s">
        <v>539</v>
      </c>
      <c r="U1213" s="4">
        <v>0.039</v>
      </c>
      <c r="AA1213" s="4" t="s">
        <v>1087</v>
      </c>
      <c r="AC1213" s="4" t="s">
        <v>1088</v>
      </c>
      <c r="AD1213" s="4" t="s">
        <v>1089</v>
      </c>
      <c r="BI1213" s="4" t="s">
        <v>309</v>
      </c>
      <c r="BN1213" s="4">
        <v>0.5</v>
      </c>
      <c r="BS1213" s="4">
        <v>3</v>
      </c>
      <c r="BU1213" s="4">
        <v>180</v>
      </c>
      <c r="BW1213" s="4">
        <v>25</v>
      </c>
      <c r="CB1213" s="4" t="s">
        <v>11</v>
      </c>
      <c r="CV1213" s="4">
        <v>5.64</v>
      </c>
      <c r="DO1213" s="4">
        <v>3</v>
      </c>
      <c r="GE1213" s="4">
        <v>0.42</v>
      </c>
      <c r="GF1213" s="1">
        <v>0</v>
      </c>
    </row>
    <row r="1214" customHeight="1" spans="1:209">
      <c r="A1214" s="39">
        <v>37</v>
      </c>
      <c r="B1214" s="4" t="s">
        <v>1080</v>
      </c>
      <c r="C1214" s="5" t="s">
        <v>1085</v>
      </c>
      <c r="D1214" s="4" t="s">
        <v>300</v>
      </c>
      <c r="E1214" s="4" t="s">
        <v>1086</v>
      </c>
      <c r="J1214" s="4">
        <v>34</v>
      </c>
      <c r="N1214" s="4" t="s">
        <v>567</v>
      </c>
      <c r="O1214" s="4" t="s">
        <v>343</v>
      </c>
      <c r="Q1214" s="4" t="s">
        <v>539</v>
      </c>
      <c r="U1214" s="4">
        <v>0.039</v>
      </c>
      <c r="AA1214" s="4" t="s">
        <v>1087</v>
      </c>
      <c r="AC1214" s="4" t="s">
        <v>1088</v>
      </c>
      <c r="AD1214" s="4" t="s">
        <v>1089</v>
      </c>
      <c r="BI1214" s="4" t="s">
        <v>309</v>
      </c>
      <c r="BN1214" s="4">
        <v>0.5</v>
      </c>
      <c r="BS1214" s="4">
        <v>4</v>
      </c>
      <c r="BU1214" s="4">
        <v>180</v>
      </c>
      <c r="BW1214" s="4">
        <v>25</v>
      </c>
      <c r="CB1214" s="4" t="s">
        <v>11</v>
      </c>
      <c r="CV1214" s="4">
        <v>6.12</v>
      </c>
      <c r="DO1214" s="4">
        <v>3</v>
      </c>
      <c r="GE1214" s="4">
        <v>1.25</v>
      </c>
      <c r="GF1214" s="1">
        <v>0</v>
      </c>
    </row>
    <row r="1215" customHeight="1" spans="1:209">
      <c r="A1215" s="39">
        <v>37</v>
      </c>
      <c r="B1215" s="4" t="s">
        <v>1080</v>
      </c>
      <c r="C1215" s="5" t="s">
        <v>1085</v>
      </c>
      <c r="D1215" s="4" t="s">
        <v>300</v>
      </c>
      <c r="E1215" s="4" t="s">
        <v>1086</v>
      </c>
      <c r="J1215" s="4">
        <v>34</v>
      </c>
      <c r="N1215" s="4" t="s">
        <v>567</v>
      </c>
      <c r="O1215" s="4" t="s">
        <v>343</v>
      </c>
      <c r="Q1215" s="4" t="s">
        <v>539</v>
      </c>
      <c r="U1215" s="4">
        <v>0.039</v>
      </c>
      <c r="AA1215" s="4" t="s">
        <v>1087</v>
      </c>
      <c r="AC1215" s="4" t="s">
        <v>1088</v>
      </c>
      <c r="AD1215" s="4" t="s">
        <v>1089</v>
      </c>
      <c r="BI1215" s="4" t="s">
        <v>309</v>
      </c>
      <c r="BN1215" s="4">
        <v>0.5</v>
      </c>
      <c r="BS1215" s="4">
        <v>5</v>
      </c>
      <c r="BU1215" s="4">
        <v>180</v>
      </c>
      <c r="BW1215" s="4">
        <v>25</v>
      </c>
      <c r="CB1215" s="4" t="s">
        <v>11</v>
      </c>
      <c r="CV1215" s="4">
        <v>6.17</v>
      </c>
      <c r="DO1215" s="4">
        <v>3</v>
      </c>
      <c r="GE1215" s="4">
        <v>1.42</v>
      </c>
      <c r="GF1215" s="1">
        <v>0</v>
      </c>
    </row>
    <row r="1216" customHeight="1" spans="1:209">
      <c r="A1216" s="39">
        <v>37</v>
      </c>
      <c r="B1216" s="4" t="s">
        <v>1080</v>
      </c>
      <c r="C1216" s="5" t="s">
        <v>1085</v>
      </c>
      <c r="D1216" s="4" t="s">
        <v>300</v>
      </c>
      <c r="E1216" s="4" t="s">
        <v>1086</v>
      </c>
      <c r="J1216" s="4">
        <v>34</v>
      </c>
      <c r="N1216" s="4" t="s">
        <v>567</v>
      </c>
      <c r="O1216" s="4" t="s">
        <v>343</v>
      </c>
      <c r="Q1216" s="4" t="s">
        <v>539</v>
      </c>
      <c r="U1216" s="4">
        <v>0.039</v>
      </c>
      <c r="AA1216" s="4" t="s">
        <v>1087</v>
      </c>
      <c r="AC1216" s="4" t="s">
        <v>1088</v>
      </c>
      <c r="AD1216" s="4" t="s">
        <v>1089</v>
      </c>
      <c r="BI1216" s="4" t="s">
        <v>309</v>
      </c>
      <c r="BN1216" s="4">
        <v>0.5</v>
      </c>
      <c r="BS1216" s="4">
        <v>6</v>
      </c>
      <c r="BU1216" s="4">
        <v>180</v>
      </c>
      <c r="BW1216" s="4">
        <v>25</v>
      </c>
      <c r="CB1216" s="4" t="s">
        <v>11</v>
      </c>
      <c r="CV1216" s="4">
        <v>6.25</v>
      </c>
      <c r="DO1216" s="4">
        <v>3</v>
      </c>
      <c r="GE1216" s="4">
        <v>1.62</v>
      </c>
      <c r="GF1216" s="1">
        <v>0</v>
      </c>
    </row>
    <row r="1217" customHeight="1" spans="1:313">
      <c r="A1217" s="39">
        <v>37</v>
      </c>
      <c r="B1217" s="4" t="s">
        <v>1080</v>
      </c>
      <c r="C1217" s="5" t="s">
        <v>1085</v>
      </c>
      <c r="D1217" s="4" t="s">
        <v>300</v>
      </c>
      <c r="E1217" s="4" t="s">
        <v>1086</v>
      </c>
      <c r="J1217" s="4">
        <v>34</v>
      </c>
      <c r="N1217" s="4" t="s">
        <v>567</v>
      </c>
      <c r="O1217" s="4" t="s">
        <v>343</v>
      </c>
      <c r="Q1217" s="4" t="s">
        <v>539</v>
      </c>
      <c r="U1217" s="4">
        <v>0.039</v>
      </c>
      <c r="AA1217" s="4" t="s">
        <v>1087</v>
      </c>
      <c r="AC1217" s="4" t="s">
        <v>1088</v>
      </c>
      <c r="AD1217" s="4" t="s">
        <v>1089</v>
      </c>
      <c r="BI1217" s="4" t="s">
        <v>309</v>
      </c>
      <c r="BN1217" s="4">
        <v>0.5</v>
      </c>
      <c r="BS1217" s="4">
        <v>2</v>
      </c>
      <c r="BU1217" s="4">
        <v>180</v>
      </c>
      <c r="BW1217" s="4">
        <v>25</v>
      </c>
      <c r="CB1217" s="4" t="s">
        <v>7</v>
      </c>
      <c r="CV1217" s="4">
        <v>2.91</v>
      </c>
      <c r="DO1217" s="4">
        <v>3</v>
      </c>
      <c r="DW1217" s="4">
        <v>0.98</v>
      </c>
      <c r="DX1217" s="1">
        <v>0</v>
      </c>
      <c r="ED1217" s="20"/>
    </row>
    <row r="1218" customHeight="1" spans="1:313">
      <c r="A1218" s="39">
        <v>37</v>
      </c>
      <c r="B1218" s="4" t="s">
        <v>1080</v>
      </c>
      <c r="C1218" s="5" t="s">
        <v>1085</v>
      </c>
      <c r="D1218" s="4" t="s">
        <v>300</v>
      </c>
      <c r="E1218" s="4" t="s">
        <v>1086</v>
      </c>
      <c r="J1218" s="4">
        <v>34</v>
      </c>
      <c r="N1218" s="4" t="s">
        <v>567</v>
      </c>
      <c r="O1218" s="4" t="s">
        <v>343</v>
      </c>
      <c r="Q1218" s="4" t="s">
        <v>539</v>
      </c>
      <c r="U1218" s="4">
        <v>0.039</v>
      </c>
      <c r="AA1218" s="4" t="s">
        <v>1087</v>
      </c>
      <c r="AC1218" s="4" t="s">
        <v>1088</v>
      </c>
      <c r="AD1218" s="4" t="s">
        <v>1089</v>
      </c>
      <c r="BI1218" s="4" t="s">
        <v>309</v>
      </c>
      <c r="BN1218" s="4">
        <v>0.5</v>
      </c>
      <c r="BS1218" s="4">
        <v>3</v>
      </c>
      <c r="BU1218" s="4">
        <v>180</v>
      </c>
      <c r="BW1218" s="4">
        <v>25</v>
      </c>
      <c r="CB1218" s="4" t="s">
        <v>7</v>
      </c>
      <c r="CV1218" s="4">
        <v>6.94</v>
      </c>
      <c r="DO1218" s="4">
        <v>3</v>
      </c>
      <c r="DW1218" s="4">
        <v>1.27</v>
      </c>
      <c r="DX1218" s="1">
        <v>0</v>
      </c>
      <c r="ED1218" s="20"/>
    </row>
    <row r="1219" customHeight="1" spans="1:313">
      <c r="A1219" s="39">
        <v>37</v>
      </c>
      <c r="B1219" s="4" t="s">
        <v>1080</v>
      </c>
      <c r="C1219" s="5" t="s">
        <v>1085</v>
      </c>
      <c r="D1219" s="4" t="s">
        <v>300</v>
      </c>
      <c r="E1219" s="4" t="s">
        <v>1086</v>
      </c>
      <c r="J1219" s="4">
        <v>34</v>
      </c>
      <c r="N1219" s="4" t="s">
        <v>567</v>
      </c>
      <c r="O1219" s="4" t="s">
        <v>343</v>
      </c>
      <c r="Q1219" s="4" t="s">
        <v>539</v>
      </c>
      <c r="U1219" s="4">
        <v>0.039</v>
      </c>
      <c r="AA1219" s="4" t="s">
        <v>1087</v>
      </c>
      <c r="AC1219" s="4" t="s">
        <v>1088</v>
      </c>
      <c r="AD1219" s="4" t="s">
        <v>1089</v>
      </c>
      <c r="BI1219" s="4" t="s">
        <v>309</v>
      </c>
      <c r="BN1219" s="4">
        <v>0.5</v>
      </c>
      <c r="BS1219" s="4">
        <v>4</v>
      </c>
      <c r="BU1219" s="4">
        <v>180</v>
      </c>
      <c r="BW1219" s="4">
        <v>25</v>
      </c>
      <c r="CB1219" s="4" t="s">
        <v>7</v>
      </c>
      <c r="CV1219" s="4">
        <v>7.44</v>
      </c>
      <c r="DO1219" s="4">
        <v>3</v>
      </c>
      <c r="DW1219" s="4">
        <v>1.27</v>
      </c>
      <c r="DX1219" s="1">
        <v>0</v>
      </c>
      <c r="ED1219" s="20"/>
    </row>
    <row r="1220" customHeight="1" spans="1:313">
      <c r="A1220" s="39">
        <v>37</v>
      </c>
      <c r="B1220" s="4" t="s">
        <v>1080</v>
      </c>
      <c r="C1220" s="5" t="s">
        <v>1085</v>
      </c>
      <c r="D1220" s="4" t="s">
        <v>300</v>
      </c>
      <c r="E1220" s="4" t="s">
        <v>1086</v>
      </c>
      <c r="J1220" s="4">
        <v>34</v>
      </c>
      <c r="N1220" s="4" t="s">
        <v>567</v>
      </c>
      <c r="O1220" s="4" t="s">
        <v>343</v>
      </c>
      <c r="Q1220" s="4" t="s">
        <v>539</v>
      </c>
      <c r="U1220" s="4">
        <v>0.039</v>
      </c>
      <c r="AA1220" s="4" t="s">
        <v>1087</v>
      </c>
      <c r="AC1220" s="4" t="s">
        <v>1088</v>
      </c>
      <c r="AD1220" s="4" t="s">
        <v>1089</v>
      </c>
      <c r="BI1220" s="4" t="s">
        <v>309</v>
      </c>
      <c r="BN1220" s="4">
        <v>0.5</v>
      </c>
      <c r="BS1220" s="4">
        <v>5</v>
      </c>
      <c r="BU1220" s="4">
        <v>180</v>
      </c>
      <c r="BW1220" s="4">
        <v>25</v>
      </c>
      <c r="CB1220" s="4" t="s">
        <v>7</v>
      </c>
      <c r="CV1220" s="4">
        <v>7.4</v>
      </c>
      <c r="DO1220" s="4">
        <v>3</v>
      </c>
      <c r="DW1220" s="4">
        <v>1.4</v>
      </c>
      <c r="DX1220" s="1">
        <v>0</v>
      </c>
      <c r="ED1220" s="20"/>
    </row>
    <row r="1221" customHeight="1" spans="1:313">
      <c r="A1221" s="39">
        <v>37</v>
      </c>
      <c r="B1221" s="4" t="s">
        <v>1080</v>
      </c>
      <c r="C1221" s="5" t="s">
        <v>1085</v>
      </c>
      <c r="D1221" s="4" t="s">
        <v>300</v>
      </c>
      <c r="E1221" s="4" t="s">
        <v>1086</v>
      </c>
      <c r="J1221" s="4">
        <v>34</v>
      </c>
      <c r="N1221" s="4" t="s">
        <v>567</v>
      </c>
      <c r="O1221" s="4" t="s">
        <v>343</v>
      </c>
      <c r="Q1221" s="4" t="s">
        <v>539</v>
      </c>
      <c r="U1221" s="4">
        <v>0.039</v>
      </c>
      <c r="AA1221" s="4" t="s">
        <v>1087</v>
      </c>
      <c r="AC1221" s="4" t="s">
        <v>1088</v>
      </c>
      <c r="AD1221" s="4" t="s">
        <v>1089</v>
      </c>
      <c r="BI1221" s="4" t="s">
        <v>309</v>
      </c>
      <c r="BN1221" s="4">
        <v>0.5</v>
      </c>
      <c r="BS1221" s="4">
        <v>6</v>
      </c>
      <c r="BU1221" s="4">
        <v>180</v>
      </c>
      <c r="BW1221" s="4">
        <v>25</v>
      </c>
      <c r="CB1221" s="4" t="s">
        <v>7</v>
      </c>
      <c r="CV1221" s="4">
        <v>7.34</v>
      </c>
      <c r="DO1221" s="4">
        <v>3</v>
      </c>
      <c r="DW1221" s="4">
        <v>1.54</v>
      </c>
      <c r="DX1221" s="1">
        <v>0</v>
      </c>
      <c r="ED1221" s="20"/>
    </row>
    <row r="1222" customHeight="1" spans="1:313">
      <c r="A1222" s="39">
        <v>37</v>
      </c>
      <c r="B1222" s="4" t="s">
        <v>1080</v>
      </c>
      <c r="C1222" s="5" t="s">
        <v>1085</v>
      </c>
      <c r="D1222" s="4" t="s">
        <v>300</v>
      </c>
      <c r="E1222" s="4" t="s">
        <v>1086</v>
      </c>
      <c r="J1222" s="4">
        <v>34</v>
      </c>
      <c r="N1222" s="4" t="s">
        <v>567</v>
      </c>
      <c r="O1222" s="4" t="s">
        <v>343</v>
      </c>
      <c r="Q1222" s="4" t="s">
        <v>539</v>
      </c>
      <c r="U1222" s="4">
        <v>0.039</v>
      </c>
      <c r="AA1222" s="4" t="s">
        <v>1087</v>
      </c>
      <c r="AC1222" s="4" t="s">
        <v>1088</v>
      </c>
      <c r="AD1222" s="4" t="s">
        <v>1089</v>
      </c>
      <c r="BI1222" s="4" t="s">
        <v>309</v>
      </c>
      <c r="BN1222" s="4">
        <v>0.5</v>
      </c>
      <c r="BS1222" s="4">
        <v>7</v>
      </c>
      <c r="BU1222" s="4">
        <v>180</v>
      </c>
      <c r="BW1222" s="4">
        <v>25</v>
      </c>
      <c r="CB1222" s="4" t="s">
        <v>7</v>
      </c>
      <c r="CV1222" s="4">
        <v>7.4</v>
      </c>
      <c r="DO1222" s="4">
        <v>3</v>
      </c>
      <c r="DW1222" s="4">
        <v>1.65</v>
      </c>
      <c r="DX1222" s="1">
        <v>0</v>
      </c>
      <c r="ED1222" s="20"/>
    </row>
    <row r="1223" customHeight="1" spans="1:313">
      <c r="A1223" s="39">
        <v>37</v>
      </c>
      <c r="B1223" s="4" t="s">
        <v>1080</v>
      </c>
      <c r="C1223" s="5" t="s">
        <v>1085</v>
      </c>
      <c r="D1223" s="4" t="s">
        <v>300</v>
      </c>
      <c r="E1223" s="4" t="s">
        <v>1086</v>
      </c>
      <c r="J1223" s="4">
        <v>34</v>
      </c>
      <c r="N1223" s="4" t="s">
        <v>567</v>
      </c>
      <c r="O1223" s="4" t="s">
        <v>343</v>
      </c>
      <c r="Q1223" s="4" t="s">
        <v>539</v>
      </c>
      <c r="U1223" s="4">
        <v>0.039</v>
      </c>
      <c r="AA1223" s="4" t="s">
        <v>1087</v>
      </c>
      <c r="AC1223" s="4" t="s">
        <v>1088</v>
      </c>
      <c r="AD1223" s="4" t="s">
        <v>1089</v>
      </c>
      <c r="BI1223" s="4" t="s">
        <v>309</v>
      </c>
      <c r="BN1223" s="4">
        <v>0.5</v>
      </c>
      <c r="BS1223" s="4">
        <v>8</v>
      </c>
      <c r="BU1223" s="4">
        <v>180</v>
      </c>
      <c r="BW1223" s="4">
        <v>25</v>
      </c>
      <c r="CB1223" s="4" t="s">
        <v>7</v>
      </c>
      <c r="CV1223" s="4">
        <v>7.37</v>
      </c>
      <c r="DO1223" s="4">
        <v>3</v>
      </c>
      <c r="DW1223" s="4">
        <v>1.68</v>
      </c>
      <c r="DX1223" s="1">
        <v>0</v>
      </c>
      <c r="ED1223" s="20"/>
    </row>
    <row r="1224" customHeight="1" spans="1:313">
      <c r="A1224" s="39">
        <v>37</v>
      </c>
      <c r="B1224" s="4" t="s">
        <v>1080</v>
      </c>
      <c r="C1224" s="5" t="s">
        <v>1085</v>
      </c>
      <c r="D1224" s="4" t="s">
        <v>300</v>
      </c>
      <c r="E1224" s="4" t="s">
        <v>1086</v>
      </c>
      <c r="J1224" s="4">
        <v>34</v>
      </c>
      <c r="N1224" s="4" t="s">
        <v>567</v>
      </c>
      <c r="O1224" s="4" t="s">
        <v>343</v>
      </c>
      <c r="Q1224" s="4" t="s">
        <v>539</v>
      </c>
      <c r="U1224" s="4">
        <v>0.039</v>
      </c>
      <c r="AA1224" s="4" t="s">
        <v>1087</v>
      </c>
      <c r="AC1224" s="4" t="s">
        <v>1088</v>
      </c>
      <c r="AD1224" s="4" t="s">
        <v>1089</v>
      </c>
      <c r="AH1224" s="4" t="s">
        <v>665</v>
      </c>
      <c r="AI1224" s="4" t="s">
        <v>1090</v>
      </c>
      <c r="AJ1224" s="4" t="s">
        <v>1091</v>
      </c>
      <c r="AK1224" s="4" t="s">
        <v>1092</v>
      </c>
      <c r="AM1224" s="4">
        <v>8.37</v>
      </c>
      <c r="AQ1224" s="4" t="s">
        <v>465</v>
      </c>
      <c r="AR1224" s="4">
        <v>5866</v>
      </c>
      <c r="AS1224" s="4" t="s">
        <v>7</v>
      </c>
      <c r="AT1224" s="4">
        <v>166.2</v>
      </c>
      <c r="AU1224" s="4" t="s">
        <v>1062</v>
      </c>
      <c r="AV1224" s="4">
        <v>192.6</v>
      </c>
      <c r="AW1224" s="4" t="s">
        <v>15</v>
      </c>
      <c r="AX1224" s="4">
        <v>1071.9</v>
      </c>
      <c r="BE1224" s="4" t="s">
        <v>667</v>
      </c>
      <c r="BI1224" s="4" t="s">
        <v>321</v>
      </c>
      <c r="BL1224" s="4">
        <v>200</v>
      </c>
      <c r="BM1224" s="4">
        <v>0</v>
      </c>
      <c r="BP1224" s="4">
        <v>0</v>
      </c>
      <c r="BS1224" s="4">
        <v>8.37</v>
      </c>
      <c r="BV1224" s="4" t="s">
        <v>1093</v>
      </c>
      <c r="BW1224" s="4">
        <v>25</v>
      </c>
      <c r="BX1224" s="4" t="s">
        <v>557</v>
      </c>
      <c r="CB1224" s="4" t="s">
        <v>670</v>
      </c>
      <c r="CE1224" s="4" t="s">
        <v>526</v>
      </c>
      <c r="CH1224" s="4" t="s">
        <v>1094</v>
      </c>
      <c r="DO1224" s="4">
        <v>3</v>
      </c>
      <c r="DS1224" s="1">
        <v>128.51</v>
      </c>
      <c r="DT1224" s="1">
        <v>8.51</v>
      </c>
      <c r="EA1224" s="4">
        <v>0</v>
      </c>
      <c r="ED1224" s="4">
        <v>0</v>
      </c>
      <c r="GA1224" s="1">
        <v>32.41</v>
      </c>
      <c r="GB1224" s="1">
        <v>0</v>
      </c>
      <c r="GI1224" s="4">
        <v>0</v>
      </c>
      <c r="GL1224" s="4">
        <v>0</v>
      </c>
    </row>
    <row r="1225" customHeight="1" spans="1:313">
      <c r="A1225" s="39">
        <v>37</v>
      </c>
      <c r="B1225" s="4" t="s">
        <v>1080</v>
      </c>
      <c r="C1225" s="5" t="s">
        <v>1085</v>
      </c>
      <c r="D1225" s="4" t="s">
        <v>300</v>
      </c>
      <c r="E1225" s="4" t="s">
        <v>1086</v>
      </c>
      <c r="J1225" s="4">
        <v>34</v>
      </c>
      <c r="N1225" s="4" t="s">
        <v>567</v>
      </c>
      <c r="O1225" s="4" t="s">
        <v>343</v>
      </c>
      <c r="Q1225" s="4" t="s">
        <v>539</v>
      </c>
      <c r="U1225" s="4">
        <v>0.039</v>
      </c>
      <c r="AA1225" s="4" t="s">
        <v>1087</v>
      </c>
      <c r="AC1225" s="4" t="s">
        <v>1088</v>
      </c>
      <c r="AD1225" s="4" t="s">
        <v>1089</v>
      </c>
      <c r="AH1225" s="4" t="s">
        <v>665</v>
      </c>
      <c r="AI1225" s="4" t="s">
        <v>1090</v>
      </c>
      <c r="AJ1225" s="4" t="s">
        <v>1091</v>
      </c>
      <c r="AK1225" s="4" t="s">
        <v>1092</v>
      </c>
      <c r="AM1225" s="4">
        <v>8.37</v>
      </c>
      <c r="AQ1225" s="4" t="s">
        <v>465</v>
      </c>
      <c r="AR1225" s="4">
        <v>5866</v>
      </c>
      <c r="AS1225" s="4" t="s">
        <v>7</v>
      </c>
      <c r="AT1225" s="4">
        <v>166.2</v>
      </c>
      <c r="AU1225" s="4" t="s">
        <v>1062</v>
      </c>
      <c r="AV1225" s="4">
        <v>192.6</v>
      </c>
      <c r="AW1225" s="4" t="s">
        <v>15</v>
      </c>
      <c r="AX1225" s="4">
        <v>1071.9</v>
      </c>
      <c r="BE1225" s="4" t="s">
        <v>667</v>
      </c>
      <c r="BI1225" s="4" t="s">
        <v>321</v>
      </c>
      <c r="BL1225" s="4">
        <v>200</v>
      </c>
      <c r="BM1225" s="4">
        <v>10</v>
      </c>
      <c r="BP1225" s="4">
        <v>5</v>
      </c>
      <c r="BS1225" s="4">
        <v>8.37</v>
      </c>
      <c r="BV1225" s="4" t="s">
        <v>1093</v>
      </c>
      <c r="BW1225" s="4">
        <v>25</v>
      </c>
      <c r="BX1225" s="4" t="s">
        <v>557</v>
      </c>
      <c r="CB1225" s="4" t="s">
        <v>670</v>
      </c>
      <c r="CE1225" s="4" t="s">
        <v>526</v>
      </c>
      <c r="CH1225" s="4" t="s">
        <v>1094</v>
      </c>
      <c r="DO1225" s="4">
        <v>3</v>
      </c>
      <c r="DQ1225" s="1">
        <v>128.51</v>
      </c>
      <c r="DR1225" s="1">
        <v>8.51</v>
      </c>
      <c r="DS1225" s="1">
        <v>9.73</v>
      </c>
      <c r="DT1225" s="1">
        <v>2.84</v>
      </c>
      <c r="EA1225" s="4">
        <v>85.2</v>
      </c>
      <c r="ED1225" s="4">
        <v>85.2</v>
      </c>
      <c r="FY1225" s="1">
        <v>32.41</v>
      </c>
      <c r="FZ1225" s="1">
        <v>0</v>
      </c>
      <c r="GA1225" s="1">
        <v>0.22</v>
      </c>
      <c r="GB1225" s="1">
        <v>0</v>
      </c>
      <c r="GI1225" s="4">
        <v>98.8</v>
      </c>
      <c r="GL1225" s="4">
        <v>98.8</v>
      </c>
    </row>
    <row r="1226" customHeight="1" spans="1:313">
      <c r="A1226" s="39">
        <v>37</v>
      </c>
      <c r="B1226" s="4" t="s">
        <v>1080</v>
      </c>
      <c r="C1226" s="5" t="s">
        <v>1095</v>
      </c>
      <c r="D1226" s="4" t="s">
        <v>300</v>
      </c>
      <c r="E1226" s="4" t="s">
        <v>1096</v>
      </c>
      <c r="J1226" s="4">
        <v>57.6</v>
      </c>
      <c r="N1226" s="4" t="s">
        <v>567</v>
      </c>
      <c r="O1226" s="4" t="s">
        <v>343</v>
      </c>
      <c r="Q1226" s="4" t="s">
        <v>539</v>
      </c>
      <c r="U1226" s="4">
        <v>0.03</v>
      </c>
      <c r="AA1226" s="4" t="s">
        <v>1097</v>
      </c>
      <c r="BI1226" s="4" t="s">
        <v>309</v>
      </c>
      <c r="BN1226" s="4">
        <v>0.5</v>
      </c>
      <c r="BS1226" s="4">
        <v>5</v>
      </c>
      <c r="BU1226" s="4">
        <v>180</v>
      </c>
      <c r="BV1226" s="4">
        <v>2160</v>
      </c>
      <c r="BW1226" s="4">
        <v>25</v>
      </c>
      <c r="CB1226" s="4" t="s">
        <v>11</v>
      </c>
      <c r="DB1226" s="4" t="s">
        <v>951</v>
      </c>
      <c r="DE1226" s="4">
        <v>314.944</v>
      </c>
      <c r="DO1226" s="4">
        <v>3</v>
      </c>
      <c r="GE1226" s="29">
        <v>314.944</v>
      </c>
    </row>
    <row r="1227" customHeight="1" spans="1:313">
      <c r="A1227" s="39">
        <v>37</v>
      </c>
      <c r="B1227" s="4" t="s">
        <v>1080</v>
      </c>
      <c r="C1227" s="5" t="s">
        <v>1095</v>
      </c>
      <c r="D1227" s="4" t="s">
        <v>300</v>
      </c>
      <c r="E1227" s="4" t="s">
        <v>1096</v>
      </c>
      <c r="J1227" s="4">
        <v>57.6</v>
      </c>
      <c r="N1227" s="4" t="s">
        <v>567</v>
      </c>
      <c r="O1227" s="4" t="s">
        <v>343</v>
      </c>
      <c r="Q1227" s="4" t="s">
        <v>539</v>
      </c>
      <c r="U1227" s="4">
        <v>0.03</v>
      </c>
      <c r="AA1227" s="4" t="s">
        <v>1097</v>
      </c>
      <c r="BI1227" s="4" t="s">
        <v>309</v>
      </c>
      <c r="BN1227" s="4">
        <v>0.5</v>
      </c>
      <c r="BS1227" s="4">
        <v>5</v>
      </c>
      <c r="BU1227" s="4">
        <v>180</v>
      </c>
      <c r="BV1227" s="4">
        <v>2160</v>
      </c>
      <c r="BW1227" s="4">
        <v>25</v>
      </c>
      <c r="CB1227" s="4" t="s">
        <v>7</v>
      </c>
      <c r="DB1227" s="4" t="s">
        <v>951</v>
      </c>
      <c r="DE1227" s="4">
        <v>72.168</v>
      </c>
      <c r="DO1227" s="4">
        <v>3</v>
      </c>
      <c r="DW1227" s="29">
        <v>72.168</v>
      </c>
    </row>
    <row r="1228" customHeight="1" spans="1:313">
      <c r="A1228" s="39">
        <v>37</v>
      </c>
      <c r="B1228" s="4" t="s">
        <v>1080</v>
      </c>
      <c r="C1228" s="5" t="s">
        <v>1098</v>
      </c>
      <c r="D1228" s="4" t="s">
        <v>300</v>
      </c>
      <c r="N1228" s="4" t="s">
        <v>567</v>
      </c>
      <c r="O1228" s="4" t="s">
        <v>343</v>
      </c>
      <c r="Q1228" s="4" t="s">
        <v>539</v>
      </c>
      <c r="AC1228" s="4" t="s">
        <v>1099</v>
      </c>
      <c r="AD1228" s="4" t="s">
        <v>1100</v>
      </c>
      <c r="DO1228" s="4">
        <v>3</v>
      </c>
    </row>
    <row r="1229" customHeight="1" spans="1:313">
      <c r="A1229" s="20">
        <v>38</v>
      </c>
      <c r="B1229" s="4" t="s">
        <v>1101</v>
      </c>
      <c r="C1229" s="5" t="s">
        <v>1102</v>
      </c>
      <c r="D1229" s="4" t="s">
        <v>300</v>
      </c>
      <c r="E1229" s="4" t="s">
        <v>1103</v>
      </c>
      <c r="H1229" s="4" t="s">
        <v>328</v>
      </c>
      <c r="I1229" s="4" t="s">
        <v>888</v>
      </c>
      <c r="N1229" s="4" t="s">
        <v>567</v>
      </c>
      <c r="O1229" s="4" t="s">
        <v>343</v>
      </c>
      <c r="AB1229" s="4" t="s">
        <v>1104</v>
      </c>
      <c r="AG1229" s="4" t="s">
        <v>1105</v>
      </c>
      <c r="AH1229" s="4" t="s">
        <v>1106</v>
      </c>
      <c r="AI1229" s="4" t="s">
        <v>1107</v>
      </c>
      <c r="AJ1229" s="4" t="s">
        <v>1108</v>
      </c>
      <c r="AK1229" s="4" t="s">
        <v>1109</v>
      </c>
      <c r="AL1229" s="4" t="s">
        <v>1110</v>
      </c>
      <c r="AM1229" s="4" t="s">
        <v>1111</v>
      </c>
      <c r="AQ1229" s="4" t="s">
        <v>11</v>
      </c>
      <c r="AR1229" s="4" t="s">
        <v>1112</v>
      </c>
      <c r="AS1229" s="4" t="s">
        <v>7</v>
      </c>
      <c r="AT1229" s="4" t="s">
        <v>1113</v>
      </c>
      <c r="AU1229" s="4" t="s">
        <v>8</v>
      </c>
      <c r="AV1229" s="4" t="s">
        <v>1114</v>
      </c>
      <c r="BE1229" s="4" t="s">
        <v>1115</v>
      </c>
      <c r="BI1229" s="4" t="s">
        <v>321</v>
      </c>
      <c r="BL1229" s="4">
        <v>4850</v>
      </c>
      <c r="BM1229" s="4">
        <v>0</v>
      </c>
      <c r="BP1229" s="4">
        <v>0</v>
      </c>
      <c r="BV1229" s="4" t="s">
        <v>488</v>
      </c>
      <c r="BW1229" s="4" t="s">
        <v>323</v>
      </c>
      <c r="BX1229" s="4">
        <v>0.7</v>
      </c>
      <c r="CB1229" s="4" t="s">
        <v>1116</v>
      </c>
      <c r="CE1229" s="4" t="s">
        <v>1117</v>
      </c>
      <c r="CH1229" s="4" t="s">
        <v>1118</v>
      </c>
      <c r="CW1229" s="4">
        <v>6.33</v>
      </c>
      <c r="DM1229" s="4" t="s">
        <v>1093</v>
      </c>
      <c r="DN1229" s="4">
        <v>6.33</v>
      </c>
      <c r="DO1229" s="4">
        <v>3</v>
      </c>
      <c r="DQ1229" s="4">
        <v>1.518</v>
      </c>
      <c r="DR1229" s="1">
        <v>0.158</v>
      </c>
      <c r="DS1229" s="4" t="s">
        <v>1119</v>
      </c>
      <c r="DT1229" s="1">
        <v>0.158</v>
      </c>
      <c r="EC1229" s="1" t="e">
        <f t="shared" ref="EC1229:EC1246" si="36">(DQ1229-DS1229)/DQ1229*100</f>
        <v>#VALUE!</v>
      </c>
      <c r="ED1229" s="1">
        <v>0</v>
      </c>
      <c r="EF1229" s="4">
        <v>2.636</v>
      </c>
      <c r="EH1229" s="4">
        <v>2.636</v>
      </c>
      <c r="EI1229" s="1">
        <v>0.194</v>
      </c>
      <c r="ER1229" s="1">
        <f>(EF1229-EH1229)/EF1229*100</f>
        <v>0</v>
      </c>
      <c r="ES1229" s="1">
        <v>0</v>
      </c>
      <c r="FY1229" s="4">
        <v>30</v>
      </c>
      <c r="GA1229" s="4" t="s">
        <v>1120</v>
      </c>
      <c r="GB1229" s="1">
        <v>1.05</v>
      </c>
      <c r="GK1229" s="1" t="e">
        <f>(FY1229-GA1229)/FY1229*100</f>
        <v>#VALUE!</v>
      </c>
      <c r="GL1229" s="1">
        <v>0</v>
      </c>
      <c r="KZ1229" s="1" t="s">
        <v>11</v>
      </c>
      <c r="LA1229" s="1" t="s">
        <v>1121</v>
      </c>
    </row>
    <row r="1230" customHeight="1" spans="1:313">
      <c r="A1230" s="20">
        <v>38</v>
      </c>
      <c r="B1230" s="4" t="s">
        <v>1101</v>
      </c>
      <c r="C1230" s="5" t="s">
        <v>1102</v>
      </c>
      <c r="D1230" s="4" t="s">
        <v>300</v>
      </c>
      <c r="E1230" s="4" t="s">
        <v>1103</v>
      </c>
      <c r="H1230" s="4" t="s">
        <v>328</v>
      </c>
      <c r="I1230" s="4" t="s">
        <v>888</v>
      </c>
      <c r="N1230" s="4" t="s">
        <v>567</v>
      </c>
      <c r="O1230" s="4" t="s">
        <v>343</v>
      </c>
      <c r="AB1230" s="4" t="s">
        <v>1104</v>
      </c>
      <c r="AG1230" s="4" t="s">
        <v>1105</v>
      </c>
      <c r="AH1230" s="4" t="s">
        <v>1106</v>
      </c>
      <c r="AI1230" s="4" t="s">
        <v>1107</v>
      </c>
      <c r="AJ1230" s="4" t="s">
        <v>1108</v>
      </c>
      <c r="AK1230" s="4" t="s">
        <v>1109</v>
      </c>
      <c r="AL1230" s="4" t="s">
        <v>1110</v>
      </c>
      <c r="AM1230" s="4" t="s">
        <v>1111</v>
      </c>
      <c r="AQ1230" s="4" t="s">
        <v>11</v>
      </c>
      <c r="AR1230" s="4" t="s">
        <v>1112</v>
      </c>
      <c r="AS1230" s="4" t="s">
        <v>7</v>
      </c>
      <c r="AT1230" s="4" t="s">
        <v>1113</v>
      </c>
      <c r="AU1230" s="4" t="s">
        <v>8</v>
      </c>
      <c r="AV1230" s="4" t="s">
        <v>1114</v>
      </c>
      <c r="BE1230" s="4" t="s">
        <v>1115</v>
      </c>
      <c r="BI1230" s="4" t="s">
        <v>321</v>
      </c>
      <c r="BL1230" s="4">
        <v>4850</v>
      </c>
      <c r="BM1230" s="4">
        <v>150</v>
      </c>
      <c r="BP1230" s="4">
        <v>3</v>
      </c>
      <c r="BV1230" s="4" t="s">
        <v>488</v>
      </c>
      <c r="BW1230" s="4" t="s">
        <v>323</v>
      </c>
      <c r="BX1230" s="4">
        <v>0.7</v>
      </c>
      <c r="CB1230" s="4" t="s">
        <v>1116</v>
      </c>
      <c r="CE1230" s="4" t="s">
        <v>1117</v>
      </c>
      <c r="CH1230" s="4" t="s">
        <v>1118</v>
      </c>
      <c r="CW1230" s="4">
        <v>7.24</v>
      </c>
      <c r="DM1230" s="4" t="s">
        <v>1093</v>
      </c>
      <c r="DN1230" s="4">
        <v>7.24</v>
      </c>
      <c r="DO1230" s="4">
        <v>3</v>
      </c>
      <c r="DQ1230" s="4">
        <v>1.518</v>
      </c>
      <c r="DR1230" s="1">
        <v>0.158</v>
      </c>
      <c r="DS1230" s="4">
        <v>0.652</v>
      </c>
      <c r="DT1230" s="1">
        <v>0.196</v>
      </c>
      <c r="EC1230" s="1">
        <f t="shared" si="36"/>
        <v>57.0487483530962</v>
      </c>
      <c r="ED1230" s="1">
        <v>57.0487483530962</v>
      </c>
      <c r="EF1230" s="4">
        <v>2.636</v>
      </c>
      <c r="EH1230" s="4">
        <v>0.599</v>
      </c>
      <c r="EI1230" s="1">
        <v>0.001</v>
      </c>
      <c r="ER1230" s="1">
        <f t="shared" ref="ER1230:ER1236" si="37">(EF1230-EH1230)/EF1230*100</f>
        <v>77.2761760242792</v>
      </c>
      <c r="ES1230" s="1">
        <v>77.2761760242792</v>
      </c>
      <c r="FY1230" s="4">
        <v>30</v>
      </c>
      <c r="GA1230" s="4">
        <v>12.33</v>
      </c>
      <c r="GB1230" s="1">
        <v>0.57</v>
      </c>
      <c r="GK1230" s="1">
        <f t="shared" ref="GK1230:GK1236" si="38">(FY1230-GA1230)/FY1230*100</f>
        <v>58.9</v>
      </c>
      <c r="GL1230" s="1">
        <v>58.9</v>
      </c>
      <c r="KZ1230" s="1" t="s">
        <v>7</v>
      </c>
      <c r="LA1230" s="1" t="s">
        <v>1121</v>
      </c>
    </row>
    <row r="1231" customHeight="1" spans="1:313">
      <c r="A1231" s="20">
        <v>38</v>
      </c>
      <c r="B1231" s="4" t="s">
        <v>1101</v>
      </c>
      <c r="C1231" s="5" t="s">
        <v>1102</v>
      </c>
      <c r="D1231" s="4" t="s">
        <v>300</v>
      </c>
      <c r="E1231" s="4" t="s">
        <v>1103</v>
      </c>
      <c r="H1231" s="4" t="s">
        <v>328</v>
      </c>
      <c r="I1231" s="4" t="s">
        <v>888</v>
      </c>
      <c r="N1231" s="4" t="s">
        <v>567</v>
      </c>
      <c r="O1231" s="4" t="s">
        <v>343</v>
      </c>
      <c r="AB1231" s="4" t="s">
        <v>1104</v>
      </c>
      <c r="AG1231" s="4" t="s">
        <v>1105</v>
      </c>
      <c r="AH1231" s="4" t="s">
        <v>1106</v>
      </c>
      <c r="AI1231" s="4" t="s">
        <v>1122</v>
      </c>
      <c r="AJ1231" s="4" t="s">
        <v>1123</v>
      </c>
      <c r="AK1231" s="4" t="s">
        <v>1124</v>
      </c>
      <c r="AL1231" s="4" t="s">
        <v>1125</v>
      </c>
      <c r="AM1231" s="4" t="s">
        <v>1126</v>
      </c>
      <c r="AQ1231" s="4" t="s">
        <v>11</v>
      </c>
      <c r="AR1231" s="4" t="s">
        <v>1127</v>
      </c>
      <c r="AS1231" s="4" t="s">
        <v>7</v>
      </c>
      <c r="AT1231" s="4" t="s">
        <v>1128</v>
      </c>
      <c r="AU1231" s="4" t="s">
        <v>8</v>
      </c>
      <c r="AV1231" s="4" t="s">
        <v>1129</v>
      </c>
      <c r="BE1231" s="4" t="s">
        <v>1115</v>
      </c>
      <c r="BI1231" s="4" t="s">
        <v>321</v>
      </c>
      <c r="BL1231" s="4">
        <v>4850</v>
      </c>
      <c r="BM1231" s="4">
        <v>0</v>
      </c>
      <c r="BP1231" s="4">
        <v>0</v>
      </c>
      <c r="BV1231" s="4" t="s">
        <v>488</v>
      </c>
      <c r="BW1231" s="4" t="s">
        <v>323</v>
      </c>
      <c r="BX1231" s="4">
        <v>0.7</v>
      </c>
      <c r="CB1231" s="4" t="s">
        <v>1116</v>
      </c>
      <c r="CE1231" s="4" t="s">
        <v>1117</v>
      </c>
      <c r="CH1231" s="4" t="s">
        <v>1118</v>
      </c>
      <c r="CW1231" s="4">
        <v>6.26</v>
      </c>
      <c r="DM1231" s="4" t="s">
        <v>1093</v>
      </c>
      <c r="DN1231" s="4">
        <v>6.26</v>
      </c>
      <c r="DO1231" s="4">
        <v>3</v>
      </c>
      <c r="DQ1231" s="4">
        <v>0.498</v>
      </c>
      <c r="DR1231" s="1">
        <v>0.005</v>
      </c>
      <c r="DS1231" s="4">
        <v>0.498</v>
      </c>
      <c r="DT1231" s="1">
        <v>0.005</v>
      </c>
      <c r="EC1231" s="1">
        <f t="shared" si="36"/>
        <v>0</v>
      </c>
      <c r="ED1231" s="1">
        <v>0</v>
      </c>
      <c r="EF1231" s="4">
        <v>106.095</v>
      </c>
      <c r="EH1231" s="4">
        <v>106.095</v>
      </c>
      <c r="EI1231" s="1">
        <v>0.174</v>
      </c>
      <c r="ER1231" s="1">
        <f t="shared" si="37"/>
        <v>0</v>
      </c>
      <c r="ES1231" s="1">
        <v>0</v>
      </c>
      <c r="FY1231" s="4">
        <v>117.67</v>
      </c>
      <c r="GA1231" s="4">
        <v>117.67</v>
      </c>
      <c r="GB1231" s="1">
        <v>9.5</v>
      </c>
      <c r="GK1231" s="1">
        <f t="shared" si="38"/>
        <v>0</v>
      </c>
      <c r="GL1231" s="1">
        <v>0</v>
      </c>
      <c r="KZ1231" s="1" t="s">
        <v>8</v>
      </c>
      <c r="LA1231" s="1" t="s">
        <v>1130</v>
      </c>
    </row>
    <row r="1232" customHeight="1" spans="1:313">
      <c r="A1232" s="20">
        <v>38</v>
      </c>
      <c r="B1232" s="4" t="s">
        <v>1101</v>
      </c>
      <c r="C1232" s="5" t="s">
        <v>1102</v>
      </c>
      <c r="D1232" s="4" t="s">
        <v>300</v>
      </c>
      <c r="E1232" s="4" t="s">
        <v>1103</v>
      </c>
      <c r="H1232" s="4" t="s">
        <v>328</v>
      </c>
      <c r="I1232" s="4" t="s">
        <v>888</v>
      </c>
      <c r="N1232" s="4" t="s">
        <v>567</v>
      </c>
      <c r="O1232" s="4" t="s">
        <v>343</v>
      </c>
      <c r="AB1232" s="4" t="s">
        <v>1104</v>
      </c>
      <c r="AG1232" s="4" t="s">
        <v>1105</v>
      </c>
      <c r="AH1232" s="4" t="s">
        <v>1106</v>
      </c>
      <c r="AI1232" s="4" t="s">
        <v>1122</v>
      </c>
      <c r="AJ1232" s="4" t="s">
        <v>1123</v>
      </c>
      <c r="AK1232" s="4" t="s">
        <v>1124</v>
      </c>
      <c r="AL1232" s="4" t="s">
        <v>1125</v>
      </c>
      <c r="AM1232" s="4" t="s">
        <v>1126</v>
      </c>
      <c r="AQ1232" s="4" t="s">
        <v>11</v>
      </c>
      <c r="AR1232" s="4" t="s">
        <v>1127</v>
      </c>
      <c r="AS1232" s="4" t="s">
        <v>7</v>
      </c>
      <c r="AT1232" s="4" t="s">
        <v>1128</v>
      </c>
      <c r="AU1232" s="4" t="s">
        <v>8</v>
      </c>
      <c r="AV1232" s="4" t="s">
        <v>1129</v>
      </c>
      <c r="BE1232" s="4" t="s">
        <v>1115</v>
      </c>
      <c r="BI1232" s="4" t="s">
        <v>321</v>
      </c>
      <c r="BL1232" s="4">
        <v>4850</v>
      </c>
      <c r="BM1232" s="4">
        <v>150</v>
      </c>
      <c r="BP1232" s="4">
        <v>3</v>
      </c>
      <c r="BV1232" s="4" t="s">
        <v>488</v>
      </c>
      <c r="BW1232" s="4" t="s">
        <v>323</v>
      </c>
      <c r="BX1232" s="4">
        <v>0.7</v>
      </c>
      <c r="CB1232" s="4" t="s">
        <v>1116</v>
      </c>
      <c r="CE1232" s="4" t="s">
        <v>1117</v>
      </c>
      <c r="CH1232" s="4" t="s">
        <v>1118</v>
      </c>
      <c r="CW1232" s="4">
        <v>7.33</v>
      </c>
      <c r="DM1232" s="4" t="s">
        <v>1093</v>
      </c>
      <c r="DN1232" s="4">
        <v>7.33</v>
      </c>
      <c r="DO1232" s="4">
        <v>3</v>
      </c>
      <c r="DQ1232" s="4">
        <v>0.498</v>
      </c>
      <c r="DR1232" s="1">
        <v>0.005</v>
      </c>
      <c r="DS1232" s="4">
        <v>0.185</v>
      </c>
      <c r="DT1232" s="1">
        <v>0.049</v>
      </c>
      <c r="EC1232" s="1">
        <f t="shared" si="36"/>
        <v>62.85140562249</v>
      </c>
      <c r="ED1232" s="1">
        <v>62.85140562249</v>
      </c>
      <c r="EF1232" s="4">
        <v>106.095</v>
      </c>
      <c r="EH1232" s="4">
        <v>51.393</v>
      </c>
      <c r="EI1232" s="1">
        <v>1.45</v>
      </c>
      <c r="ER1232" s="1">
        <f t="shared" si="37"/>
        <v>51.5594514350346</v>
      </c>
      <c r="ES1232" s="1">
        <v>51.5594514350346</v>
      </c>
      <c r="FY1232" s="4">
        <v>117.67</v>
      </c>
      <c r="GA1232" s="4">
        <v>53.33</v>
      </c>
      <c r="GB1232" s="1">
        <v>1.53</v>
      </c>
      <c r="GK1232" s="1">
        <f t="shared" si="38"/>
        <v>54.6783377241438</v>
      </c>
      <c r="GL1232" s="1">
        <v>54.6783377241438</v>
      </c>
    </row>
    <row r="1233" customHeight="1" spans="1:202">
      <c r="A1233" s="20">
        <v>38</v>
      </c>
      <c r="B1233" s="4" t="s">
        <v>1101</v>
      </c>
      <c r="C1233" s="5" t="s">
        <v>1102</v>
      </c>
      <c r="D1233" s="4" t="s">
        <v>300</v>
      </c>
      <c r="E1233" s="4" t="s">
        <v>1103</v>
      </c>
      <c r="H1233" s="4" t="s">
        <v>328</v>
      </c>
      <c r="I1233" s="4" t="s">
        <v>888</v>
      </c>
      <c r="N1233" s="4" t="s">
        <v>567</v>
      </c>
      <c r="O1233" s="4" t="s">
        <v>343</v>
      </c>
      <c r="AB1233" s="4" t="s">
        <v>1104</v>
      </c>
      <c r="AG1233" s="4" t="s">
        <v>1105</v>
      </c>
      <c r="AH1233" s="4" t="s">
        <v>1106</v>
      </c>
      <c r="AI1233" s="4" t="s">
        <v>1107</v>
      </c>
      <c r="AJ1233" s="4" t="s">
        <v>1108</v>
      </c>
      <c r="AK1233" s="4" t="s">
        <v>1109</v>
      </c>
      <c r="AL1233" s="4" t="s">
        <v>1110</v>
      </c>
      <c r="AM1233" s="4" t="s">
        <v>1111</v>
      </c>
      <c r="AQ1233" s="4" t="s">
        <v>11</v>
      </c>
      <c r="AR1233" s="4" t="s">
        <v>1112</v>
      </c>
      <c r="AS1233" s="4" t="s">
        <v>7</v>
      </c>
      <c r="AT1233" s="4" t="s">
        <v>1113</v>
      </c>
      <c r="AU1233" s="4" t="s">
        <v>8</v>
      </c>
      <c r="AV1233" s="4" t="s">
        <v>1114</v>
      </c>
      <c r="BI1233" s="4" t="s">
        <v>321</v>
      </c>
      <c r="BJ1233" s="1" t="s">
        <v>321</v>
      </c>
      <c r="BK1233" s="1"/>
      <c r="BL1233" s="1">
        <v>5000</v>
      </c>
      <c r="BM1233" s="1">
        <v>0</v>
      </c>
      <c r="BN1233" s="1"/>
      <c r="BO1233" s="1"/>
      <c r="BP1233" s="1">
        <v>0</v>
      </c>
      <c r="BV1233" s="4" t="s">
        <v>1131</v>
      </c>
      <c r="BW1233" s="4" t="s">
        <v>1132</v>
      </c>
      <c r="BX1233" s="4">
        <v>0.7</v>
      </c>
      <c r="DO1233" s="4">
        <v>3</v>
      </c>
      <c r="DQ1233" s="1">
        <v>1.202</v>
      </c>
      <c r="DR1233" s="1">
        <v>0.176</v>
      </c>
      <c r="DS1233" s="1" t="s">
        <v>1133</v>
      </c>
      <c r="DT1233" s="1">
        <v>0.176</v>
      </c>
      <c r="EC1233" s="1" t="e">
        <f t="shared" si="36"/>
        <v>#VALUE!</v>
      </c>
      <c r="ED1233" s="1">
        <v>0</v>
      </c>
      <c r="EF1233" s="1">
        <v>2.399</v>
      </c>
      <c r="EH1233" s="1">
        <v>2.399</v>
      </c>
      <c r="EI1233" s="1">
        <v>0.328</v>
      </c>
      <c r="ER1233" s="1">
        <f t="shared" si="37"/>
        <v>0</v>
      </c>
      <c r="ES1233" s="1">
        <v>0</v>
      </c>
      <c r="FY1233" s="1">
        <v>28.981</v>
      </c>
      <c r="GA1233" s="1" t="s">
        <v>1134</v>
      </c>
      <c r="GB1233" s="1">
        <v>2.62</v>
      </c>
      <c r="GK1233" s="1" t="e">
        <f t="shared" si="38"/>
        <v>#VALUE!</v>
      </c>
      <c r="GL1233" s="1">
        <v>0</v>
      </c>
    </row>
    <row r="1234" customHeight="1" spans="1:202">
      <c r="A1234" s="20">
        <v>38</v>
      </c>
      <c r="B1234" s="4" t="s">
        <v>1101</v>
      </c>
      <c r="C1234" s="5" t="s">
        <v>1102</v>
      </c>
      <c r="D1234" s="4" t="s">
        <v>300</v>
      </c>
      <c r="E1234" s="4" t="s">
        <v>1103</v>
      </c>
      <c r="H1234" s="4" t="s">
        <v>328</v>
      </c>
      <c r="I1234" s="4" t="s">
        <v>888</v>
      </c>
      <c r="N1234" s="4" t="s">
        <v>567</v>
      </c>
      <c r="O1234" s="4" t="s">
        <v>343</v>
      </c>
      <c r="AB1234" s="4" t="s">
        <v>1104</v>
      </c>
      <c r="AG1234" s="4" t="s">
        <v>1105</v>
      </c>
      <c r="AH1234" s="4" t="s">
        <v>1106</v>
      </c>
      <c r="AI1234" s="4" t="s">
        <v>1107</v>
      </c>
      <c r="AJ1234" s="4" t="s">
        <v>1108</v>
      </c>
      <c r="AK1234" s="4" t="s">
        <v>1109</v>
      </c>
      <c r="AL1234" s="4" t="s">
        <v>1110</v>
      </c>
      <c r="AM1234" s="4" t="s">
        <v>1111</v>
      </c>
      <c r="AQ1234" s="4" t="s">
        <v>11</v>
      </c>
      <c r="AR1234" s="4" t="s">
        <v>1112</v>
      </c>
      <c r="AS1234" s="4" t="s">
        <v>7</v>
      </c>
      <c r="AT1234" s="4" t="s">
        <v>1113</v>
      </c>
      <c r="AU1234" s="4" t="s">
        <v>8</v>
      </c>
      <c r="AV1234" s="4" t="s">
        <v>1114</v>
      </c>
      <c r="BI1234" s="4" t="s">
        <v>321</v>
      </c>
      <c r="BJ1234" s="1" t="s">
        <v>321</v>
      </c>
      <c r="BK1234" s="1"/>
      <c r="BL1234" s="1">
        <v>5000</v>
      </c>
      <c r="BM1234" s="1">
        <v>150</v>
      </c>
      <c r="BN1234" s="1"/>
      <c r="BO1234" s="1"/>
      <c r="BP1234" s="1">
        <v>3</v>
      </c>
      <c r="BV1234" s="4" t="s">
        <v>1131</v>
      </c>
      <c r="BW1234" s="4" t="s">
        <v>1132</v>
      </c>
      <c r="BX1234" s="4">
        <v>0.7</v>
      </c>
      <c r="DO1234" s="4">
        <v>3</v>
      </c>
      <c r="DQ1234" s="1">
        <v>1.202</v>
      </c>
      <c r="DR1234" s="1">
        <v>0.176</v>
      </c>
      <c r="DS1234" s="1">
        <v>0.533</v>
      </c>
      <c r="DT1234" s="1">
        <v>0.009</v>
      </c>
      <c r="EC1234" s="1">
        <f t="shared" si="36"/>
        <v>55.657237936772</v>
      </c>
      <c r="ED1234" s="1">
        <v>55.657237936772</v>
      </c>
      <c r="EF1234" s="1">
        <v>2.399</v>
      </c>
      <c r="EH1234" s="1">
        <v>0.461</v>
      </c>
      <c r="EI1234" s="1">
        <v>0.051</v>
      </c>
      <c r="ER1234" s="1">
        <f t="shared" si="37"/>
        <v>80.7836598582743</v>
      </c>
      <c r="ES1234" s="1">
        <v>80.7836598582743</v>
      </c>
      <c r="FY1234" s="1">
        <v>28.981</v>
      </c>
      <c r="GA1234" s="1">
        <v>10.95</v>
      </c>
      <c r="GB1234" s="1">
        <v>1.35</v>
      </c>
      <c r="GK1234" s="1">
        <f t="shared" si="38"/>
        <v>62.2166246851385</v>
      </c>
      <c r="GL1234" s="1">
        <v>62.2166246851385</v>
      </c>
    </row>
    <row r="1235" customHeight="1" spans="1:202">
      <c r="A1235" s="20">
        <v>38</v>
      </c>
      <c r="B1235" s="4" t="s">
        <v>1101</v>
      </c>
      <c r="C1235" s="5" t="s">
        <v>1102</v>
      </c>
      <c r="D1235" s="4" t="s">
        <v>300</v>
      </c>
      <c r="E1235" s="4" t="s">
        <v>1103</v>
      </c>
      <c r="H1235" s="4" t="s">
        <v>328</v>
      </c>
      <c r="I1235" s="4" t="s">
        <v>888</v>
      </c>
      <c r="N1235" s="4" t="s">
        <v>567</v>
      </c>
      <c r="O1235" s="4" t="s">
        <v>343</v>
      </c>
      <c r="AB1235" s="4" t="s">
        <v>1104</v>
      </c>
      <c r="AG1235" s="4" t="s">
        <v>1105</v>
      </c>
      <c r="AH1235" s="4" t="s">
        <v>1106</v>
      </c>
      <c r="AI1235" s="4" t="s">
        <v>1122</v>
      </c>
      <c r="AJ1235" s="4" t="s">
        <v>1123</v>
      </c>
      <c r="AK1235" s="4" t="s">
        <v>1124</v>
      </c>
      <c r="AL1235" s="4" t="s">
        <v>1125</v>
      </c>
      <c r="AM1235" s="4" t="s">
        <v>1126</v>
      </c>
      <c r="AQ1235" s="4" t="s">
        <v>11</v>
      </c>
      <c r="AR1235" s="4" t="s">
        <v>1127</v>
      </c>
      <c r="AS1235" s="4" t="s">
        <v>7</v>
      </c>
      <c r="AT1235" s="4" t="s">
        <v>1128</v>
      </c>
      <c r="AU1235" s="4" t="s">
        <v>8</v>
      </c>
      <c r="AV1235" s="4" t="s">
        <v>1129</v>
      </c>
      <c r="BI1235" s="4" t="s">
        <v>321</v>
      </c>
      <c r="BJ1235" s="1" t="s">
        <v>321</v>
      </c>
      <c r="BK1235" s="1"/>
      <c r="BL1235" s="1">
        <v>5000</v>
      </c>
      <c r="BM1235" s="1">
        <v>0</v>
      </c>
      <c r="BN1235" s="1"/>
      <c r="BO1235" s="1"/>
      <c r="BP1235" s="1">
        <v>0</v>
      </c>
      <c r="BV1235" s="4" t="s">
        <v>1131</v>
      </c>
      <c r="BW1235" s="4" t="s">
        <v>1132</v>
      </c>
      <c r="BX1235" s="4">
        <v>0.7</v>
      </c>
      <c r="DO1235" s="4">
        <v>3</v>
      </c>
      <c r="DQ1235" s="1">
        <v>0.395</v>
      </c>
      <c r="DR1235" s="1">
        <v>0.034</v>
      </c>
      <c r="DS1235" s="1">
        <v>0.395</v>
      </c>
      <c r="DT1235" s="1">
        <v>0.034</v>
      </c>
      <c r="EC1235" s="1">
        <f t="shared" si="36"/>
        <v>0</v>
      </c>
      <c r="ED1235" s="1">
        <v>0</v>
      </c>
      <c r="EF1235" s="1">
        <v>105.008</v>
      </c>
      <c r="EH1235" s="1">
        <v>105.008</v>
      </c>
      <c r="EI1235" s="1">
        <v>6.41</v>
      </c>
      <c r="ER1235" s="1">
        <f t="shared" si="37"/>
        <v>0</v>
      </c>
      <c r="ES1235" s="1">
        <v>0</v>
      </c>
      <c r="FY1235" s="1">
        <v>110.22</v>
      </c>
      <c r="GA1235" s="1">
        <v>110.22</v>
      </c>
      <c r="GB1235" s="1">
        <v>17.32</v>
      </c>
      <c r="GK1235" s="1">
        <f t="shared" si="38"/>
        <v>0</v>
      </c>
      <c r="GL1235" s="1">
        <v>0</v>
      </c>
    </row>
    <row r="1236" customHeight="1" spans="1:202">
      <c r="A1236" s="20">
        <v>38</v>
      </c>
      <c r="B1236" s="4" t="s">
        <v>1101</v>
      </c>
      <c r="C1236" s="5" t="s">
        <v>1102</v>
      </c>
      <c r="D1236" s="4" t="s">
        <v>300</v>
      </c>
      <c r="E1236" s="4" t="s">
        <v>1103</v>
      </c>
      <c r="H1236" s="4" t="s">
        <v>328</v>
      </c>
      <c r="I1236" s="4" t="s">
        <v>888</v>
      </c>
      <c r="N1236" s="4" t="s">
        <v>567</v>
      </c>
      <c r="O1236" s="4" t="s">
        <v>343</v>
      </c>
      <c r="AB1236" s="4" t="s">
        <v>1104</v>
      </c>
      <c r="AG1236" s="4" t="s">
        <v>1105</v>
      </c>
      <c r="AH1236" s="4" t="s">
        <v>1106</v>
      </c>
      <c r="AI1236" s="4" t="s">
        <v>1122</v>
      </c>
      <c r="AJ1236" s="4" t="s">
        <v>1123</v>
      </c>
      <c r="AK1236" s="4" t="s">
        <v>1124</v>
      </c>
      <c r="AL1236" s="4" t="s">
        <v>1125</v>
      </c>
      <c r="AM1236" s="4" t="s">
        <v>1126</v>
      </c>
      <c r="AQ1236" s="4" t="s">
        <v>11</v>
      </c>
      <c r="AR1236" s="4" t="s">
        <v>1127</v>
      </c>
      <c r="AS1236" s="4" t="s">
        <v>7</v>
      </c>
      <c r="AT1236" s="4" t="s">
        <v>1128</v>
      </c>
      <c r="AU1236" s="4" t="s">
        <v>8</v>
      </c>
      <c r="AV1236" s="4" t="s">
        <v>1129</v>
      </c>
      <c r="BI1236" s="4" t="s">
        <v>321</v>
      </c>
      <c r="BJ1236" s="1" t="s">
        <v>321</v>
      </c>
      <c r="BK1236" s="1"/>
      <c r="BL1236" s="1">
        <v>5000</v>
      </c>
      <c r="BM1236" s="1">
        <v>150</v>
      </c>
      <c r="BN1236" s="1"/>
      <c r="BO1236" s="1"/>
      <c r="BP1236" s="1">
        <v>3</v>
      </c>
      <c r="BV1236" s="4" t="s">
        <v>1131</v>
      </c>
      <c r="BW1236" s="4" t="s">
        <v>1132</v>
      </c>
      <c r="BX1236" s="4">
        <v>0.7</v>
      </c>
      <c r="DO1236" s="4">
        <v>3</v>
      </c>
      <c r="DQ1236" s="1">
        <v>0.395</v>
      </c>
      <c r="DR1236" s="1">
        <v>0.034</v>
      </c>
      <c r="DS1236" s="1">
        <v>0.122</v>
      </c>
      <c r="DT1236" s="1">
        <v>0.017</v>
      </c>
      <c r="EC1236" s="1">
        <f t="shared" si="36"/>
        <v>69.1139240506329</v>
      </c>
      <c r="ED1236" s="1">
        <v>69.1139240506329</v>
      </c>
      <c r="EF1236" s="1">
        <v>105.008</v>
      </c>
      <c r="EH1236" s="1">
        <v>38.038</v>
      </c>
      <c r="EI1236" s="1">
        <v>0.083</v>
      </c>
      <c r="ER1236" s="1">
        <f t="shared" si="37"/>
        <v>63.7760932500381</v>
      </c>
      <c r="ES1236" s="1">
        <v>63.7760932500381</v>
      </c>
      <c r="FY1236" s="1">
        <v>110.22</v>
      </c>
      <c r="GA1236" s="1">
        <v>48.22</v>
      </c>
      <c r="GB1236" s="1">
        <v>9.93</v>
      </c>
      <c r="GK1236" s="1">
        <f t="shared" si="38"/>
        <v>56.2511340954455</v>
      </c>
      <c r="GL1236" s="1">
        <v>56.2511340954455</v>
      </c>
    </row>
    <row r="1237" customHeight="1" spans="1:202">
      <c r="A1237" s="3">
        <v>39</v>
      </c>
      <c r="B1237" s="4" t="s">
        <v>1135</v>
      </c>
      <c r="C1237" s="5" t="s">
        <v>1136</v>
      </c>
      <c r="E1237" s="4" t="s">
        <v>1137</v>
      </c>
      <c r="T1237" s="4">
        <v>7.09</v>
      </c>
      <c r="AD1237" s="4" t="s">
        <v>1138</v>
      </c>
      <c r="AH1237" s="4" t="s">
        <v>346</v>
      </c>
      <c r="AI1237" s="4" t="s">
        <v>1139</v>
      </c>
      <c r="AJ1237" s="4" t="s">
        <v>1140</v>
      </c>
      <c r="AK1237" s="4" t="s">
        <v>1141</v>
      </c>
      <c r="AM1237" s="4">
        <v>5.2</v>
      </c>
      <c r="AN1237" s="4">
        <v>11.6</v>
      </c>
      <c r="AO1237" s="4">
        <v>42.31</v>
      </c>
      <c r="AQ1237" s="4" t="s">
        <v>7</v>
      </c>
      <c r="AR1237" s="4">
        <v>0.53</v>
      </c>
      <c r="BF1237" s="4" t="s">
        <v>328</v>
      </c>
      <c r="BG1237" s="4" t="s">
        <v>1142</v>
      </c>
      <c r="BI1237" s="4" t="s">
        <v>321</v>
      </c>
      <c r="DO1237" s="4">
        <v>3</v>
      </c>
      <c r="DQ1237" s="1">
        <v>0.2197</v>
      </c>
      <c r="DR1237" s="1">
        <v>0.01763</v>
      </c>
      <c r="DS1237" s="1">
        <v>0.2197</v>
      </c>
      <c r="DT1237" s="1">
        <v>0.01763</v>
      </c>
      <c r="EC1237" s="1">
        <f t="shared" si="36"/>
        <v>0</v>
      </c>
      <c r="ED1237" s="1">
        <v>0</v>
      </c>
    </row>
    <row r="1238" customHeight="1" spans="1:202">
      <c r="A1238" s="3">
        <v>39</v>
      </c>
      <c r="B1238" s="4" t="s">
        <v>1135</v>
      </c>
      <c r="C1238" s="5" t="s">
        <v>1136</v>
      </c>
      <c r="E1238" s="4" t="s">
        <v>1137</v>
      </c>
      <c r="T1238" s="4">
        <v>7.09</v>
      </c>
      <c r="AD1238" s="4" t="s">
        <v>1138</v>
      </c>
      <c r="AH1238" s="4" t="s">
        <v>346</v>
      </c>
      <c r="AI1238" s="4" t="s">
        <v>1139</v>
      </c>
      <c r="AJ1238" s="4" t="s">
        <v>1140</v>
      </c>
      <c r="AK1238" s="4" t="s">
        <v>1141</v>
      </c>
      <c r="AM1238" s="4">
        <v>5.2</v>
      </c>
      <c r="AN1238" s="4">
        <v>11.6</v>
      </c>
      <c r="AO1238" s="4">
        <v>42.31</v>
      </c>
      <c r="AQ1238" s="4" t="s">
        <v>7</v>
      </c>
      <c r="AR1238" s="4">
        <v>0.53</v>
      </c>
      <c r="BF1238" s="4" t="s">
        <v>328</v>
      </c>
      <c r="BG1238" s="4" t="s">
        <v>1142</v>
      </c>
      <c r="BI1238" s="4" t="s">
        <v>321</v>
      </c>
      <c r="DO1238" s="4">
        <v>3</v>
      </c>
      <c r="DQ1238" s="1">
        <v>0.2197</v>
      </c>
      <c r="DR1238" s="1">
        <v>0.01763</v>
      </c>
      <c r="DS1238" s="1">
        <v>0.1278</v>
      </c>
      <c r="DT1238" s="1">
        <v>0.01574</v>
      </c>
      <c r="EC1238" s="1">
        <f t="shared" si="36"/>
        <v>41.8297678652708</v>
      </c>
      <c r="ED1238" s="1">
        <v>41.8297678652708</v>
      </c>
    </row>
    <row r="1239" customHeight="1" spans="1:202">
      <c r="A1239" s="3">
        <v>39</v>
      </c>
      <c r="B1239" s="4" t="s">
        <v>1135</v>
      </c>
      <c r="C1239" s="5" t="s">
        <v>1136</v>
      </c>
      <c r="E1239" s="4" t="s">
        <v>1137</v>
      </c>
      <c r="T1239" s="4">
        <v>7.09</v>
      </c>
      <c r="AD1239" s="4" t="s">
        <v>1138</v>
      </c>
      <c r="AH1239" s="4" t="s">
        <v>346</v>
      </c>
      <c r="AI1239" s="4" t="s">
        <v>1139</v>
      </c>
      <c r="AJ1239" s="4" t="s">
        <v>1140</v>
      </c>
      <c r="AK1239" s="4" t="s">
        <v>1141</v>
      </c>
      <c r="AM1239" s="4">
        <v>5.2</v>
      </c>
      <c r="AN1239" s="4">
        <v>11.6</v>
      </c>
      <c r="AO1239" s="4">
        <v>42.31</v>
      </c>
      <c r="AQ1239" s="4" t="s">
        <v>7</v>
      </c>
      <c r="AR1239" s="4">
        <v>0.53</v>
      </c>
      <c r="BF1239" s="4" t="s">
        <v>328</v>
      </c>
      <c r="BG1239" s="4" t="s">
        <v>1142</v>
      </c>
      <c r="BI1239" s="4" t="s">
        <v>321</v>
      </c>
      <c r="DO1239" s="4">
        <v>3</v>
      </c>
      <c r="DQ1239" s="1">
        <v>0.2197</v>
      </c>
      <c r="DR1239" s="1">
        <v>0.01763</v>
      </c>
      <c r="DS1239" s="1">
        <v>0.0888</v>
      </c>
      <c r="DT1239" s="1">
        <v>0.00881</v>
      </c>
      <c r="EC1239" s="1">
        <f t="shared" si="36"/>
        <v>59.5812471552117</v>
      </c>
      <c r="ED1239" s="1">
        <v>59.5812471552117</v>
      </c>
    </row>
    <row r="1240" customHeight="1" spans="1:202">
      <c r="A1240" s="3">
        <v>39</v>
      </c>
      <c r="B1240" s="4" t="s">
        <v>1135</v>
      </c>
      <c r="C1240" s="5" t="s">
        <v>1136</v>
      </c>
      <c r="E1240" s="4" t="s">
        <v>1137</v>
      </c>
      <c r="T1240" s="4">
        <v>7.09</v>
      </c>
      <c r="AD1240" s="4" t="s">
        <v>1138</v>
      </c>
      <c r="AH1240" s="4" t="s">
        <v>346</v>
      </c>
      <c r="AI1240" s="4" t="s">
        <v>1139</v>
      </c>
      <c r="AJ1240" s="4" t="s">
        <v>1140</v>
      </c>
      <c r="AK1240" s="4" t="s">
        <v>1141</v>
      </c>
      <c r="AM1240" s="4">
        <v>5.2</v>
      </c>
      <c r="AN1240" s="4">
        <v>11.6</v>
      </c>
      <c r="AO1240" s="4">
        <v>42.31</v>
      </c>
      <c r="AQ1240" s="4" t="s">
        <v>7</v>
      </c>
      <c r="AR1240" s="4">
        <v>0.53</v>
      </c>
      <c r="BF1240" s="4" t="s">
        <v>328</v>
      </c>
      <c r="BG1240" s="4" t="s">
        <v>1142</v>
      </c>
      <c r="BI1240" s="4" t="s">
        <v>321</v>
      </c>
      <c r="DO1240" s="4">
        <v>3</v>
      </c>
      <c r="DQ1240" s="1">
        <v>0.2197</v>
      </c>
      <c r="DR1240" s="1">
        <v>0.01763</v>
      </c>
      <c r="DS1240" s="1">
        <v>0.0862</v>
      </c>
      <c r="DT1240" s="1">
        <v>0.01133</v>
      </c>
      <c r="EC1240" s="1">
        <f t="shared" si="36"/>
        <v>60.7646791078744</v>
      </c>
      <c r="ED1240" s="1">
        <v>60.7646791078744</v>
      </c>
    </row>
    <row r="1241" customHeight="1" spans="1:202">
      <c r="A1241" s="3">
        <v>39</v>
      </c>
      <c r="B1241" s="4" t="s">
        <v>1135</v>
      </c>
      <c r="C1241" s="5" t="s">
        <v>1136</v>
      </c>
      <c r="E1241" s="4" t="s">
        <v>1137</v>
      </c>
      <c r="T1241" s="4">
        <v>7.09</v>
      </c>
      <c r="AD1241" s="4" t="s">
        <v>1138</v>
      </c>
      <c r="AH1241" s="4" t="s">
        <v>346</v>
      </c>
      <c r="AI1241" s="4" t="s">
        <v>1139</v>
      </c>
      <c r="AJ1241" s="4" t="s">
        <v>1140</v>
      </c>
      <c r="AK1241" s="4" t="s">
        <v>1141</v>
      </c>
      <c r="AM1241" s="4">
        <v>5.2</v>
      </c>
      <c r="AN1241" s="4">
        <v>11.6</v>
      </c>
      <c r="AO1241" s="4">
        <v>42.31</v>
      </c>
      <c r="AQ1241" s="4" t="s">
        <v>7</v>
      </c>
      <c r="AR1241" s="4">
        <v>0.53</v>
      </c>
      <c r="BF1241" s="4" t="s">
        <v>328</v>
      </c>
      <c r="BG1241" s="4" t="s">
        <v>1142</v>
      </c>
      <c r="BI1241" s="4" t="s">
        <v>321</v>
      </c>
      <c r="DO1241" s="4">
        <v>3</v>
      </c>
      <c r="DQ1241" s="1">
        <v>0.2197</v>
      </c>
      <c r="DR1241" s="1">
        <v>0.01763</v>
      </c>
      <c r="DS1241" s="1">
        <v>0.0737</v>
      </c>
      <c r="DT1241" s="1">
        <v>0.00881</v>
      </c>
      <c r="EC1241" s="1">
        <f t="shared" si="36"/>
        <v>66.4542558033682</v>
      </c>
      <c r="ED1241" s="1">
        <v>66.4542558033682</v>
      </c>
    </row>
    <row r="1242" customHeight="1" spans="1:202">
      <c r="A1242" s="3">
        <v>39</v>
      </c>
      <c r="B1242" s="4" t="s">
        <v>1143</v>
      </c>
      <c r="C1242" s="5" t="s">
        <v>1144</v>
      </c>
      <c r="E1242" s="4" t="s">
        <v>1137</v>
      </c>
      <c r="T1242" s="4">
        <v>2.1</v>
      </c>
      <c r="AD1242" s="4" t="s">
        <v>1145</v>
      </c>
      <c r="AH1242" s="4" t="s">
        <v>346</v>
      </c>
      <c r="AI1242" s="4" t="s">
        <v>1139</v>
      </c>
      <c r="AJ1242" s="4" t="s">
        <v>1140</v>
      </c>
      <c r="AK1242" s="4" t="s">
        <v>1141</v>
      </c>
      <c r="AM1242" s="4">
        <v>5.2</v>
      </c>
      <c r="AN1242" s="4">
        <v>11.6</v>
      </c>
      <c r="AO1242" s="4">
        <v>42.31</v>
      </c>
      <c r="AQ1242" s="4" t="s">
        <v>7</v>
      </c>
      <c r="AR1242" s="4">
        <v>0.53</v>
      </c>
      <c r="BF1242" s="4" t="s">
        <v>328</v>
      </c>
      <c r="BG1242" s="4" t="s">
        <v>1142</v>
      </c>
      <c r="BI1242" s="4" t="s">
        <v>321</v>
      </c>
      <c r="DO1242" s="4">
        <v>3</v>
      </c>
      <c r="DQ1242" s="1">
        <v>0.2197</v>
      </c>
      <c r="DR1242" s="1">
        <v>0.01763</v>
      </c>
      <c r="DS1242" s="1">
        <v>0.2197</v>
      </c>
      <c r="DT1242" s="1">
        <v>0.01763</v>
      </c>
      <c r="EC1242" s="1">
        <f t="shared" si="36"/>
        <v>0</v>
      </c>
      <c r="ED1242" s="1">
        <v>0</v>
      </c>
    </row>
    <row r="1243" customHeight="1" spans="1:202">
      <c r="A1243" s="3">
        <v>39</v>
      </c>
      <c r="B1243" s="4" t="s">
        <v>1143</v>
      </c>
      <c r="C1243" s="5" t="s">
        <v>1144</v>
      </c>
      <c r="E1243" s="4" t="s">
        <v>1137</v>
      </c>
      <c r="T1243" s="4">
        <v>2.1</v>
      </c>
      <c r="AD1243" s="4" t="s">
        <v>1145</v>
      </c>
      <c r="AH1243" s="4" t="s">
        <v>346</v>
      </c>
      <c r="AI1243" s="4" t="s">
        <v>1139</v>
      </c>
      <c r="AJ1243" s="4" t="s">
        <v>1140</v>
      </c>
      <c r="AK1243" s="4" t="s">
        <v>1141</v>
      </c>
      <c r="AM1243" s="4">
        <v>5.2</v>
      </c>
      <c r="AN1243" s="4">
        <v>11.6</v>
      </c>
      <c r="AO1243" s="4">
        <v>42.31</v>
      </c>
      <c r="AQ1243" s="4" t="s">
        <v>7</v>
      </c>
      <c r="AR1243" s="4">
        <v>0.53</v>
      </c>
      <c r="BF1243" s="4" t="s">
        <v>328</v>
      </c>
      <c r="BG1243" s="4" t="s">
        <v>1142</v>
      </c>
      <c r="BI1243" s="4" t="s">
        <v>321</v>
      </c>
      <c r="DO1243" s="4">
        <v>3</v>
      </c>
      <c r="DQ1243" s="1">
        <v>0.2197</v>
      </c>
      <c r="DR1243" s="1">
        <v>0.01763</v>
      </c>
      <c r="DS1243" s="1">
        <v>0.1737</v>
      </c>
      <c r="DT1243" s="1">
        <v>0.02203</v>
      </c>
      <c r="EC1243" s="1">
        <f t="shared" si="36"/>
        <v>20.9376422394174</v>
      </c>
      <c r="ED1243" s="1">
        <v>20.9376422394174</v>
      </c>
    </row>
    <row r="1244" customHeight="1" spans="1:202">
      <c r="A1244" s="3">
        <v>39</v>
      </c>
      <c r="B1244" s="4" t="s">
        <v>1143</v>
      </c>
      <c r="C1244" s="5" t="s">
        <v>1144</v>
      </c>
      <c r="E1244" s="4" t="s">
        <v>1137</v>
      </c>
      <c r="T1244" s="4">
        <v>2.1</v>
      </c>
      <c r="AD1244" s="4" t="s">
        <v>1145</v>
      </c>
      <c r="AH1244" s="4" t="s">
        <v>346</v>
      </c>
      <c r="AI1244" s="4" t="s">
        <v>1139</v>
      </c>
      <c r="AJ1244" s="4" t="s">
        <v>1140</v>
      </c>
      <c r="AK1244" s="4" t="s">
        <v>1141</v>
      </c>
      <c r="AM1244" s="4">
        <v>5.2</v>
      </c>
      <c r="AN1244" s="4">
        <v>11.6</v>
      </c>
      <c r="AO1244" s="4">
        <v>42.31</v>
      </c>
      <c r="AQ1244" s="4" t="s">
        <v>7</v>
      </c>
      <c r="AR1244" s="4">
        <v>0.53</v>
      </c>
      <c r="BF1244" s="4" t="s">
        <v>328</v>
      </c>
      <c r="BG1244" s="4" t="s">
        <v>1142</v>
      </c>
      <c r="BI1244" s="4" t="s">
        <v>321</v>
      </c>
      <c r="DO1244" s="4">
        <v>3</v>
      </c>
      <c r="DQ1244" s="1">
        <v>0.2197</v>
      </c>
      <c r="DR1244" s="1">
        <v>0.01763</v>
      </c>
      <c r="DS1244" s="1">
        <v>0.1385</v>
      </c>
      <c r="DT1244" s="1">
        <v>0.01951</v>
      </c>
      <c r="EC1244" s="1">
        <f t="shared" si="36"/>
        <v>36.9594902139281</v>
      </c>
      <c r="ED1244" s="1">
        <v>36.9594902139281</v>
      </c>
    </row>
    <row r="1245" customHeight="1" spans="1:202">
      <c r="A1245" s="3">
        <v>39</v>
      </c>
      <c r="B1245" s="4" t="s">
        <v>1143</v>
      </c>
      <c r="C1245" s="5" t="s">
        <v>1144</v>
      </c>
      <c r="E1245" s="4" t="s">
        <v>1137</v>
      </c>
      <c r="T1245" s="4">
        <v>2.1</v>
      </c>
      <c r="AD1245" s="4" t="s">
        <v>1145</v>
      </c>
      <c r="AH1245" s="4" t="s">
        <v>346</v>
      </c>
      <c r="AI1245" s="4" t="s">
        <v>1139</v>
      </c>
      <c r="AJ1245" s="4" t="s">
        <v>1140</v>
      </c>
      <c r="AK1245" s="4" t="s">
        <v>1141</v>
      </c>
      <c r="AM1245" s="4">
        <v>5.2</v>
      </c>
      <c r="AN1245" s="4">
        <v>11.6</v>
      </c>
      <c r="AO1245" s="4">
        <v>42.31</v>
      </c>
      <c r="AQ1245" s="4" t="s">
        <v>7</v>
      </c>
      <c r="AR1245" s="4">
        <v>0.53</v>
      </c>
      <c r="BF1245" s="4" t="s">
        <v>328</v>
      </c>
      <c r="BG1245" s="4" t="s">
        <v>1142</v>
      </c>
      <c r="BI1245" s="4" t="s">
        <v>321</v>
      </c>
      <c r="DO1245" s="4">
        <v>3</v>
      </c>
      <c r="DQ1245" s="1">
        <v>0.2197</v>
      </c>
      <c r="DR1245" s="1">
        <v>0.01763</v>
      </c>
      <c r="DS1245" s="1">
        <v>0.1165</v>
      </c>
      <c r="DT1245" s="1">
        <v>0.00504</v>
      </c>
      <c r="EC1245" s="1">
        <f t="shared" si="36"/>
        <v>46.9731451979973</v>
      </c>
      <c r="ED1245" s="1">
        <v>46.9731451979973</v>
      </c>
    </row>
    <row r="1246" customHeight="1" spans="1:202">
      <c r="A1246" s="3">
        <v>39</v>
      </c>
      <c r="B1246" s="4" t="s">
        <v>1143</v>
      </c>
      <c r="C1246" s="5" t="s">
        <v>1144</v>
      </c>
      <c r="E1246" s="4" t="s">
        <v>1137</v>
      </c>
      <c r="T1246" s="4">
        <v>2.1</v>
      </c>
      <c r="AD1246" s="4" t="s">
        <v>1145</v>
      </c>
      <c r="AH1246" s="4" t="s">
        <v>346</v>
      </c>
      <c r="AI1246" s="4" t="s">
        <v>1139</v>
      </c>
      <c r="AJ1246" s="4" t="s">
        <v>1140</v>
      </c>
      <c r="AK1246" s="4" t="s">
        <v>1141</v>
      </c>
      <c r="AM1246" s="4">
        <v>5.2</v>
      </c>
      <c r="AN1246" s="4">
        <v>11.6</v>
      </c>
      <c r="AO1246" s="4">
        <v>42.31</v>
      </c>
      <c r="AQ1246" s="4" t="s">
        <v>7</v>
      </c>
      <c r="AR1246" s="4">
        <v>0.53</v>
      </c>
      <c r="BF1246" s="4" t="s">
        <v>328</v>
      </c>
      <c r="BG1246" s="4" t="s">
        <v>1142</v>
      </c>
      <c r="BI1246" s="4" t="s">
        <v>321</v>
      </c>
      <c r="DO1246" s="4">
        <v>3</v>
      </c>
      <c r="DQ1246" s="1">
        <v>0.2197</v>
      </c>
      <c r="DR1246" s="1">
        <v>0.01763</v>
      </c>
      <c r="DS1246" s="1">
        <v>0.0799</v>
      </c>
      <c r="DT1246" s="1">
        <v>0.01133</v>
      </c>
      <c r="EC1246" s="1">
        <f t="shared" si="36"/>
        <v>63.6322257624033</v>
      </c>
      <c r="ED1246" s="1">
        <v>63.6322257624033</v>
      </c>
    </row>
    <row r="1247" customHeight="1" spans="1:202">
      <c r="A1247" s="39">
        <v>40</v>
      </c>
      <c r="B1247" s="4" t="s">
        <v>1146</v>
      </c>
      <c r="C1247" s="5" t="s">
        <v>912</v>
      </c>
      <c r="N1247" s="4" t="s">
        <v>567</v>
      </c>
      <c r="O1247" s="4" t="s">
        <v>343</v>
      </c>
      <c r="Q1247" s="4" t="s">
        <v>540</v>
      </c>
      <c r="X1247" s="4">
        <v>0.76</v>
      </c>
      <c r="AB1247" s="4" t="s">
        <v>1147</v>
      </c>
      <c r="AE1247" s="4" t="s">
        <v>1148</v>
      </c>
      <c r="AF1247" s="63" t="s">
        <v>1149</v>
      </c>
      <c r="AH1247" s="4" t="s">
        <v>371</v>
      </c>
      <c r="AI1247" s="4" t="s">
        <v>1058</v>
      </c>
      <c r="AM1247" s="4" t="s">
        <v>1150</v>
      </c>
      <c r="AQ1247" s="4" t="s">
        <v>464</v>
      </c>
      <c r="AR1247" s="4" t="s">
        <v>1151</v>
      </c>
      <c r="AS1247" s="4" t="s">
        <v>465</v>
      </c>
      <c r="AT1247" s="4" t="s">
        <v>1152</v>
      </c>
      <c r="BD1247" s="4" t="s">
        <v>1153</v>
      </c>
      <c r="BI1247" s="4" t="s">
        <v>321</v>
      </c>
      <c r="BK1247" s="4">
        <v>25</v>
      </c>
      <c r="BM1247" s="4">
        <v>0.025</v>
      </c>
      <c r="BV1247" s="4">
        <v>360</v>
      </c>
      <c r="CB1247" s="4" t="s">
        <v>12</v>
      </c>
      <c r="CC1247" s="4" t="s">
        <v>1154</v>
      </c>
      <c r="DB1247" s="4" t="s">
        <v>951</v>
      </c>
      <c r="DC1247" s="4" t="s">
        <v>1155</v>
      </c>
      <c r="DE1247" s="4">
        <v>72.9</v>
      </c>
      <c r="DO1247" s="4">
        <v>3</v>
      </c>
      <c r="GT1247" s="29">
        <v>72.62</v>
      </c>
    </row>
    <row r="1248" customHeight="1" spans="1:202">
      <c r="A1248" s="39">
        <v>40</v>
      </c>
      <c r="B1248" s="4" t="s">
        <v>1146</v>
      </c>
      <c r="C1248" s="5" t="s">
        <v>912</v>
      </c>
      <c r="N1248" s="4" t="s">
        <v>567</v>
      </c>
      <c r="O1248" s="4" t="s">
        <v>343</v>
      </c>
      <c r="Q1248" s="4" t="s">
        <v>540</v>
      </c>
      <c r="X1248" s="4">
        <v>0.76</v>
      </c>
      <c r="AB1248" s="4" t="s">
        <v>1147</v>
      </c>
      <c r="AE1248" s="4" t="s">
        <v>1148</v>
      </c>
      <c r="AF1248" s="63" t="s">
        <v>1149</v>
      </c>
      <c r="AH1248" s="4" t="s">
        <v>371</v>
      </c>
      <c r="AI1248" s="4" t="s">
        <v>1058</v>
      </c>
      <c r="AM1248" s="4" t="s">
        <v>1150</v>
      </c>
      <c r="AQ1248" s="4" t="s">
        <v>464</v>
      </c>
      <c r="AR1248" s="4" t="s">
        <v>1151</v>
      </c>
      <c r="AS1248" s="4" t="s">
        <v>465</v>
      </c>
      <c r="AT1248" s="4" t="s">
        <v>1152</v>
      </c>
      <c r="BD1248" s="4" t="s">
        <v>1153</v>
      </c>
      <c r="BI1248" s="4" t="s">
        <v>321</v>
      </c>
      <c r="BK1248" s="4">
        <v>25</v>
      </c>
      <c r="BM1248" s="4">
        <v>0.025</v>
      </c>
      <c r="BV1248" s="4">
        <v>360</v>
      </c>
      <c r="CB1248" s="4" t="s">
        <v>11</v>
      </c>
      <c r="CC1248" s="4" t="s">
        <v>1154</v>
      </c>
      <c r="DB1248" s="4" t="s">
        <v>951</v>
      </c>
      <c r="DC1248" s="4" t="s">
        <v>1155</v>
      </c>
      <c r="DE1248" s="4">
        <v>71.69</v>
      </c>
      <c r="DO1248" s="4">
        <v>3</v>
      </c>
      <c r="GE1248" s="29">
        <v>71.69</v>
      </c>
    </row>
    <row r="1249" customHeight="1" spans="1:313">
      <c r="A1249" s="39">
        <v>40</v>
      </c>
      <c r="B1249" s="4" t="s">
        <v>1146</v>
      </c>
      <c r="C1249" s="5" t="s">
        <v>912</v>
      </c>
      <c r="N1249" s="4" t="s">
        <v>567</v>
      </c>
      <c r="O1249" s="4" t="s">
        <v>343</v>
      </c>
      <c r="Q1249" s="4" t="s">
        <v>540</v>
      </c>
      <c r="X1249" s="4">
        <v>0.76</v>
      </c>
      <c r="AB1249" s="4" t="s">
        <v>1147</v>
      </c>
      <c r="AE1249" s="4" t="s">
        <v>1148</v>
      </c>
      <c r="AF1249" s="63" t="s">
        <v>1149</v>
      </c>
      <c r="AH1249" s="4" t="s">
        <v>371</v>
      </c>
      <c r="AI1249" s="4" t="s">
        <v>1058</v>
      </c>
      <c r="AM1249" s="4" t="s">
        <v>1150</v>
      </c>
      <c r="AQ1249" s="4" t="s">
        <v>464</v>
      </c>
      <c r="AR1249" s="4" t="s">
        <v>1151</v>
      </c>
      <c r="AS1249" s="4" t="s">
        <v>465</v>
      </c>
      <c r="AT1249" s="4" t="s">
        <v>1152</v>
      </c>
      <c r="BD1249" s="4" t="s">
        <v>1153</v>
      </c>
      <c r="BI1249" s="4" t="s">
        <v>321</v>
      </c>
      <c r="BK1249" s="4">
        <v>25</v>
      </c>
      <c r="BL1249" s="4">
        <v>1</v>
      </c>
      <c r="BM1249" s="4">
        <v>0.025</v>
      </c>
      <c r="BN1249" s="4">
        <v>1</v>
      </c>
      <c r="BV1249" s="4" t="s">
        <v>427</v>
      </c>
      <c r="CB1249" s="4" t="s">
        <v>12</v>
      </c>
      <c r="CC1249" s="4">
        <v>200</v>
      </c>
      <c r="CV1249" s="4">
        <v>180</v>
      </c>
      <c r="CX1249" s="4" t="s">
        <v>314</v>
      </c>
      <c r="CZ1249" s="4" t="s">
        <v>328</v>
      </c>
      <c r="DA1249" s="4" t="s">
        <v>1156</v>
      </c>
      <c r="DM1249" s="4">
        <v>300</v>
      </c>
      <c r="DO1249" s="4">
        <v>3</v>
      </c>
      <c r="GT1249" s="4">
        <v>57.22</v>
      </c>
      <c r="GZ1249" s="1">
        <f>GT1249/2</f>
        <v>28.61</v>
      </c>
      <c r="HA1249" s="1">
        <v>28.61</v>
      </c>
    </row>
    <row r="1250" customHeight="1" spans="1:313">
      <c r="A1250" s="39">
        <v>40</v>
      </c>
      <c r="B1250" s="4" t="s">
        <v>1146</v>
      </c>
      <c r="C1250" s="5" t="s">
        <v>912</v>
      </c>
      <c r="N1250" s="4" t="s">
        <v>567</v>
      </c>
      <c r="O1250" s="4" t="s">
        <v>343</v>
      </c>
      <c r="Q1250" s="4" t="s">
        <v>540</v>
      </c>
      <c r="X1250" s="4">
        <v>0.76</v>
      </c>
      <c r="AB1250" s="4" t="s">
        <v>1147</v>
      </c>
      <c r="AE1250" s="4" t="s">
        <v>1148</v>
      </c>
      <c r="AF1250" s="63" t="s">
        <v>1149</v>
      </c>
      <c r="AH1250" s="4" t="s">
        <v>371</v>
      </c>
      <c r="AI1250" s="4" t="s">
        <v>1058</v>
      </c>
      <c r="AM1250" s="4" t="s">
        <v>1150</v>
      </c>
      <c r="AQ1250" s="4" t="s">
        <v>464</v>
      </c>
      <c r="AR1250" s="4" t="s">
        <v>1151</v>
      </c>
      <c r="AS1250" s="4" t="s">
        <v>465</v>
      </c>
      <c r="AT1250" s="4" t="s">
        <v>1152</v>
      </c>
      <c r="BD1250" s="4" t="s">
        <v>1153</v>
      </c>
      <c r="BI1250" s="4" t="s">
        <v>321</v>
      </c>
      <c r="BK1250" s="4">
        <v>25</v>
      </c>
      <c r="BL1250" s="4">
        <v>1</v>
      </c>
      <c r="BM1250" s="4">
        <v>0.025</v>
      </c>
      <c r="BN1250" s="4">
        <v>1</v>
      </c>
      <c r="BV1250" s="4" t="s">
        <v>427</v>
      </c>
      <c r="CB1250" s="4" t="s">
        <v>11</v>
      </c>
      <c r="CC1250" s="4">
        <v>200</v>
      </c>
      <c r="CV1250" s="4">
        <v>180</v>
      </c>
      <c r="CX1250" s="4" t="s">
        <v>314</v>
      </c>
      <c r="CZ1250" s="4" t="s">
        <v>328</v>
      </c>
      <c r="DA1250" s="4" t="s">
        <v>1156</v>
      </c>
      <c r="DM1250" s="4">
        <v>300</v>
      </c>
      <c r="DO1250" s="4">
        <v>3</v>
      </c>
      <c r="GE1250" s="4">
        <v>61.08</v>
      </c>
      <c r="GK1250" s="1">
        <f>GE1250*1/2</f>
        <v>30.54</v>
      </c>
      <c r="GL1250" s="1">
        <v>30.54</v>
      </c>
    </row>
    <row r="1251" customHeight="1" spans="1:313">
      <c r="A1251" s="39">
        <v>40</v>
      </c>
      <c r="B1251" s="4" t="s">
        <v>1146</v>
      </c>
      <c r="C1251" s="5" t="s">
        <v>1157</v>
      </c>
      <c r="D1251" s="4" t="s">
        <v>300</v>
      </c>
      <c r="E1251" s="4" t="s">
        <v>1158</v>
      </c>
      <c r="N1251" s="4" t="s">
        <v>567</v>
      </c>
      <c r="O1251" s="4" t="s">
        <v>343</v>
      </c>
      <c r="Q1251" s="4" t="s">
        <v>540</v>
      </c>
      <c r="X1251" s="4">
        <v>0.77</v>
      </c>
      <c r="AB1251" s="4" t="s">
        <v>1159</v>
      </c>
      <c r="AC1251" s="4" t="s">
        <v>1160</v>
      </c>
      <c r="AD1251" s="4" t="s">
        <v>1161</v>
      </c>
      <c r="AE1251" s="4" t="s">
        <v>1162</v>
      </c>
      <c r="AF1251" s="63" t="s">
        <v>1163</v>
      </c>
      <c r="AH1251" s="4" t="s">
        <v>371</v>
      </c>
      <c r="AI1251" s="4" t="s">
        <v>1058</v>
      </c>
      <c r="AM1251" s="4" t="s">
        <v>1150</v>
      </c>
      <c r="AQ1251" s="4" t="s">
        <v>464</v>
      </c>
      <c r="AR1251" s="4" t="s">
        <v>1151</v>
      </c>
      <c r="AS1251" s="4" t="s">
        <v>465</v>
      </c>
      <c r="AT1251" s="4" t="s">
        <v>1152</v>
      </c>
      <c r="BD1251" s="4" t="s">
        <v>1153</v>
      </c>
      <c r="DO1251" s="4">
        <v>3</v>
      </c>
      <c r="GP1251" s="1">
        <v>4.83</v>
      </c>
      <c r="KZ1251" s="1" t="s">
        <v>12</v>
      </c>
      <c r="LA1251" s="1" t="s">
        <v>1164</v>
      </c>
    </row>
    <row r="1252" customHeight="1" spans="1:313">
      <c r="A1252" s="39">
        <v>40</v>
      </c>
      <c r="B1252" s="4" t="s">
        <v>1146</v>
      </c>
      <c r="C1252" s="5" t="s">
        <v>1157</v>
      </c>
      <c r="D1252" s="4" t="s">
        <v>300</v>
      </c>
      <c r="E1252" s="4" t="s">
        <v>1158</v>
      </c>
      <c r="N1252" s="4" t="s">
        <v>567</v>
      </c>
      <c r="O1252" s="4" t="s">
        <v>343</v>
      </c>
      <c r="Q1252" s="4" t="s">
        <v>540</v>
      </c>
      <c r="X1252" s="4">
        <v>0.77</v>
      </c>
      <c r="AB1252" s="4" t="s">
        <v>1159</v>
      </c>
      <c r="AC1252" s="4" t="s">
        <v>1160</v>
      </c>
      <c r="AD1252" s="4" t="s">
        <v>1161</v>
      </c>
      <c r="AE1252" s="4" t="s">
        <v>1162</v>
      </c>
      <c r="AF1252" s="63" t="s">
        <v>1163</v>
      </c>
      <c r="AH1252" s="4" t="s">
        <v>371</v>
      </c>
      <c r="AI1252" s="4" t="s">
        <v>1058</v>
      </c>
      <c r="AM1252" s="4" t="s">
        <v>1150</v>
      </c>
      <c r="AQ1252" s="4" t="s">
        <v>464</v>
      </c>
      <c r="AR1252" s="4" t="s">
        <v>1151</v>
      </c>
      <c r="AS1252" s="4" t="s">
        <v>465</v>
      </c>
      <c r="AT1252" s="4" t="s">
        <v>1152</v>
      </c>
      <c r="BD1252" s="4" t="s">
        <v>1153</v>
      </c>
      <c r="DO1252" s="4">
        <v>3</v>
      </c>
      <c r="GA1252" s="1">
        <v>1.2</v>
      </c>
      <c r="KZ1252" s="1" t="s">
        <v>11</v>
      </c>
      <c r="LA1252" s="1" t="s">
        <v>1164</v>
      </c>
    </row>
    <row r="1253" customHeight="1" spans="1:313">
      <c r="A1253" s="39">
        <v>40</v>
      </c>
      <c r="B1253" s="4" t="s">
        <v>1146</v>
      </c>
      <c r="C1253" s="5" t="s">
        <v>1157</v>
      </c>
      <c r="D1253" s="4" t="s">
        <v>300</v>
      </c>
      <c r="E1253" s="4" t="s">
        <v>1158</v>
      </c>
      <c r="N1253" s="4" t="s">
        <v>567</v>
      </c>
      <c r="O1253" s="4" t="s">
        <v>343</v>
      </c>
      <c r="Q1253" s="4" t="s">
        <v>540</v>
      </c>
      <c r="X1253" s="4">
        <v>0.77</v>
      </c>
      <c r="AB1253" s="4" t="s">
        <v>1159</v>
      </c>
      <c r="AC1253" s="4" t="s">
        <v>1160</v>
      </c>
      <c r="AD1253" s="4" t="s">
        <v>1161</v>
      </c>
      <c r="AE1253" s="4" t="s">
        <v>1162</v>
      </c>
      <c r="AF1253" s="63" t="s">
        <v>1163</v>
      </c>
      <c r="AH1253" s="4" t="s">
        <v>371</v>
      </c>
      <c r="AI1253" s="4" t="s">
        <v>1058</v>
      </c>
      <c r="AM1253" s="4" t="s">
        <v>1150</v>
      </c>
      <c r="AQ1253" s="4" t="s">
        <v>464</v>
      </c>
      <c r="AR1253" s="4" t="s">
        <v>1151</v>
      </c>
      <c r="AS1253" s="4" t="s">
        <v>465</v>
      </c>
      <c r="AT1253" s="4" t="s">
        <v>1152</v>
      </c>
      <c r="BD1253" s="4" t="s">
        <v>1153</v>
      </c>
      <c r="BI1253" s="4" t="s">
        <v>321</v>
      </c>
      <c r="BK1253" s="4">
        <v>25</v>
      </c>
      <c r="BM1253" s="4">
        <v>0.025</v>
      </c>
      <c r="BV1253" s="4">
        <v>360</v>
      </c>
      <c r="CB1253" s="4" t="s">
        <v>12</v>
      </c>
      <c r="CC1253" s="4" t="s">
        <v>1154</v>
      </c>
      <c r="DB1253" s="4" t="s">
        <v>951</v>
      </c>
      <c r="DC1253" s="4" t="s">
        <v>1155</v>
      </c>
      <c r="DE1253" s="4">
        <v>89.35</v>
      </c>
      <c r="DO1253" s="4">
        <v>3</v>
      </c>
      <c r="GT1253" s="4">
        <v>89.22</v>
      </c>
    </row>
    <row r="1254" customHeight="1" spans="1:313">
      <c r="A1254" s="39">
        <v>40</v>
      </c>
      <c r="B1254" s="4" t="s">
        <v>1146</v>
      </c>
      <c r="C1254" s="5" t="s">
        <v>1157</v>
      </c>
      <c r="D1254" s="4" t="s">
        <v>300</v>
      </c>
      <c r="E1254" s="4" t="s">
        <v>1158</v>
      </c>
      <c r="N1254" s="4" t="s">
        <v>567</v>
      </c>
      <c r="O1254" s="4" t="s">
        <v>343</v>
      </c>
      <c r="Q1254" s="4" t="s">
        <v>540</v>
      </c>
      <c r="X1254" s="4">
        <v>0.77</v>
      </c>
      <c r="AB1254" s="4" t="s">
        <v>1159</v>
      </c>
      <c r="AC1254" s="4" t="s">
        <v>1160</v>
      </c>
      <c r="AD1254" s="4" t="s">
        <v>1161</v>
      </c>
      <c r="AE1254" s="4" t="s">
        <v>1162</v>
      </c>
      <c r="AF1254" s="63" t="s">
        <v>1163</v>
      </c>
      <c r="AH1254" s="4" t="s">
        <v>371</v>
      </c>
      <c r="AI1254" s="4" t="s">
        <v>1058</v>
      </c>
      <c r="AM1254" s="4" t="s">
        <v>1150</v>
      </c>
      <c r="AQ1254" s="4" t="s">
        <v>464</v>
      </c>
      <c r="AR1254" s="4" t="s">
        <v>1151</v>
      </c>
      <c r="AS1254" s="4" t="s">
        <v>465</v>
      </c>
      <c r="AT1254" s="4" t="s">
        <v>1152</v>
      </c>
      <c r="BD1254" s="4" t="s">
        <v>1153</v>
      </c>
      <c r="BI1254" s="4" t="s">
        <v>321</v>
      </c>
      <c r="BK1254" s="4">
        <v>25</v>
      </c>
      <c r="BM1254" s="4">
        <v>0.025</v>
      </c>
      <c r="BV1254" s="4">
        <v>360</v>
      </c>
      <c r="CB1254" s="4" t="s">
        <v>11</v>
      </c>
      <c r="CC1254" s="4" t="s">
        <v>1154</v>
      </c>
      <c r="DB1254" s="4" t="s">
        <v>951</v>
      </c>
      <c r="DC1254" s="4" t="s">
        <v>1155</v>
      </c>
      <c r="DE1254" s="4">
        <v>89.7</v>
      </c>
      <c r="DO1254" s="4">
        <v>3</v>
      </c>
      <c r="GE1254" s="29">
        <v>87.35</v>
      </c>
    </row>
    <row r="1255" customHeight="1" spans="1:313">
      <c r="A1255" s="39">
        <v>40</v>
      </c>
      <c r="B1255" s="4" t="s">
        <v>1146</v>
      </c>
      <c r="C1255" s="5" t="s">
        <v>1157</v>
      </c>
      <c r="D1255" s="4" t="s">
        <v>300</v>
      </c>
      <c r="E1255" s="4" t="s">
        <v>1158</v>
      </c>
      <c r="N1255" s="4" t="s">
        <v>567</v>
      </c>
      <c r="O1255" s="4" t="s">
        <v>343</v>
      </c>
      <c r="Q1255" s="4" t="s">
        <v>540</v>
      </c>
      <c r="X1255" s="4">
        <v>0.77</v>
      </c>
      <c r="AB1255" s="4" t="s">
        <v>1159</v>
      </c>
      <c r="AC1255" s="4" t="s">
        <v>1160</v>
      </c>
      <c r="AD1255" s="4" t="s">
        <v>1161</v>
      </c>
      <c r="AE1255" s="4" t="s">
        <v>1162</v>
      </c>
      <c r="AF1255" s="63" t="s">
        <v>1163</v>
      </c>
      <c r="AH1255" s="4" t="s">
        <v>371</v>
      </c>
      <c r="AI1255" s="4" t="s">
        <v>1058</v>
      </c>
      <c r="AM1255" s="4" t="s">
        <v>1150</v>
      </c>
      <c r="AQ1255" s="4" t="s">
        <v>464</v>
      </c>
      <c r="AR1255" s="4" t="s">
        <v>1151</v>
      </c>
      <c r="AS1255" s="4" t="s">
        <v>465</v>
      </c>
      <c r="AT1255" s="4" t="s">
        <v>1152</v>
      </c>
      <c r="BD1255" s="4" t="s">
        <v>1153</v>
      </c>
      <c r="BI1255" s="4" t="s">
        <v>321</v>
      </c>
      <c r="BK1255" s="4">
        <v>25</v>
      </c>
      <c r="BL1255" s="4">
        <v>1</v>
      </c>
      <c r="BM1255" s="4">
        <v>0.025</v>
      </c>
      <c r="BN1255" s="4">
        <v>1</v>
      </c>
      <c r="BV1255" s="4" t="s">
        <v>427</v>
      </c>
      <c r="CB1255" s="4" t="s">
        <v>12</v>
      </c>
      <c r="CC1255" s="4">
        <v>200</v>
      </c>
      <c r="CV1255" s="4">
        <v>180</v>
      </c>
      <c r="CX1255" s="4" t="s">
        <v>314</v>
      </c>
      <c r="CZ1255" s="4" t="s">
        <v>328</v>
      </c>
      <c r="DA1255" s="4" t="s">
        <v>1156</v>
      </c>
      <c r="DM1255" s="4">
        <v>300</v>
      </c>
      <c r="DO1255" s="4">
        <v>3</v>
      </c>
      <c r="GT1255" s="4">
        <v>78.74</v>
      </c>
      <c r="GZ1255" s="1">
        <f>GT1255/2</f>
        <v>39.37</v>
      </c>
      <c r="HA1255" s="1">
        <v>39.37</v>
      </c>
    </row>
    <row r="1256" customHeight="1" spans="1:313">
      <c r="A1256" s="39">
        <v>40</v>
      </c>
      <c r="B1256" s="4" t="s">
        <v>1146</v>
      </c>
      <c r="C1256" s="5" t="s">
        <v>1157</v>
      </c>
      <c r="D1256" s="4" t="s">
        <v>300</v>
      </c>
      <c r="E1256" s="4" t="s">
        <v>1158</v>
      </c>
      <c r="N1256" s="4" t="s">
        <v>567</v>
      </c>
      <c r="O1256" s="4" t="s">
        <v>343</v>
      </c>
      <c r="Q1256" s="4" t="s">
        <v>540</v>
      </c>
      <c r="X1256" s="4">
        <v>0.77</v>
      </c>
      <c r="AB1256" s="4" t="s">
        <v>1159</v>
      </c>
      <c r="AC1256" s="4" t="s">
        <v>1160</v>
      </c>
      <c r="AD1256" s="4" t="s">
        <v>1161</v>
      </c>
      <c r="AE1256" s="4" t="s">
        <v>1162</v>
      </c>
      <c r="AF1256" s="63" t="s">
        <v>1163</v>
      </c>
      <c r="AH1256" s="4" t="s">
        <v>371</v>
      </c>
      <c r="AI1256" s="4" t="s">
        <v>1058</v>
      </c>
      <c r="AM1256" s="4" t="s">
        <v>1150</v>
      </c>
      <c r="AQ1256" s="4" t="s">
        <v>464</v>
      </c>
      <c r="AR1256" s="4" t="s">
        <v>1151</v>
      </c>
      <c r="AS1256" s="4" t="s">
        <v>465</v>
      </c>
      <c r="AT1256" s="4" t="s">
        <v>1152</v>
      </c>
      <c r="BD1256" s="4" t="s">
        <v>1153</v>
      </c>
      <c r="BI1256" s="4" t="s">
        <v>321</v>
      </c>
      <c r="BK1256" s="4">
        <v>25</v>
      </c>
      <c r="BL1256" s="4">
        <v>1</v>
      </c>
      <c r="BM1256" s="4">
        <v>0.025</v>
      </c>
      <c r="BN1256" s="4">
        <v>1</v>
      </c>
      <c r="BV1256" s="4" t="s">
        <v>427</v>
      </c>
      <c r="CB1256" s="4" t="s">
        <v>11</v>
      </c>
      <c r="CC1256" s="4">
        <v>200</v>
      </c>
      <c r="CV1256" s="4">
        <v>180</v>
      </c>
      <c r="CX1256" s="4" t="s">
        <v>314</v>
      </c>
      <c r="CZ1256" s="4" t="s">
        <v>328</v>
      </c>
      <c r="DA1256" s="4" t="s">
        <v>1156</v>
      </c>
      <c r="DM1256" s="4">
        <v>300</v>
      </c>
      <c r="DO1256" s="4">
        <v>3</v>
      </c>
      <c r="GE1256" s="4">
        <v>84.61</v>
      </c>
      <c r="GK1256" s="1">
        <f>GE1256*1/2</f>
        <v>42.305</v>
      </c>
      <c r="GL1256" s="1">
        <v>42.305</v>
      </c>
    </row>
    <row r="1257" customHeight="1" spans="1:313">
      <c r="A1257" s="39">
        <v>40</v>
      </c>
      <c r="B1257" s="4" t="s">
        <v>1146</v>
      </c>
      <c r="C1257" s="5" t="s">
        <v>1165</v>
      </c>
      <c r="D1257" s="4" t="s">
        <v>300</v>
      </c>
      <c r="E1257" s="4" t="s">
        <v>1166</v>
      </c>
      <c r="N1257" s="4" t="s">
        <v>567</v>
      </c>
      <c r="O1257" s="4" t="s">
        <v>343</v>
      </c>
      <c r="Q1257" s="4" t="s">
        <v>540</v>
      </c>
      <c r="X1257" s="4">
        <v>0.78</v>
      </c>
      <c r="AE1257" s="4" t="s">
        <v>1162</v>
      </c>
      <c r="AF1257" s="63" t="s">
        <v>1163</v>
      </c>
      <c r="AH1257" s="4" t="s">
        <v>371</v>
      </c>
      <c r="AI1257" s="4" t="s">
        <v>1058</v>
      </c>
      <c r="AM1257" s="4" t="s">
        <v>1150</v>
      </c>
      <c r="AQ1257" s="4" t="s">
        <v>464</v>
      </c>
      <c r="AR1257" s="4" t="s">
        <v>1151</v>
      </c>
      <c r="AS1257" s="4" t="s">
        <v>465</v>
      </c>
      <c r="AT1257" s="4" t="s">
        <v>1152</v>
      </c>
      <c r="BD1257" s="4" t="s">
        <v>1153</v>
      </c>
      <c r="BI1257" s="4" t="s">
        <v>321</v>
      </c>
      <c r="BK1257" s="4">
        <v>25</v>
      </c>
      <c r="BM1257" s="4">
        <v>0.025</v>
      </c>
      <c r="BN1257" s="4">
        <v>1</v>
      </c>
      <c r="BO1257" s="4">
        <v>0.025</v>
      </c>
      <c r="CB1257" s="4" t="s">
        <v>12</v>
      </c>
      <c r="CC1257" s="4">
        <v>200</v>
      </c>
      <c r="CR1257" s="4" t="s">
        <v>512</v>
      </c>
      <c r="CT1257" s="4">
        <v>0</v>
      </c>
      <c r="DO1257" s="4">
        <v>3</v>
      </c>
      <c r="GX1257" s="4">
        <v>99.86</v>
      </c>
      <c r="HA1257" s="4">
        <v>99.86</v>
      </c>
      <c r="KZ1257" s="1" t="s">
        <v>12</v>
      </c>
      <c r="LA1257" s="1" t="s">
        <v>1164</v>
      </c>
    </row>
    <row r="1258" customHeight="1" spans="1:313">
      <c r="A1258" s="39">
        <v>40</v>
      </c>
      <c r="B1258" s="4" t="s">
        <v>1146</v>
      </c>
      <c r="C1258" s="5" t="s">
        <v>1165</v>
      </c>
      <c r="D1258" s="4" t="s">
        <v>300</v>
      </c>
      <c r="E1258" s="4" t="s">
        <v>1166</v>
      </c>
      <c r="N1258" s="4" t="s">
        <v>567</v>
      </c>
      <c r="O1258" s="4" t="s">
        <v>343</v>
      </c>
      <c r="Q1258" s="4" t="s">
        <v>540</v>
      </c>
      <c r="X1258" s="4">
        <v>0.78</v>
      </c>
      <c r="AE1258" s="4" t="s">
        <v>1162</v>
      </c>
      <c r="AF1258" s="63" t="s">
        <v>1163</v>
      </c>
      <c r="AH1258" s="4" t="s">
        <v>371</v>
      </c>
      <c r="AI1258" s="4" t="s">
        <v>1058</v>
      </c>
      <c r="AM1258" s="4" t="s">
        <v>1150</v>
      </c>
      <c r="AQ1258" s="4" t="s">
        <v>464</v>
      </c>
      <c r="AR1258" s="4" t="s">
        <v>1151</v>
      </c>
      <c r="AS1258" s="4" t="s">
        <v>465</v>
      </c>
      <c r="AT1258" s="4" t="s">
        <v>1152</v>
      </c>
      <c r="BD1258" s="4" t="s">
        <v>1153</v>
      </c>
      <c r="BI1258" s="4" t="s">
        <v>321</v>
      </c>
      <c r="BK1258" s="4">
        <v>25</v>
      </c>
      <c r="BM1258" s="4">
        <v>0.025</v>
      </c>
      <c r="BN1258" s="4">
        <v>1</v>
      </c>
      <c r="BO1258" s="4">
        <v>0.025</v>
      </c>
      <c r="CB1258" s="4" t="s">
        <v>12</v>
      </c>
      <c r="CC1258" s="4">
        <v>200</v>
      </c>
      <c r="CR1258" s="4" t="s">
        <v>538</v>
      </c>
      <c r="CT1258" s="4">
        <v>200</v>
      </c>
      <c r="DO1258" s="4">
        <v>3</v>
      </c>
      <c r="GX1258" s="4">
        <v>98.85</v>
      </c>
      <c r="HA1258" s="4">
        <v>98.85</v>
      </c>
      <c r="KZ1258" s="1" t="s">
        <v>11</v>
      </c>
      <c r="LA1258" s="1" t="s">
        <v>1164</v>
      </c>
    </row>
    <row r="1259" customHeight="1" spans="1:313">
      <c r="A1259" s="39">
        <v>40</v>
      </c>
      <c r="B1259" s="4" t="s">
        <v>1146</v>
      </c>
      <c r="C1259" s="5" t="s">
        <v>1165</v>
      </c>
      <c r="D1259" s="4" t="s">
        <v>300</v>
      </c>
      <c r="E1259" s="4" t="s">
        <v>1166</v>
      </c>
      <c r="N1259" s="4" t="s">
        <v>567</v>
      </c>
      <c r="O1259" s="4" t="s">
        <v>343</v>
      </c>
      <c r="Q1259" s="4" t="s">
        <v>540</v>
      </c>
      <c r="X1259" s="4">
        <v>0.78</v>
      </c>
      <c r="AE1259" s="4" t="s">
        <v>1162</v>
      </c>
      <c r="AF1259" s="63" t="s">
        <v>1163</v>
      </c>
      <c r="AH1259" s="4" t="s">
        <v>371</v>
      </c>
      <c r="AI1259" s="4" t="s">
        <v>1058</v>
      </c>
      <c r="AM1259" s="4" t="s">
        <v>1150</v>
      </c>
      <c r="AQ1259" s="4" t="s">
        <v>464</v>
      </c>
      <c r="AR1259" s="4" t="s">
        <v>1151</v>
      </c>
      <c r="AS1259" s="4" t="s">
        <v>465</v>
      </c>
      <c r="AT1259" s="4" t="s">
        <v>1152</v>
      </c>
      <c r="BD1259" s="4" t="s">
        <v>1153</v>
      </c>
      <c r="BI1259" s="4" t="s">
        <v>321</v>
      </c>
      <c r="BK1259" s="4">
        <v>25</v>
      </c>
      <c r="BM1259" s="4">
        <v>0.025</v>
      </c>
      <c r="BN1259" s="4">
        <v>1</v>
      </c>
      <c r="BO1259" s="4">
        <v>0.025</v>
      </c>
      <c r="CB1259" s="4" t="s">
        <v>12</v>
      </c>
      <c r="CC1259" s="4">
        <v>200</v>
      </c>
      <c r="CR1259" s="4" t="s">
        <v>537</v>
      </c>
      <c r="CT1259" s="4">
        <v>200</v>
      </c>
      <c r="DO1259" s="4">
        <v>3</v>
      </c>
      <c r="GX1259" s="4">
        <v>97.41</v>
      </c>
      <c r="HA1259" s="4">
        <v>97.41</v>
      </c>
    </row>
    <row r="1260" customHeight="1" spans="1:313">
      <c r="A1260" s="39">
        <v>40</v>
      </c>
      <c r="B1260" s="4" t="s">
        <v>1146</v>
      </c>
      <c r="C1260" s="5" t="s">
        <v>1165</v>
      </c>
      <c r="D1260" s="4" t="s">
        <v>300</v>
      </c>
      <c r="E1260" s="4" t="s">
        <v>1166</v>
      </c>
      <c r="N1260" s="4" t="s">
        <v>567</v>
      </c>
      <c r="O1260" s="4" t="s">
        <v>343</v>
      </c>
      <c r="Q1260" s="4" t="s">
        <v>540</v>
      </c>
      <c r="X1260" s="4">
        <v>0.78</v>
      </c>
      <c r="AE1260" s="4" t="s">
        <v>1162</v>
      </c>
      <c r="AF1260" s="63" t="s">
        <v>1163</v>
      </c>
      <c r="AH1260" s="4" t="s">
        <v>371</v>
      </c>
      <c r="AI1260" s="4" t="s">
        <v>1058</v>
      </c>
      <c r="AM1260" s="4" t="s">
        <v>1150</v>
      </c>
      <c r="AQ1260" s="4" t="s">
        <v>464</v>
      </c>
      <c r="AR1260" s="4" t="s">
        <v>1151</v>
      </c>
      <c r="AS1260" s="4" t="s">
        <v>465</v>
      </c>
      <c r="AT1260" s="4" t="s">
        <v>1152</v>
      </c>
      <c r="BD1260" s="4" t="s">
        <v>1153</v>
      </c>
      <c r="BI1260" s="4" t="s">
        <v>321</v>
      </c>
      <c r="BK1260" s="4">
        <v>25</v>
      </c>
      <c r="BM1260" s="4">
        <v>0.025</v>
      </c>
      <c r="BN1260" s="4">
        <v>1</v>
      </c>
      <c r="BO1260" s="4">
        <v>0.025</v>
      </c>
      <c r="CB1260" s="4" t="s">
        <v>12</v>
      </c>
      <c r="CC1260" s="4">
        <v>200</v>
      </c>
      <c r="CR1260" s="4" t="s">
        <v>536</v>
      </c>
      <c r="CT1260" s="4">
        <v>200</v>
      </c>
      <c r="DO1260" s="4">
        <v>3</v>
      </c>
      <c r="GX1260" s="4">
        <v>93.96</v>
      </c>
      <c r="HA1260" s="4">
        <v>93.96</v>
      </c>
    </row>
    <row r="1261" customHeight="1" spans="1:313">
      <c r="A1261" s="39">
        <v>40</v>
      </c>
      <c r="B1261" s="4" t="s">
        <v>1146</v>
      </c>
      <c r="C1261" s="5" t="s">
        <v>1165</v>
      </c>
      <c r="D1261" s="4" t="s">
        <v>300</v>
      </c>
      <c r="E1261" s="4" t="s">
        <v>1166</v>
      </c>
      <c r="N1261" s="4" t="s">
        <v>567</v>
      </c>
      <c r="O1261" s="4" t="s">
        <v>343</v>
      </c>
      <c r="Q1261" s="4" t="s">
        <v>540</v>
      </c>
      <c r="X1261" s="4">
        <v>0.78</v>
      </c>
      <c r="AE1261" s="4" t="s">
        <v>1162</v>
      </c>
      <c r="AF1261" s="63" t="s">
        <v>1163</v>
      </c>
      <c r="AH1261" s="4" t="s">
        <v>371</v>
      </c>
      <c r="AI1261" s="4" t="s">
        <v>1058</v>
      </c>
      <c r="AM1261" s="4" t="s">
        <v>1150</v>
      </c>
      <c r="AQ1261" s="4" t="s">
        <v>464</v>
      </c>
      <c r="AR1261" s="4" t="s">
        <v>1151</v>
      </c>
      <c r="AS1261" s="4" t="s">
        <v>465</v>
      </c>
      <c r="AT1261" s="4" t="s">
        <v>1152</v>
      </c>
      <c r="BD1261" s="4" t="s">
        <v>1153</v>
      </c>
      <c r="BI1261" s="4" t="s">
        <v>321</v>
      </c>
      <c r="BK1261" s="4">
        <v>25</v>
      </c>
      <c r="BM1261" s="4">
        <v>0.025</v>
      </c>
      <c r="BN1261" s="4">
        <v>1</v>
      </c>
      <c r="BO1261" s="4">
        <v>0.025</v>
      </c>
      <c r="CB1261" s="4" t="s">
        <v>12</v>
      </c>
      <c r="CC1261" s="4">
        <v>200</v>
      </c>
      <c r="CR1261" s="4" t="s">
        <v>567</v>
      </c>
      <c r="CT1261" s="4">
        <v>200</v>
      </c>
      <c r="DO1261" s="4">
        <v>3</v>
      </c>
      <c r="GX1261" s="4">
        <v>91.51</v>
      </c>
      <c r="HA1261" s="4">
        <v>91.51</v>
      </c>
    </row>
    <row r="1262" customHeight="1" spans="1:313">
      <c r="A1262" s="39">
        <v>40</v>
      </c>
      <c r="B1262" s="4" t="s">
        <v>1146</v>
      </c>
      <c r="C1262" s="5" t="s">
        <v>1165</v>
      </c>
      <c r="D1262" s="4" t="s">
        <v>300</v>
      </c>
      <c r="E1262" s="4" t="s">
        <v>1166</v>
      </c>
      <c r="N1262" s="4" t="s">
        <v>567</v>
      </c>
      <c r="O1262" s="4" t="s">
        <v>343</v>
      </c>
      <c r="Q1262" s="4" t="s">
        <v>540</v>
      </c>
      <c r="X1262" s="4">
        <v>0.78</v>
      </c>
      <c r="AE1262" s="4" t="s">
        <v>1162</v>
      </c>
      <c r="AF1262" s="63" t="s">
        <v>1163</v>
      </c>
      <c r="AH1262" s="4" t="s">
        <v>371</v>
      </c>
      <c r="AI1262" s="4" t="s">
        <v>1058</v>
      </c>
      <c r="AM1262" s="4" t="s">
        <v>1150</v>
      </c>
      <c r="AQ1262" s="4" t="s">
        <v>464</v>
      </c>
      <c r="AR1262" s="4" t="s">
        <v>1151</v>
      </c>
      <c r="AS1262" s="4" t="s">
        <v>465</v>
      </c>
      <c r="AT1262" s="4" t="s">
        <v>1152</v>
      </c>
      <c r="BD1262" s="4" t="s">
        <v>1153</v>
      </c>
      <c r="BI1262" s="4" t="s">
        <v>321</v>
      </c>
      <c r="BK1262" s="4">
        <v>25</v>
      </c>
      <c r="BM1262" s="4">
        <v>0.025</v>
      </c>
      <c r="BN1262" s="4">
        <v>1</v>
      </c>
      <c r="BO1262" s="4">
        <v>0.025</v>
      </c>
      <c r="CB1262" s="4" t="s">
        <v>11</v>
      </c>
      <c r="CC1262" s="4">
        <v>200</v>
      </c>
      <c r="CR1262" s="4" t="s">
        <v>512</v>
      </c>
      <c r="CT1262" s="4">
        <v>200</v>
      </c>
      <c r="DO1262" s="4">
        <v>3</v>
      </c>
      <c r="GI1262" s="4">
        <v>99.86</v>
      </c>
      <c r="GL1262" s="4">
        <v>99.86</v>
      </c>
    </row>
    <row r="1263" customHeight="1" spans="1:313">
      <c r="A1263" s="39">
        <v>40</v>
      </c>
      <c r="B1263" s="4" t="s">
        <v>1146</v>
      </c>
      <c r="C1263" s="5" t="s">
        <v>1165</v>
      </c>
      <c r="D1263" s="4" t="s">
        <v>300</v>
      </c>
      <c r="E1263" s="4" t="s">
        <v>1166</v>
      </c>
      <c r="N1263" s="4" t="s">
        <v>567</v>
      </c>
      <c r="O1263" s="4" t="s">
        <v>343</v>
      </c>
      <c r="Q1263" s="4" t="s">
        <v>540</v>
      </c>
      <c r="X1263" s="4">
        <v>0.78</v>
      </c>
      <c r="AE1263" s="4" t="s">
        <v>1162</v>
      </c>
      <c r="AF1263" s="63" t="s">
        <v>1163</v>
      </c>
      <c r="AH1263" s="4" t="s">
        <v>371</v>
      </c>
      <c r="AI1263" s="4" t="s">
        <v>1058</v>
      </c>
      <c r="AM1263" s="4" t="s">
        <v>1150</v>
      </c>
      <c r="AQ1263" s="4" t="s">
        <v>464</v>
      </c>
      <c r="AR1263" s="4" t="s">
        <v>1151</v>
      </c>
      <c r="AS1263" s="4" t="s">
        <v>465</v>
      </c>
      <c r="AT1263" s="4" t="s">
        <v>1152</v>
      </c>
      <c r="BD1263" s="4" t="s">
        <v>1153</v>
      </c>
      <c r="BI1263" s="4" t="s">
        <v>321</v>
      </c>
      <c r="BK1263" s="4">
        <v>25</v>
      </c>
      <c r="BM1263" s="4">
        <v>0.025</v>
      </c>
      <c r="BN1263" s="4">
        <v>1</v>
      </c>
      <c r="BO1263" s="4">
        <v>0.025</v>
      </c>
      <c r="CB1263" s="4" t="s">
        <v>11</v>
      </c>
      <c r="CC1263" s="4">
        <v>200</v>
      </c>
      <c r="CR1263" s="4" t="s">
        <v>538</v>
      </c>
      <c r="CT1263" s="4">
        <v>200</v>
      </c>
      <c r="DO1263" s="4">
        <v>3</v>
      </c>
      <c r="GI1263" s="4">
        <v>99.28</v>
      </c>
      <c r="GL1263" s="4">
        <v>99.28</v>
      </c>
    </row>
    <row r="1264" customHeight="1" spans="1:313">
      <c r="A1264" s="39">
        <v>40</v>
      </c>
      <c r="B1264" s="4" t="s">
        <v>1146</v>
      </c>
      <c r="C1264" s="5" t="s">
        <v>1165</v>
      </c>
      <c r="D1264" s="4" t="s">
        <v>300</v>
      </c>
      <c r="E1264" s="4" t="s">
        <v>1166</v>
      </c>
      <c r="N1264" s="4" t="s">
        <v>567</v>
      </c>
      <c r="O1264" s="4" t="s">
        <v>343</v>
      </c>
      <c r="Q1264" s="4" t="s">
        <v>540</v>
      </c>
      <c r="X1264" s="4">
        <v>0.78</v>
      </c>
      <c r="AE1264" s="4" t="s">
        <v>1162</v>
      </c>
      <c r="AF1264" s="63" t="s">
        <v>1163</v>
      </c>
      <c r="AH1264" s="4" t="s">
        <v>371</v>
      </c>
      <c r="AI1264" s="4" t="s">
        <v>1058</v>
      </c>
      <c r="AM1264" s="4" t="s">
        <v>1150</v>
      </c>
      <c r="AQ1264" s="4" t="s">
        <v>464</v>
      </c>
      <c r="AR1264" s="4" t="s">
        <v>1151</v>
      </c>
      <c r="AS1264" s="4" t="s">
        <v>465</v>
      </c>
      <c r="AT1264" s="4" t="s">
        <v>1152</v>
      </c>
      <c r="BD1264" s="4" t="s">
        <v>1153</v>
      </c>
      <c r="BI1264" s="4" t="s">
        <v>321</v>
      </c>
      <c r="BK1264" s="4">
        <v>25</v>
      </c>
      <c r="BM1264" s="4">
        <v>0.025</v>
      </c>
      <c r="BN1264" s="4">
        <v>1</v>
      </c>
      <c r="BO1264" s="4">
        <v>0.025</v>
      </c>
      <c r="CB1264" s="4" t="s">
        <v>11</v>
      </c>
      <c r="CC1264" s="4">
        <v>200</v>
      </c>
      <c r="CR1264" s="4" t="s">
        <v>537</v>
      </c>
      <c r="CT1264" s="4">
        <v>200</v>
      </c>
      <c r="DO1264" s="4">
        <v>3</v>
      </c>
      <c r="GI1264" s="4">
        <v>96.98</v>
      </c>
      <c r="GL1264" s="4">
        <v>96.98</v>
      </c>
    </row>
    <row r="1265" customHeight="1" spans="1:209">
      <c r="A1265" s="39">
        <v>40</v>
      </c>
      <c r="B1265" s="4" t="s">
        <v>1146</v>
      </c>
      <c r="C1265" s="5" t="s">
        <v>1165</v>
      </c>
      <c r="D1265" s="4" t="s">
        <v>300</v>
      </c>
      <c r="E1265" s="4" t="s">
        <v>1166</v>
      </c>
      <c r="N1265" s="4" t="s">
        <v>567</v>
      </c>
      <c r="O1265" s="4" t="s">
        <v>343</v>
      </c>
      <c r="Q1265" s="4" t="s">
        <v>540</v>
      </c>
      <c r="X1265" s="4">
        <v>0.78</v>
      </c>
      <c r="AE1265" s="4" t="s">
        <v>1162</v>
      </c>
      <c r="AF1265" s="63" t="s">
        <v>1163</v>
      </c>
      <c r="AH1265" s="4" t="s">
        <v>371</v>
      </c>
      <c r="AI1265" s="4" t="s">
        <v>1058</v>
      </c>
      <c r="AM1265" s="4" t="s">
        <v>1150</v>
      </c>
      <c r="AQ1265" s="4" t="s">
        <v>464</v>
      </c>
      <c r="AR1265" s="4" t="s">
        <v>1151</v>
      </c>
      <c r="AS1265" s="4" t="s">
        <v>465</v>
      </c>
      <c r="AT1265" s="4" t="s">
        <v>1152</v>
      </c>
      <c r="BD1265" s="4" t="s">
        <v>1153</v>
      </c>
      <c r="BI1265" s="4" t="s">
        <v>321</v>
      </c>
      <c r="BK1265" s="4">
        <v>25</v>
      </c>
      <c r="BM1265" s="4">
        <v>0.025</v>
      </c>
      <c r="BN1265" s="4">
        <v>1</v>
      </c>
      <c r="BO1265" s="4">
        <v>0.025</v>
      </c>
      <c r="CB1265" s="4" t="s">
        <v>11</v>
      </c>
      <c r="CC1265" s="4">
        <v>200</v>
      </c>
      <c r="CR1265" s="4" t="s">
        <v>536</v>
      </c>
      <c r="CT1265" s="4">
        <v>200</v>
      </c>
      <c r="DO1265" s="4">
        <v>3</v>
      </c>
      <c r="GI1265" s="4">
        <v>92.66</v>
      </c>
      <c r="GL1265" s="4">
        <v>92.66</v>
      </c>
    </row>
    <row r="1266" customHeight="1" spans="1:209">
      <c r="A1266" s="39">
        <v>40</v>
      </c>
      <c r="B1266" s="4" t="s">
        <v>1146</v>
      </c>
      <c r="C1266" s="5" t="s">
        <v>1165</v>
      </c>
      <c r="D1266" s="4" t="s">
        <v>300</v>
      </c>
      <c r="E1266" s="4" t="s">
        <v>1166</v>
      </c>
      <c r="N1266" s="4" t="s">
        <v>567</v>
      </c>
      <c r="O1266" s="4" t="s">
        <v>343</v>
      </c>
      <c r="Q1266" s="4" t="s">
        <v>540</v>
      </c>
      <c r="X1266" s="4">
        <v>0.78</v>
      </c>
      <c r="AE1266" s="4" t="s">
        <v>1162</v>
      </c>
      <c r="AF1266" s="63" t="s">
        <v>1163</v>
      </c>
      <c r="AH1266" s="4" t="s">
        <v>371</v>
      </c>
      <c r="AI1266" s="4" t="s">
        <v>1058</v>
      </c>
      <c r="AM1266" s="4" t="s">
        <v>1150</v>
      </c>
      <c r="AQ1266" s="4" t="s">
        <v>464</v>
      </c>
      <c r="AR1266" s="4" t="s">
        <v>1151</v>
      </c>
      <c r="AS1266" s="4" t="s">
        <v>465</v>
      </c>
      <c r="AT1266" s="4" t="s">
        <v>1152</v>
      </c>
      <c r="BD1266" s="4" t="s">
        <v>1153</v>
      </c>
      <c r="BI1266" s="4" t="s">
        <v>321</v>
      </c>
      <c r="BK1266" s="4">
        <v>25</v>
      </c>
      <c r="BM1266" s="4">
        <v>0.025</v>
      </c>
      <c r="BN1266" s="4">
        <v>1</v>
      </c>
      <c r="BO1266" s="4">
        <v>0.025</v>
      </c>
      <c r="CB1266" s="4" t="s">
        <v>11</v>
      </c>
      <c r="CC1266" s="4">
        <v>200</v>
      </c>
      <c r="CR1266" s="4" t="s">
        <v>567</v>
      </c>
      <c r="CT1266" s="4">
        <v>200</v>
      </c>
      <c r="DO1266" s="4">
        <v>3</v>
      </c>
      <c r="GI1266" s="4">
        <v>90.5</v>
      </c>
      <c r="GL1266" s="4">
        <v>90.5</v>
      </c>
    </row>
    <row r="1267" customHeight="1" spans="1:209">
      <c r="A1267" s="39">
        <v>40</v>
      </c>
      <c r="B1267" s="4" t="s">
        <v>1146</v>
      </c>
      <c r="C1267" s="5" t="s">
        <v>1165</v>
      </c>
      <c r="D1267" s="4" t="s">
        <v>300</v>
      </c>
      <c r="E1267" s="4" t="s">
        <v>1166</v>
      </c>
      <c r="N1267" s="4" t="s">
        <v>567</v>
      </c>
      <c r="O1267" s="4" t="s">
        <v>343</v>
      </c>
      <c r="Q1267" s="4" t="s">
        <v>540</v>
      </c>
      <c r="X1267" s="4">
        <v>0.78</v>
      </c>
      <c r="AE1267" s="4" t="s">
        <v>1162</v>
      </c>
      <c r="AF1267" s="63" t="s">
        <v>1163</v>
      </c>
      <c r="AH1267" s="4" t="s">
        <v>371</v>
      </c>
      <c r="AI1267" s="4" t="s">
        <v>1058</v>
      </c>
      <c r="AM1267" s="4" t="s">
        <v>1150</v>
      </c>
      <c r="AQ1267" s="4" t="s">
        <v>464</v>
      </c>
      <c r="AR1267" s="4" t="s">
        <v>1151</v>
      </c>
      <c r="AS1267" s="4" t="s">
        <v>465</v>
      </c>
      <c r="AT1267" s="4" t="s">
        <v>1152</v>
      </c>
      <c r="BD1267" s="4" t="s">
        <v>1153</v>
      </c>
      <c r="DO1267" s="4">
        <v>3</v>
      </c>
      <c r="GA1267" s="1">
        <v>1.07</v>
      </c>
      <c r="GP1267" s="1">
        <v>3.42</v>
      </c>
    </row>
    <row r="1268" customHeight="1" spans="1:209">
      <c r="A1268" s="39">
        <v>40</v>
      </c>
      <c r="B1268" s="4" t="s">
        <v>1146</v>
      </c>
      <c r="C1268" s="5" t="s">
        <v>1165</v>
      </c>
      <c r="D1268" s="4" t="s">
        <v>300</v>
      </c>
      <c r="E1268" s="4" t="s">
        <v>1166</v>
      </c>
      <c r="N1268" s="4" t="s">
        <v>567</v>
      </c>
      <c r="O1268" s="4" t="s">
        <v>343</v>
      </c>
      <c r="Q1268" s="4" t="s">
        <v>540</v>
      </c>
      <c r="X1268" s="4">
        <v>0.78</v>
      </c>
      <c r="AE1268" s="4" t="s">
        <v>1162</v>
      </c>
      <c r="AF1268" s="63" t="s">
        <v>1163</v>
      </c>
      <c r="AH1268" s="4" t="s">
        <v>371</v>
      </c>
      <c r="AI1268" s="4" t="s">
        <v>1058</v>
      </c>
      <c r="AM1268" s="4" t="s">
        <v>1150</v>
      </c>
      <c r="AQ1268" s="4" t="s">
        <v>464</v>
      </c>
      <c r="AR1268" s="4" t="s">
        <v>1151</v>
      </c>
      <c r="AS1268" s="4" t="s">
        <v>465</v>
      </c>
      <c r="AT1268" s="4" t="s">
        <v>1152</v>
      </c>
      <c r="BD1268" s="4" t="s">
        <v>1153</v>
      </c>
      <c r="DO1268" s="4">
        <v>3</v>
      </c>
    </row>
    <row r="1269" customHeight="1" spans="1:209">
      <c r="A1269" s="39">
        <v>40</v>
      </c>
      <c r="B1269" s="4" t="s">
        <v>1146</v>
      </c>
      <c r="C1269" s="5" t="s">
        <v>1165</v>
      </c>
      <c r="D1269" s="4" t="s">
        <v>300</v>
      </c>
      <c r="E1269" s="4" t="s">
        <v>1166</v>
      </c>
      <c r="N1269" s="4" t="s">
        <v>567</v>
      </c>
      <c r="O1269" s="4" t="s">
        <v>343</v>
      </c>
      <c r="Q1269" s="4" t="s">
        <v>540</v>
      </c>
      <c r="X1269" s="4">
        <v>0.78</v>
      </c>
      <c r="AE1269" s="4" t="s">
        <v>1162</v>
      </c>
      <c r="AF1269" s="63" t="s">
        <v>1163</v>
      </c>
      <c r="AH1269" s="4" t="s">
        <v>371</v>
      </c>
      <c r="AI1269" s="4" t="s">
        <v>1058</v>
      </c>
      <c r="AM1269" s="4" t="s">
        <v>1150</v>
      </c>
      <c r="AQ1269" s="4" t="s">
        <v>464</v>
      </c>
      <c r="AR1269" s="4" t="s">
        <v>1151</v>
      </c>
      <c r="AS1269" s="4" t="s">
        <v>465</v>
      </c>
      <c r="AT1269" s="4" t="s">
        <v>1152</v>
      </c>
      <c r="BD1269" s="4" t="s">
        <v>1153</v>
      </c>
      <c r="DO1269" s="4">
        <v>3</v>
      </c>
    </row>
    <row r="1270" customHeight="1" spans="1:209">
      <c r="A1270" s="39">
        <v>40</v>
      </c>
      <c r="B1270" s="4" t="s">
        <v>1146</v>
      </c>
      <c r="C1270" s="5" t="s">
        <v>1165</v>
      </c>
      <c r="D1270" s="4" t="s">
        <v>300</v>
      </c>
      <c r="E1270" s="4" t="s">
        <v>1166</v>
      </c>
      <c r="N1270" s="4" t="s">
        <v>567</v>
      </c>
      <c r="O1270" s="4" t="s">
        <v>343</v>
      </c>
      <c r="Q1270" s="4" t="s">
        <v>540</v>
      </c>
      <c r="X1270" s="4">
        <v>0.78</v>
      </c>
      <c r="AE1270" s="4" t="s">
        <v>1162</v>
      </c>
      <c r="AF1270" s="63" t="s">
        <v>1163</v>
      </c>
      <c r="AH1270" s="4" t="s">
        <v>371</v>
      </c>
      <c r="AI1270" s="4" t="s">
        <v>1058</v>
      </c>
      <c r="AM1270" s="4" t="s">
        <v>1150</v>
      </c>
      <c r="AQ1270" s="4" t="s">
        <v>464</v>
      </c>
      <c r="AR1270" s="4" t="s">
        <v>1151</v>
      </c>
      <c r="AS1270" s="4" t="s">
        <v>465</v>
      </c>
      <c r="AT1270" s="4" t="s">
        <v>1152</v>
      </c>
      <c r="BD1270" s="4" t="s">
        <v>1153</v>
      </c>
      <c r="BI1270" s="4" t="s">
        <v>321</v>
      </c>
      <c r="BK1270" s="4">
        <v>25</v>
      </c>
      <c r="BM1270" s="4">
        <v>0.025</v>
      </c>
      <c r="BV1270" s="4">
        <v>360</v>
      </c>
      <c r="CB1270" s="4" t="s">
        <v>12</v>
      </c>
      <c r="CC1270" s="4" t="s">
        <v>1154</v>
      </c>
      <c r="DB1270" s="4" t="s">
        <v>951</v>
      </c>
      <c r="DC1270" s="4" t="s">
        <v>1155</v>
      </c>
      <c r="DE1270" s="4">
        <v>102.8</v>
      </c>
      <c r="DO1270" s="4">
        <v>3</v>
      </c>
      <c r="GT1270" s="29">
        <v>107.55</v>
      </c>
      <c r="GX1270" s="4">
        <v>78.74</v>
      </c>
      <c r="HA1270" s="4">
        <v>78.74</v>
      </c>
    </row>
    <row r="1271" customHeight="1" spans="1:209">
      <c r="A1271" s="39">
        <v>40</v>
      </c>
      <c r="B1271" s="4" t="s">
        <v>1146</v>
      </c>
      <c r="C1271" s="5" t="s">
        <v>1165</v>
      </c>
      <c r="D1271" s="4" t="s">
        <v>300</v>
      </c>
      <c r="E1271" s="4" t="s">
        <v>1166</v>
      </c>
      <c r="N1271" s="4" t="s">
        <v>567</v>
      </c>
      <c r="O1271" s="4" t="s">
        <v>343</v>
      </c>
      <c r="Q1271" s="4" t="s">
        <v>540</v>
      </c>
      <c r="X1271" s="4">
        <v>0.78</v>
      </c>
      <c r="AE1271" s="4" t="s">
        <v>1162</v>
      </c>
      <c r="AF1271" s="63" t="s">
        <v>1163</v>
      </c>
      <c r="AH1271" s="4" t="s">
        <v>371</v>
      </c>
      <c r="AI1271" s="4" t="s">
        <v>1058</v>
      </c>
      <c r="AM1271" s="4" t="s">
        <v>1150</v>
      </c>
      <c r="AQ1271" s="4" t="s">
        <v>464</v>
      </c>
      <c r="AR1271" s="4" t="s">
        <v>1151</v>
      </c>
      <c r="AS1271" s="4" t="s">
        <v>465</v>
      </c>
      <c r="AT1271" s="4" t="s">
        <v>1152</v>
      </c>
      <c r="BD1271" s="4" t="s">
        <v>1153</v>
      </c>
      <c r="BI1271" s="4" t="s">
        <v>321</v>
      </c>
      <c r="BK1271" s="4">
        <v>25</v>
      </c>
      <c r="BM1271" s="4">
        <v>0.025</v>
      </c>
      <c r="BV1271" s="4">
        <v>360</v>
      </c>
      <c r="CB1271" s="4" t="s">
        <v>11</v>
      </c>
      <c r="CC1271" s="4" t="s">
        <v>1154</v>
      </c>
      <c r="DB1271" s="4" t="s">
        <v>951</v>
      </c>
      <c r="DC1271" s="4" t="s">
        <v>1155</v>
      </c>
      <c r="DE1271" s="4">
        <v>105.8</v>
      </c>
      <c r="DO1271" s="4">
        <v>3</v>
      </c>
      <c r="GX1271" s="4">
        <v>81.35</v>
      </c>
      <c r="HA1271" s="4">
        <v>81.35</v>
      </c>
    </row>
    <row r="1272" customHeight="1" spans="1:209">
      <c r="A1272" s="39">
        <v>40</v>
      </c>
      <c r="B1272" s="4" t="s">
        <v>1146</v>
      </c>
      <c r="C1272" s="5" t="s">
        <v>1165</v>
      </c>
      <c r="D1272" s="4" t="s">
        <v>300</v>
      </c>
      <c r="E1272" s="4" t="s">
        <v>1166</v>
      </c>
      <c r="N1272" s="4" t="s">
        <v>567</v>
      </c>
      <c r="O1272" s="4" t="s">
        <v>343</v>
      </c>
      <c r="Q1272" s="4" t="s">
        <v>540</v>
      </c>
      <c r="X1272" s="4">
        <v>0.78</v>
      </c>
      <c r="AE1272" s="4" t="s">
        <v>1162</v>
      </c>
      <c r="AF1272" s="63" t="s">
        <v>1163</v>
      </c>
      <c r="AH1272" s="4" t="s">
        <v>371</v>
      </c>
      <c r="AI1272" s="4" t="s">
        <v>1058</v>
      </c>
      <c r="AM1272" s="4" t="s">
        <v>1150</v>
      </c>
      <c r="AQ1272" s="4" t="s">
        <v>464</v>
      </c>
      <c r="AR1272" s="4" t="s">
        <v>1151</v>
      </c>
      <c r="AS1272" s="4" t="s">
        <v>465</v>
      </c>
      <c r="AT1272" s="4" t="s">
        <v>1152</v>
      </c>
      <c r="BD1272" s="4" t="s">
        <v>1153</v>
      </c>
      <c r="BI1272" s="4" t="s">
        <v>321</v>
      </c>
      <c r="BM1272" s="4">
        <v>0.025</v>
      </c>
      <c r="BS1272" s="4">
        <v>3</v>
      </c>
      <c r="CB1272" s="4" t="s">
        <v>12</v>
      </c>
      <c r="CC1272" s="4">
        <v>200</v>
      </c>
      <c r="DO1272" s="4">
        <v>3</v>
      </c>
      <c r="GX1272" s="4">
        <v>84.39</v>
      </c>
      <c r="HA1272" s="4">
        <v>84.39</v>
      </c>
    </row>
    <row r="1273" customHeight="1" spans="1:209">
      <c r="A1273" s="39">
        <v>40</v>
      </c>
      <c r="B1273" s="4" t="s">
        <v>1146</v>
      </c>
      <c r="C1273" s="5" t="s">
        <v>1165</v>
      </c>
      <c r="D1273" s="4" t="s">
        <v>300</v>
      </c>
      <c r="E1273" s="4" t="s">
        <v>1166</v>
      </c>
      <c r="N1273" s="4" t="s">
        <v>567</v>
      </c>
      <c r="O1273" s="4" t="s">
        <v>343</v>
      </c>
      <c r="Q1273" s="4" t="s">
        <v>540</v>
      </c>
      <c r="X1273" s="4">
        <v>0.78</v>
      </c>
      <c r="AE1273" s="4" t="s">
        <v>1162</v>
      </c>
      <c r="AF1273" s="63" t="s">
        <v>1163</v>
      </c>
      <c r="AH1273" s="4" t="s">
        <v>371</v>
      </c>
      <c r="AI1273" s="4" t="s">
        <v>1058</v>
      </c>
      <c r="AM1273" s="4" t="s">
        <v>1150</v>
      </c>
      <c r="AQ1273" s="4" t="s">
        <v>464</v>
      </c>
      <c r="AR1273" s="4" t="s">
        <v>1151</v>
      </c>
      <c r="AS1273" s="4" t="s">
        <v>465</v>
      </c>
      <c r="AT1273" s="4" t="s">
        <v>1152</v>
      </c>
      <c r="BD1273" s="4" t="s">
        <v>1153</v>
      </c>
      <c r="BI1273" s="4" t="s">
        <v>321</v>
      </c>
      <c r="BM1273" s="4">
        <v>0.025</v>
      </c>
      <c r="BS1273" s="4">
        <v>4</v>
      </c>
      <c r="CB1273" s="4" t="s">
        <v>12</v>
      </c>
      <c r="CC1273" s="4">
        <v>200</v>
      </c>
      <c r="DO1273" s="4">
        <v>3</v>
      </c>
      <c r="GX1273" s="4">
        <v>86.64</v>
      </c>
      <c r="HA1273" s="4">
        <v>86.64</v>
      </c>
    </row>
    <row r="1274" customHeight="1" spans="1:209">
      <c r="A1274" s="39">
        <v>40</v>
      </c>
      <c r="B1274" s="4" t="s">
        <v>1146</v>
      </c>
      <c r="C1274" s="5" t="s">
        <v>1165</v>
      </c>
      <c r="D1274" s="4" t="s">
        <v>300</v>
      </c>
      <c r="E1274" s="4" t="s">
        <v>1166</v>
      </c>
      <c r="N1274" s="4" t="s">
        <v>567</v>
      </c>
      <c r="O1274" s="4" t="s">
        <v>343</v>
      </c>
      <c r="Q1274" s="4" t="s">
        <v>540</v>
      </c>
      <c r="X1274" s="4">
        <v>0.78</v>
      </c>
      <c r="AE1274" s="4" t="s">
        <v>1162</v>
      </c>
      <c r="AF1274" s="63" t="s">
        <v>1163</v>
      </c>
      <c r="AH1274" s="4" t="s">
        <v>371</v>
      </c>
      <c r="AI1274" s="4" t="s">
        <v>1058</v>
      </c>
      <c r="AM1274" s="4" t="s">
        <v>1150</v>
      </c>
      <c r="AQ1274" s="4" t="s">
        <v>464</v>
      </c>
      <c r="AR1274" s="4" t="s">
        <v>1151</v>
      </c>
      <c r="AS1274" s="4" t="s">
        <v>465</v>
      </c>
      <c r="AT1274" s="4" t="s">
        <v>1152</v>
      </c>
      <c r="BD1274" s="4" t="s">
        <v>1153</v>
      </c>
      <c r="BI1274" s="4" t="s">
        <v>321</v>
      </c>
      <c r="BM1274" s="4">
        <v>0.025</v>
      </c>
      <c r="BS1274" s="4">
        <v>5</v>
      </c>
      <c r="CB1274" s="4" t="s">
        <v>12</v>
      </c>
      <c r="CC1274" s="4">
        <v>200</v>
      </c>
      <c r="DO1274" s="4">
        <v>3</v>
      </c>
      <c r="GX1274" s="4">
        <v>93.25</v>
      </c>
      <c r="HA1274" s="4">
        <v>93.25</v>
      </c>
    </row>
    <row r="1275" customHeight="1" spans="1:209">
      <c r="A1275" s="39">
        <v>40</v>
      </c>
      <c r="B1275" s="4" t="s">
        <v>1146</v>
      </c>
      <c r="C1275" s="5" t="s">
        <v>1165</v>
      </c>
      <c r="D1275" s="4" t="s">
        <v>300</v>
      </c>
      <c r="E1275" s="4" t="s">
        <v>1166</v>
      </c>
      <c r="N1275" s="4" t="s">
        <v>567</v>
      </c>
      <c r="O1275" s="4" t="s">
        <v>343</v>
      </c>
      <c r="Q1275" s="4" t="s">
        <v>540</v>
      </c>
      <c r="X1275" s="4">
        <v>0.78</v>
      </c>
      <c r="AE1275" s="4" t="s">
        <v>1162</v>
      </c>
      <c r="AF1275" s="63" t="s">
        <v>1163</v>
      </c>
      <c r="AH1275" s="4" t="s">
        <v>371</v>
      </c>
      <c r="AI1275" s="4" t="s">
        <v>1058</v>
      </c>
      <c r="AM1275" s="4" t="s">
        <v>1150</v>
      </c>
      <c r="AQ1275" s="4" t="s">
        <v>464</v>
      </c>
      <c r="AR1275" s="4" t="s">
        <v>1151</v>
      </c>
      <c r="AS1275" s="4" t="s">
        <v>465</v>
      </c>
      <c r="AT1275" s="4" t="s">
        <v>1152</v>
      </c>
      <c r="BD1275" s="4" t="s">
        <v>1153</v>
      </c>
      <c r="BI1275" s="4" t="s">
        <v>321</v>
      </c>
      <c r="BM1275" s="4">
        <v>0.025</v>
      </c>
      <c r="BS1275" s="4">
        <v>6</v>
      </c>
      <c r="CB1275" s="4" t="s">
        <v>12</v>
      </c>
      <c r="CC1275" s="4">
        <v>200</v>
      </c>
      <c r="DO1275" s="4">
        <v>3</v>
      </c>
    </row>
    <row r="1276" customHeight="1" spans="1:209">
      <c r="A1276" s="39">
        <v>40</v>
      </c>
      <c r="B1276" s="4" t="s">
        <v>1146</v>
      </c>
      <c r="C1276" s="5" t="s">
        <v>1165</v>
      </c>
      <c r="D1276" s="4" t="s">
        <v>300</v>
      </c>
      <c r="E1276" s="4" t="s">
        <v>1166</v>
      </c>
      <c r="N1276" s="4" t="s">
        <v>567</v>
      </c>
      <c r="O1276" s="4" t="s">
        <v>343</v>
      </c>
      <c r="Q1276" s="4" t="s">
        <v>540</v>
      </c>
      <c r="X1276" s="4">
        <v>0.78</v>
      </c>
      <c r="AE1276" s="4" t="s">
        <v>1162</v>
      </c>
      <c r="AF1276" s="63" t="s">
        <v>1163</v>
      </c>
      <c r="AH1276" s="4" t="s">
        <v>371</v>
      </c>
      <c r="AI1276" s="4" t="s">
        <v>1058</v>
      </c>
      <c r="AM1276" s="4" t="s">
        <v>1150</v>
      </c>
      <c r="AQ1276" s="4" t="s">
        <v>464</v>
      </c>
      <c r="AR1276" s="4" t="s">
        <v>1151</v>
      </c>
      <c r="AS1276" s="4" t="s">
        <v>465</v>
      </c>
      <c r="AT1276" s="4" t="s">
        <v>1152</v>
      </c>
      <c r="BD1276" s="4" t="s">
        <v>1153</v>
      </c>
      <c r="BI1276" s="4" t="s">
        <v>321</v>
      </c>
      <c r="BM1276" s="4">
        <v>0.025</v>
      </c>
      <c r="BS1276" s="4">
        <v>7</v>
      </c>
      <c r="CB1276" s="4" t="s">
        <v>12</v>
      </c>
      <c r="CC1276" s="4">
        <v>200</v>
      </c>
      <c r="DO1276" s="4">
        <v>3</v>
      </c>
    </row>
    <row r="1277" customHeight="1" spans="1:209">
      <c r="A1277" s="39">
        <v>40</v>
      </c>
      <c r="B1277" s="4" t="s">
        <v>1146</v>
      </c>
      <c r="C1277" s="5" t="s">
        <v>1165</v>
      </c>
      <c r="D1277" s="4" t="s">
        <v>300</v>
      </c>
      <c r="E1277" s="4" t="s">
        <v>1166</v>
      </c>
      <c r="N1277" s="4" t="s">
        <v>567</v>
      </c>
      <c r="O1277" s="4" t="s">
        <v>343</v>
      </c>
      <c r="Q1277" s="4" t="s">
        <v>540</v>
      </c>
      <c r="X1277" s="4">
        <v>0.78</v>
      </c>
      <c r="AE1277" s="4" t="s">
        <v>1162</v>
      </c>
      <c r="AF1277" s="63" t="s">
        <v>1163</v>
      </c>
      <c r="AH1277" s="4" t="s">
        <v>371</v>
      </c>
      <c r="AI1277" s="4" t="s">
        <v>1058</v>
      </c>
      <c r="AM1277" s="4" t="s">
        <v>1150</v>
      </c>
      <c r="AQ1277" s="4" t="s">
        <v>464</v>
      </c>
      <c r="AR1277" s="4" t="s">
        <v>1151</v>
      </c>
      <c r="AS1277" s="4" t="s">
        <v>465</v>
      </c>
      <c r="AT1277" s="4" t="s">
        <v>1152</v>
      </c>
      <c r="BD1277" s="4" t="s">
        <v>1153</v>
      </c>
      <c r="BI1277" s="4" t="s">
        <v>321</v>
      </c>
      <c r="BM1277" s="4">
        <v>0.025</v>
      </c>
      <c r="BS1277" s="4">
        <v>3</v>
      </c>
      <c r="CB1277" s="4" t="s">
        <v>11</v>
      </c>
      <c r="CC1277" s="4">
        <v>200</v>
      </c>
      <c r="DO1277" s="4">
        <v>3</v>
      </c>
      <c r="GI1277" s="4">
        <v>75.93</v>
      </c>
      <c r="GL1277" s="4">
        <v>75.93</v>
      </c>
    </row>
    <row r="1278" customHeight="1" spans="1:209">
      <c r="A1278" s="39">
        <v>40</v>
      </c>
      <c r="B1278" s="4" t="s">
        <v>1146</v>
      </c>
      <c r="C1278" s="5" t="s">
        <v>1165</v>
      </c>
      <c r="D1278" s="4" t="s">
        <v>300</v>
      </c>
      <c r="E1278" s="4" t="s">
        <v>1166</v>
      </c>
      <c r="N1278" s="4" t="s">
        <v>567</v>
      </c>
      <c r="O1278" s="4" t="s">
        <v>343</v>
      </c>
      <c r="Q1278" s="4" t="s">
        <v>540</v>
      </c>
      <c r="X1278" s="4">
        <v>0.78</v>
      </c>
      <c r="AE1278" s="4" t="s">
        <v>1162</v>
      </c>
      <c r="AF1278" s="63" t="s">
        <v>1163</v>
      </c>
      <c r="AH1278" s="4" t="s">
        <v>371</v>
      </c>
      <c r="AI1278" s="4" t="s">
        <v>1058</v>
      </c>
      <c r="AM1278" s="4" t="s">
        <v>1150</v>
      </c>
      <c r="AQ1278" s="4" t="s">
        <v>464</v>
      </c>
      <c r="AR1278" s="4" t="s">
        <v>1151</v>
      </c>
      <c r="AS1278" s="4" t="s">
        <v>465</v>
      </c>
      <c r="AT1278" s="4" t="s">
        <v>1152</v>
      </c>
      <c r="BD1278" s="4" t="s">
        <v>1153</v>
      </c>
      <c r="BI1278" s="4" t="s">
        <v>321</v>
      </c>
      <c r="BM1278" s="4">
        <v>0.025</v>
      </c>
      <c r="BS1278" s="4">
        <v>4</v>
      </c>
      <c r="CB1278" s="4" t="s">
        <v>11</v>
      </c>
      <c r="CC1278" s="4">
        <v>200</v>
      </c>
      <c r="DO1278" s="4">
        <v>3</v>
      </c>
      <c r="GI1278" s="4">
        <v>84.13</v>
      </c>
      <c r="GL1278" s="4">
        <v>84.13</v>
      </c>
    </row>
    <row r="1279" customHeight="1" spans="1:209">
      <c r="A1279" s="39">
        <v>40</v>
      </c>
      <c r="B1279" s="4" t="s">
        <v>1146</v>
      </c>
      <c r="C1279" s="5" t="s">
        <v>1165</v>
      </c>
      <c r="D1279" s="4" t="s">
        <v>300</v>
      </c>
      <c r="E1279" s="4" t="s">
        <v>1166</v>
      </c>
      <c r="N1279" s="4" t="s">
        <v>567</v>
      </c>
      <c r="O1279" s="4" t="s">
        <v>343</v>
      </c>
      <c r="Q1279" s="4" t="s">
        <v>540</v>
      </c>
      <c r="X1279" s="4">
        <v>0.78</v>
      </c>
      <c r="AE1279" s="4" t="s">
        <v>1162</v>
      </c>
      <c r="AF1279" s="63" t="s">
        <v>1163</v>
      </c>
      <c r="AH1279" s="4" t="s">
        <v>371</v>
      </c>
      <c r="AI1279" s="4" t="s">
        <v>1058</v>
      </c>
      <c r="AM1279" s="4" t="s">
        <v>1150</v>
      </c>
      <c r="AQ1279" s="4" t="s">
        <v>464</v>
      </c>
      <c r="AR1279" s="4" t="s">
        <v>1151</v>
      </c>
      <c r="AS1279" s="4" t="s">
        <v>465</v>
      </c>
      <c r="AT1279" s="4" t="s">
        <v>1152</v>
      </c>
      <c r="BD1279" s="4" t="s">
        <v>1153</v>
      </c>
      <c r="BI1279" s="4" t="s">
        <v>321</v>
      </c>
      <c r="BM1279" s="4">
        <v>0.025</v>
      </c>
      <c r="BS1279" s="4">
        <v>5</v>
      </c>
      <c r="CB1279" s="4" t="s">
        <v>11</v>
      </c>
      <c r="CC1279" s="4">
        <v>200</v>
      </c>
      <c r="DO1279" s="4">
        <v>3</v>
      </c>
      <c r="GI1279" s="4">
        <v>85.84</v>
      </c>
      <c r="GL1279" s="4">
        <v>85.84</v>
      </c>
    </row>
    <row r="1280" customHeight="1" spans="1:209">
      <c r="A1280" s="39">
        <v>40</v>
      </c>
      <c r="B1280" s="4" t="s">
        <v>1146</v>
      </c>
      <c r="C1280" s="5" t="s">
        <v>1165</v>
      </c>
      <c r="D1280" s="4" t="s">
        <v>300</v>
      </c>
      <c r="E1280" s="4" t="s">
        <v>1166</v>
      </c>
      <c r="N1280" s="4" t="s">
        <v>567</v>
      </c>
      <c r="O1280" s="4" t="s">
        <v>343</v>
      </c>
      <c r="Q1280" s="4" t="s">
        <v>540</v>
      </c>
      <c r="X1280" s="4">
        <v>0.78</v>
      </c>
      <c r="AE1280" s="4" t="s">
        <v>1162</v>
      </c>
      <c r="AF1280" s="63" t="s">
        <v>1163</v>
      </c>
      <c r="AH1280" s="4" t="s">
        <v>371</v>
      </c>
      <c r="AI1280" s="4" t="s">
        <v>1058</v>
      </c>
      <c r="AM1280" s="4" t="s">
        <v>1150</v>
      </c>
      <c r="AQ1280" s="4" t="s">
        <v>464</v>
      </c>
      <c r="AR1280" s="4" t="s">
        <v>1151</v>
      </c>
      <c r="AS1280" s="4" t="s">
        <v>465</v>
      </c>
      <c r="AT1280" s="4" t="s">
        <v>1152</v>
      </c>
      <c r="BD1280" s="4" t="s">
        <v>1153</v>
      </c>
      <c r="BI1280" s="4" t="s">
        <v>321</v>
      </c>
      <c r="BM1280" s="4">
        <v>0.025</v>
      </c>
      <c r="BS1280" s="4">
        <v>6</v>
      </c>
      <c r="CB1280" s="4" t="s">
        <v>11</v>
      </c>
      <c r="CC1280" s="4">
        <v>200</v>
      </c>
      <c r="DO1280" s="4">
        <v>3</v>
      </c>
      <c r="GI1280" s="4">
        <v>89.42</v>
      </c>
      <c r="GL1280" s="4">
        <v>89.42</v>
      </c>
    </row>
    <row r="1281" customHeight="1" spans="1:313">
      <c r="A1281" s="39">
        <v>40</v>
      </c>
      <c r="B1281" s="4" t="s">
        <v>1146</v>
      </c>
      <c r="C1281" s="5" t="s">
        <v>1165</v>
      </c>
      <c r="D1281" s="4" t="s">
        <v>300</v>
      </c>
      <c r="E1281" s="4" t="s">
        <v>1166</v>
      </c>
      <c r="N1281" s="4" t="s">
        <v>567</v>
      </c>
      <c r="O1281" s="4" t="s">
        <v>343</v>
      </c>
      <c r="Q1281" s="4" t="s">
        <v>540</v>
      </c>
      <c r="X1281" s="4">
        <v>0.78</v>
      </c>
      <c r="AE1281" s="4" t="s">
        <v>1162</v>
      </c>
      <c r="AF1281" s="63" t="s">
        <v>1163</v>
      </c>
      <c r="AH1281" s="4" t="s">
        <v>371</v>
      </c>
      <c r="AI1281" s="4" t="s">
        <v>1058</v>
      </c>
      <c r="AM1281" s="4" t="s">
        <v>1150</v>
      </c>
      <c r="AQ1281" s="4" t="s">
        <v>464</v>
      </c>
      <c r="AR1281" s="4" t="s">
        <v>1151</v>
      </c>
      <c r="AS1281" s="4" t="s">
        <v>465</v>
      </c>
      <c r="AT1281" s="4" t="s">
        <v>1152</v>
      </c>
      <c r="BD1281" s="4" t="s">
        <v>1153</v>
      </c>
      <c r="BI1281" s="4" t="s">
        <v>321</v>
      </c>
      <c r="BM1281" s="4">
        <v>0.025</v>
      </c>
      <c r="BS1281" s="4">
        <v>7</v>
      </c>
      <c r="CB1281" s="4" t="s">
        <v>11</v>
      </c>
      <c r="CC1281" s="4">
        <v>200</v>
      </c>
      <c r="DO1281" s="4">
        <v>3</v>
      </c>
      <c r="GI1281" s="4">
        <v>92.86</v>
      </c>
      <c r="GL1281" s="4">
        <v>92.86</v>
      </c>
    </row>
    <row r="1282" customHeight="1" spans="1:313">
      <c r="A1282" s="39">
        <v>40</v>
      </c>
      <c r="B1282" s="4" t="s">
        <v>1146</v>
      </c>
      <c r="C1282" s="5" t="s">
        <v>1165</v>
      </c>
      <c r="D1282" s="4" t="s">
        <v>300</v>
      </c>
      <c r="E1282" s="4" t="s">
        <v>1166</v>
      </c>
      <c r="N1282" s="4" t="s">
        <v>567</v>
      </c>
      <c r="O1282" s="4" t="s">
        <v>343</v>
      </c>
      <c r="Q1282" s="4" t="s">
        <v>540</v>
      </c>
      <c r="X1282" s="4">
        <v>0.78</v>
      </c>
      <c r="AE1282" s="4" t="s">
        <v>1162</v>
      </c>
      <c r="AF1282" s="63" t="s">
        <v>1163</v>
      </c>
      <c r="AH1282" s="4" t="s">
        <v>371</v>
      </c>
      <c r="AI1282" s="4" t="s">
        <v>1058</v>
      </c>
      <c r="AM1282" s="4" t="s">
        <v>1150</v>
      </c>
      <c r="AQ1282" s="4" t="s">
        <v>464</v>
      </c>
      <c r="AR1282" s="4" t="s">
        <v>1151</v>
      </c>
      <c r="AS1282" s="4" t="s">
        <v>465</v>
      </c>
      <c r="AT1282" s="4" t="s">
        <v>1152</v>
      </c>
      <c r="BD1282" s="4" t="s">
        <v>1153</v>
      </c>
      <c r="BI1282" s="4" t="s">
        <v>321</v>
      </c>
      <c r="BK1282" s="4">
        <v>25</v>
      </c>
      <c r="BL1282" s="4">
        <v>1</v>
      </c>
      <c r="BM1282" s="4">
        <v>0.025</v>
      </c>
      <c r="BN1282" s="4">
        <v>1</v>
      </c>
      <c r="BV1282" s="4" t="s">
        <v>427</v>
      </c>
      <c r="CB1282" s="4" t="s">
        <v>12</v>
      </c>
      <c r="CC1282" s="4">
        <v>200</v>
      </c>
      <c r="CV1282" s="4">
        <v>180</v>
      </c>
      <c r="CX1282" s="4" t="s">
        <v>314</v>
      </c>
      <c r="CZ1282" s="4" t="s">
        <v>328</v>
      </c>
      <c r="DA1282" s="4" t="s">
        <v>1156</v>
      </c>
      <c r="DM1282" s="4">
        <v>300</v>
      </c>
      <c r="DO1282" s="4">
        <v>3</v>
      </c>
      <c r="GT1282" s="4">
        <v>100.65</v>
      </c>
      <c r="GZ1282" s="1">
        <f>GT1282/2</f>
        <v>50.325</v>
      </c>
      <c r="HA1282" s="1">
        <v>50.325</v>
      </c>
    </row>
    <row r="1283" customHeight="1" spans="1:313">
      <c r="A1283" s="39">
        <v>40</v>
      </c>
      <c r="B1283" s="4" t="s">
        <v>1146</v>
      </c>
      <c r="C1283" s="5" t="s">
        <v>1165</v>
      </c>
      <c r="D1283" s="4" t="s">
        <v>300</v>
      </c>
      <c r="E1283" s="4" t="s">
        <v>1166</v>
      </c>
      <c r="N1283" s="4" t="s">
        <v>567</v>
      </c>
      <c r="O1283" s="4" t="s">
        <v>343</v>
      </c>
      <c r="Q1283" s="4" t="s">
        <v>540</v>
      </c>
      <c r="X1283" s="4">
        <v>0.78</v>
      </c>
      <c r="AE1283" s="4" t="s">
        <v>1162</v>
      </c>
      <c r="AF1283" s="63" t="s">
        <v>1163</v>
      </c>
      <c r="AH1283" s="4" t="s">
        <v>371</v>
      </c>
      <c r="AI1283" s="4" t="s">
        <v>1058</v>
      </c>
      <c r="AM1283" s="4" t="s">
        <v>1150</v>
      </c>
      <c r="AQ1283" s="4" t="s">
        <v>464</v>
      </c>
      <c r="AR1283" s="4" t="s">
        <v>1151</v>
      </c>
      <c r="AS1283" s="4" t="s">
        <v>465</v>
      </c>
      <c r="AT1283" s="4" t="s">
        <v>1152</v>
      </c>
      <c r="BD1283" s="4" t="s">
        <v>1153</v>
      </c>
      <c r="BI1283" s="4" t="s">
        <v>321</v>
      </c>
      <c r="BK1283" s="4">
        <v>25</v>
      </c>
      <c r="BL1283" s="4">
        <v>1</v>
      </c>
      <c r="BM1283" s="4">
        <v>0.025</v>
      </c>
      <c r="BN1283" s="4">
        <v>1</v>
      </c>
      <c r="BV1283" s="4" t="s">
        <v>427</v>
      </c>
      <c r="CB1283" s="4" t="s">
        <v>11</v>
      </c>
      <c r="CC1283" s="4">
        <v>200</v>
      </c>
      <c r="CV1283" s="4">
        <v>180</v>
      </c>
      <c r="CX1283" s="4" t="s">
        <v>314</v>
      </c>
      <c r="CZ1283" s="4" t="s">
        <v>328</v>
      </c>
      <c r="DA1283" s="4" t="s">
        <v>1156</v>
      </c>
      <c r="DM1283" s="4">
        <v>300</v>
      </c>
      <c r="DO1283" s="4">
        <v>3</v>
      </c>
      <c r="GE1283" s="4">
        <v>105.7</v>
      </c>
      <c r="GK1283" s="1">
        <f>GE1283/2</f>
        <v>52.85</v>
      </c>
      <c r="GL1283" s="1">
        <v>52.85</v>
      </c>
    </row>
    <row r="1284" customHeight="1" spans="1:313">
      <c r="A1284" s="39">
        <v>40</v>
      </c>
      <c r="B1284" s="4" t="s">
        <v>1146</v>
      </c>
      <c r="C1284" s="5" t="s">
        <v>1167</v>
      </c>
      <c r="D1284" s="4" t="s">
        <v>300</v>
      </c>
      <c r="E1284" s="4" t="s">
        <v>1168</v>
      </c>
      <c r="N1284" s="4" t="s">
        <v>567</v>
      </c>
      <c r="O1284" s="4" t="s">
        <v>343</v>
      </c>
      <c r="Q1284" s="4" t="s">
        <v>540</v>
      </c>
      <c r="X1284" s="4">
        <v>0.78</v>
      </c>
      <c r="AE1284" s="4" t="s">
        <v>1162</v>
      </c>
      <c r="AF1284" s="63" t="s">
        <v>1163</v>
      </c>
      <c r="AH1284" s="4" t="s">
        <v>371</v>
      </c>
      <c r="AI1284" s="4" t="s">
        <v>1058</v>
      </c>
      <c r="AM1284" s="4" t="s">
        <v>1150</v>
      </c>
      <c r="AQ1284" s="4" t="s">
        <v>464</v>
      </c>
      <c r="AR1284" s="4" t="s">
        <v>1151</v>
      </c>
      <c r="AS1284" s="4" t="s">
        <v>465</v>
      </c>
      <c r="AT1284" s="4" t="s">
        <v>1152</v>
      </c>
      <c r="BD1284" s="4" t="s">
        <v>1153</v>
      </c>
      <c r="DO1284" s="4">
        <v>3</v>
      </c>
      <c r="KZ1284" s="1" t="s">
        <v>12</v>
      </c>
      <c r="LA1284" s="1" t="s">
        <v>1164</v>
      </c>
    </row>
    <row r="1285" customHeight="1" spans="1:313">
      <c r="A1285" s="39">
        <v>40</v>
      </c>
      <c r="B1285" s="4" t="s">
        <v>1146</v>
      </c>
      <c r="C1285" s="5" t="s">
        <v>1167</v>
      </c>
      <c r="D1285" s="4" t="s">
        <v>300</v>
      </c>
      <c r="E1285" s="4" t="s">
        <v>1168</v>
      </c>
      <c r="N1285" s="4" t="s">
        <v>567</v>
      </c>
      <c r="O1285" s="4" t="s">
        <v>343</v>
      </c>
      <c r="Q1285" s="4" t="s">
        <v>540</v>
      </c>
      <c r="X1285" s="4">
        <v>0.78</v>
      </c>
      <c r="AE1285" s="4" t="s">
        <v>1162</v>
      </c>
      <c r="AF1285" s="63" t="s">
        <v>1163</v>
      </c>
      <c r="AH1285" s="4" t="s">
        <v>371</v>
      </c>
      <c r="AI1285" s="4" t="s">
        <v>1058</v>
      </c>
      <c r="AM1285" s="4" t="s">
        <v>1150</v>
      </c>
      <c r="AQ1285" s="4" t="s">
        <v>464</v>
      </c>
      <c r="AR1285" s="4" t="s">
        <v>1151</v>
      </c>
      <c r="AS1285" s="4" t="s">
        <v>465</v>
      </c>
      <c r="AT1285" s="4" t="s">
        <v>1152</v>
      </c>
      <c r="BD1285" s="4" t="s">
        <v>1153</v>
      </c>
      <c r="DO1285" s="4">
        <v>3</v>
      </c>
      <c r="GA1285" s="1">
        <v>1.62</v>
      </c>
      <c r="GP1285" s="1">
        <v>5.74</v>
      </c>
      <c r="KZ1285" s="1" t="s">
        <v>11</v>
      </c>
      <c r="LA1285" s="1" t="s">
        <v>1164</v>
      </c>
    </row>
    <row r="1286" customHeight="1" spans="1:313">
      <c r="A1286" s="39">
        <v>40</v>
      </c>
      <c r="B1286" s="4" t="s">
        <v>1146</v>
      </c>
      <c r="C1286" s="5" t="s">
        <v>1167</v>
      </c>
      <c r="D1286" s="4" t="s">
        <v>300</v>
      </c>
      <c r="E1286" s="4" t="s">
        <v>1168</v>
      </c>
      <c r="N1286" s="4" t="s">
        <v>567</v>
      </c>
      <c r="O1286" s="4" t="s">
        <v>343</v>
      </c>
      <c r="Q1286" s="4" t="s">
        <v>540</v>
      </c>
      <c r="X1286" s="4">
        <v>0.78</v>
      </c>
      <c r="AE1286" s="4" t="s">
        <v>1162</v>
      </c>
      <c r="AF1286" s="63" t="s">
        <v>1163</v>
      </c>
      <c r="AH1286" s="4" t="s">
        <v>371</v>
      </c>
      <c r="AI1286" s="4" t="s">
        <v>1058</v>
      </c>
      <c r="AM1286" s="4" t="s">
        <v>1150</v>
      </c>
      <c r="AQ1286" s="4" t="s">
        <v>464</v>
      </c>
      <c r="AR1286" s="4" t="s">
        <v>1151</v>
      </c>
      <c r="AS1286" s="4" t="s">
        <v>465</v>
      </c>
      <c r="AT1286" s="4" t="s">
        <v>1152</v>
      </c>
      <c r="BD1286" s="4" t="s">
        <v>1153</v>
      </c>
      <c r="BI1286" s="4" t="s">
        <v>321</v>
      </c>
      <c r="BK1286" s="4">
        <v>25</v>
      </c>
      <c r="BM1286" s="4">
        <v>0.025</v>
      </c>
      <c r="BV1286" s="4">
        <v>360</v>
      </c>
      <c r="CB1286" s="4" t="s">
        <v>12</v>
      </c>
      <c r="CC1286" s="4" t="s">
        <v>1154</v>
      </c>
      <c r="DB1286" s="4" t="s">
        <v>951</v>
      </c>
      <c r="DC1286" s="4" t="s">
        <v>1155</v>
      </c>
      <c r="DE1286" s="4">
        <v>83.81</v>
      </c>
      <c r="DO1286" s="4">
        <v>3</v>
      </c>
      <c r="GT1286" s="29">
        <v>83.69</v>
      </c>
    </row>
    <row r="1287" customHeight="1" spans="1:313">
      <c r="A1287" s="39">
        <v>40</v>
      </c>
      <c r="B1287" s="4" t="s">
        <v>1146</v>
      </c>
      <c r="C1287" s="5" t="s">
        <v>1167</v>
      </c>
      <c r="D1287" s="4" t="s">
        <v>300</v>
      </c>
      <c r="E1287" s="4" t="s">
        <v>1168</v>
      </c>
      <c r="N1287" s="4" t="s">
        <v>567</v>
      </c>
      <c r="O1287" s="4" t="s">
        <v>343</v>
      </c>
      <c r="Q1287" s="4" t="s">
        <v>540</v>
      </c>
      <c r="X1287" s="4">
        <v>0.78</v>
      </c>
      <c r="AE1287" s="4" t="s">
        <v>1162</v>
      </c>
      <c r="AF1287" s="63" t="s">
        <v>1163</v>
      </c>
      <c r="AH1287" s="4" t="s">
        <v>371</v>
      </c>
      <c r="AI1287" s="4" t="s">
        <v>1058</v>
      </c>
      <c r="AM1287" s="4" t="s">
        <v>1150</v>
      </c>
      <c r="AQ1287" s="4" t="s">
        <v>464</v>
      </c>
      <c r="AR1287" s="4" t="s">
        <v>1151</v>
      </c>
      <c r="AS1287" s="4" t="s">
        <v>465</v>
      </c>
      <c r="AT1287" s="4" t="s">
        <v>1152</v>
      </c>
      <c r="BD1287" s="4" t="s">
        <v>1153</v>
      </c>
      <c r="BI1287" s="4" t="s">
        <v>321</v>
      </c>
      <c r="BK1287" s="4">
        <v>25</v>
      </c>
      <c r="BM1287" s="4">
        <v>0.025</v>
      </c>
      <c r="BV1287" s="4">
        <v>360</v>
      </c>
      <c r="CB1287" s="4" t="s">
        <v>11</v>
      </c>
      <c r="CC1287" s="4" t="s">
        <v>1154</v>
      </c>
      <c r="DB1287" s="4" t="s">
        <v>951</v>
      </c>
      <c r="DC1287" s="4" t="s">
        <v>1155</v>
      </c>
      <c r="DE1287" s="4">
        <v>82.94</v>
      </c>
      <c r="DO1287" s="4">
        <v>3</v>
      </c>
      <c r="GE1287" s="29">
        <v>82.94</v>
      </c>
    </row>
    <row r="1288" customHeight="1" spans="1:313">
      <c r="A1288" s="39">
        <v>40</v>
      </c>
      <c r="B1288" s="4" t="s">
        <v>1146</v>
      </c>
      <c r="C1288" s="5" t="s">
        <v>1167</v>
      </c>
      <c r="D1288" s="4" t="s">
        <v>300</v>
      </c>
      <c r="E1288" s="4" t="s">
        <v>1168</v>
      </c>
      <c r="N1288" s="4" t="s">
        <v>567</v>
      </c>
      <c r="O1288" s="4" t="s">
        <v>343</v>
      </c>
      <c r="Q1288" s="4" t="s">
        <v>540</v>
      </c>
      <c r="X1288" s="4">
        <v>0.78</v>
      </c>
      <c r="AE1288" s="4" t="s">
        <v>1162</v>
      </c>
      <c r="AF1288" s="63" t="s">
        <v>1163</v>
      </c>
      <c r="AH1288" s="4" t="s">
        <v>371</v>
      </c>
      <c r="AI1288" s="4" t="s">
        <v>1058</v>
      </c>
      <c r="AM1288" s="4" t="s">
        <v>1150</v>
      </c>
      <c r="AQ1288" s="4" t="s">
        <v>464</v>
      </c>
      <c r="AR1288" s="4" t="s">
        <v>1151</v>
      </c>
      <c r="AS1288" s="4" t="s">
        <v>465</v>
      </c>
      <c r="AT1288" s="4" t="s">
        <v>1152</v>
      </c>
      <c r="BD1288" s="4" t="s">
        <v>1153</v>
      </c>
      <c r="BI1288" s="4" t="s">
        <v>321</v>
      </c>
      <c r="BK1288" s="4">
        <v>25</v>
      </c>
      <c r="BL1288" s="4">
        <v>1</v>
      </c>
      <c r="BM1288" s="4">
        <v>0.025</v>
      </c>
      <c r="BN1288" s="4">
        <v>1</v>
      </c>
      <c r="BV1288" s="4" t="s">
        <v>427</v>
      </c>
      <c r="CB1288" s="4" t="s">
        <v>12</v>
      </c>
      <c r="CC1288" s="4">
        <v>200</v>
      </c>
      <c r="CV1288" s="4">
        <v>180</v>
      </c>
      <c r="CX1288" s="4" t="s">
        <v>314</v>
      </c>
      <c r="CZ1288" s="4" t="s">
        <v>328</v>
      </c>
      <c r="DA1288" s="4" t="s">
        <v>1156</v>
      </c>
      <c r="DM1288" s="4">
        <v>300</v>
      </c>
      <c r="DO1288" s="4">
        <v>3</v>
      </c>
      <c r="GP1288" s="4">
        <v>75.87</v>
      </c>
      <c r="GZ1288" s="1">
        <f>(200-GP1288)/2</f>
        <v>62.065</v>
      </c>
      <c r="HA1288" s="1">
        <v>62.065</v>
      </c>
    </row>
    <row r="1289" customHeight="1" spans="1:313">
      <c r="A1289" s="39">
        <v>40</v>
      </c>
      <c r="B1289" s="4" t="s">
        <v>1146</v>
      </c>
      <c r="C1289" s="5" t="s">
        <v>1167</v>
      </c>
      <c r="D1289" s="4" t="s">
        <v>300</v>
      </c>
      <c r="E1289" s="4" t="s">
        <v>1168</v>
      </c>
      <c r="N1289" s="4" t="s">
        <v>567</v>
      </c>
      <c r="O1289" s="4" t="s">
        <v>343</v>
      </c>
      <c r="Q1289" s="4" t="s">
        <v>540</v>
      </c>
      <c r="X1289" s="4">
        <v>0.78</v>
      </c>
      <c r="AE1289" s="4" t="s">
        <v>1162</v>
      </c>
      <c r="AF1289" s="63" t="s">
        <v>1163</v>
      </c>
      <c r="AH1289" s="4" t="s">
        <v>371</v>
      </c>
      <c r="AI1289" s="4" t="s">
        <v>1058</v>
      </c>
      <c r="AM1289" s="4" t="s">
        <v>1150</v>
      </c>
      <c r="AQ1289" s="4" t="s">
        <v>464</v>
      </c>
      <c r="AR1289" s="4" t="s">
        <v>1151</v>
      </c>
      <c r="AS1289" s="4" t="s">
        <v>465</v>
      </c>
      <c r="AT1289" s="4" t="s">
        <v>1152</v>
      </c>
      <c r="BD1289" s="4" t="s">
        <v>1153</v>
      </c>
      <c r="BI1289" s="4" t="s">
        <v>321</v>
      </c>
      <c r="BK1289" s="4">
        <v>25</v>
      </c>
      <c r="BL1289" s="4">
        <v>1</v>
      </c>
      <c r="BM1289" s="4">
        <v>0.025</v>
      </c>
      <c r="BN1289" s="4">
        <v>1</v>
      </c>
      <c r="BV1289" s="4" t="s">
        <v>427</v>
      </c>
      <c r="CB1289" s="4" t="s">
        <v>11</v>
      </c>
      <c r="CC1289" s="4">
        <v>200</v>
      </c>
      <c r="CV1289" s="4">
        <v>180</v>
      </c>
      <c r="CX1289" s="4" t="s">
        <v>314</v>
      </c>
      <c r="CZ1289" s="4" t="s">
        <v>328</v>
      </c>
      <c r="DA1289" s="4" t="s">
        <v>1156</v>
      </c>
      <c r="DM1289" s="4">
        <v>300</v>
      </c>
      <c r="DO1289" s="4">
        <v>3</v>
      </c>
      <c r="GE1289" s="4">
        <v>77.25</v>
      </c>
      <c r="GK1289" s="1">
        <f>GE1289/2</f>
        <v>38.625</v>
      </c>
      <c r="GL1289" s="1">
        <v>38.625</v>
      </c>
    </row>
    <row r="1290" customHeight="1" spans="1:313">
      <c r="A1290" s="39">
        <v>40</v>
      </c>
      <c r="B1290" s="4" t="s">
        <v>1146</v>
      </c>
      <c r="C1290" s="5" t="s">
        <v>1169</v>
      </c>
      <c r="D1290" s="4" t="s">
        <v>300</v>
      </c>
      <c r="E1290" s="4" t="s">
        <v>1170</v>
      </c>
      <c r="N1290" s="4" t="s">
        <v>567</v>
      </c>
      <c r="O1290" s="4" t="s">
        <v>343</v>
      </c>
      <c r="Q1290" s="4" t="s">
        <v>540</v>
      </c>
      <c r="X1290" s="4">
        <v>0.78</v>
      </c>
      <c r="AE1290" s="4" t="s">
        <v>1162</v>
      </c>
      <c r="AF1290" s="63" t="s">
        <v>1163</v>
      </c>
      <c r="AH1290" s="4" t="s">
        <v>371</v>
      </c>
      <c r="AI1290" s="4" t="s">
        <v>1058</v>
      </c>
      <c r="AM1290" s="4" t="s">
        <v>1150</v>
      </c>
      <c r="AQ1290" s="4" t="s">
        <v>464</v>
      </c>
      <c r="AR1290" s="4" t="s">
        <v>1151</v>
      </c>
      <c r="AS1290" s="4" t="s">
        <v>465</v>
      </c>
      <c r="AT1290" s="4" t="s">
        <v>1152</v>
      </c>
      <c r="BD1290" s="4" t="s">
        <v>1153</v>
      </c>
      <c r="DO1290" s="4">
        <v>3</v>
      </c>
      <c r="GP1290" s="1">
        <v>6.97</v>
      </c>
      <c r="KZ1290" s="1" t="s">
        <v>12</v>
      </c>
      <c r="LA1290" s="1" t="s">
        <v>1164</v>
      </c>
    </row>
    <row r="1291" customHeight="1" spans="1:313">
      <c r="A1291" s="39">
        <v>40</v>
      </c>
      <c r="B1291" s="4" t="s">
        <v>1146</v>
      </c>
      <c r="C1291" s="5" t="s">
        <v>1169</v>
      </c>
      <c r="D1291" s="4" t="s">
        <v>300</v>
      </c>
      <c r="E1291" s="4" t="s">
        <v>1170</v>
      </c>
      <c r="N1291" s="4" t="s">
        <v>567</v>
      </c>
      <c r="O1291" s="4" t="s">
        <v>343</v>
      </c>
      <c r="Q1291" s="4" t="s">
        <v>540</v>
      </c>
      <c r="X1291" s="4">
        <v>0.78</v>
      </c>
      <c r="AE1291" s="4" t="s">
        <v>1162</v>
      </c>
      <c r="AF1291" s="63" t="s">
        <v>1163</v>
      </c>
      <c r="AH1291" s="4" t="s">
        <v>371</v>
      </c>
      <c r="AI1291" s="4" t="s">
        <v>1058</v>
      </c>
      <c r="AM1291" s="4" t="s">
        <v>1150</v>
      </c>
      <c r="AQ1291" s="4" t="s">
        <v>464</v>
      </c>
      <c r="AR1291" s="4" t="s">
        <v>1151</v>
      </c>
      <c r="AS1291" s="4" t="s">
        <v>465</v>
      </c>
      <c r="AT1291" s="4" t="s">
        <v>1152</v>
      </c>
      <c r="BD1291" s="4" t="s">
        <v>1153</v>
      </c>
      <c r="DO1291" s="4">
        <v>3</v>
      </c>
      <c r="GA1291" s="1">
        <v>1.79</v>
      </c>
      <c r="KZ1291" s="1" t="s">
        <v>11</v>
      </c>
      <c r="LA1291" s="1" t="s">
        <v>1164</v>
      </c>
    </row>
    <row r="1292" customHeight="1" spans="1:313">
      <c r="A1292" s="39">
        <v>40</v>
      </c>
      <c r="B1292" s="4" t="s">
        <v>1146</v>
      </c>
      <c r="C1292" s="5" t="s">
        <v>1169</v>
      </c>
      <c r="D1292" s="4" t="s">
        <v>300</v>
      </c>
      <c r="E1292" s="4" t="s">
        <v>1170</v>
      </c>
      <c r="N1292" s="4" t="s">
        <v>567</v>
      </c>
      <c r="O1292" s="4" t="s">
        <v>343</v>
      </c>
      <c r="Q1292" s="4" t="s">
        <v>540</v>
      </c>
      <c r="X1292" s="4">
        <v>0.78</v>
      </c>
      <c r="AE1292" s="4" t="s">
        <v>1162</v>
      </c>
      <c r="AF1292" s="63" t="s">
        <v>1163</v>
      </c>
      <c r="AH1292" s="4" t="s">
        <v>371</v>
      </c>
      <c r="AI1292" s="4" t="s">
        <v>1058</v>
      </c>
      <c r="AM1292" s="4" t="s">
        <v>1150</v>
      </c>
      <c r="AQ1292" s="4" t="s">
        <v>464</v>
      </c>
      <c r="AR1292" s="4" t="s">
        <v>1151</v>
      </c>
      <c r="AS1292" s="4" t="s">
        <v>465</v>
      </c>
      <c r="AT1292" s="4" t="s">
        <v>1152</v>
      </c>
      <c r="BD1292" s="4" t="s">
        <v>1153</v>
      </c>
      <c r="BI1292" s="4" t="s">
        <v>321</v>
      </c>
      <c r="BK1292" s="4">
        <v>25</v>
      </c>
      <c r="BM1292" s="4">
        <v>0.025</v>
      </c>
      <c r="BV1292" s="4">
        <v>360</v>
      </c>
      <c r="CB1292" s="4" t="s">
        <v>12</v>
      </c>
      <c r="CC1292" s="4" t="s">
        <v>1154</v>
      </c>
      <c r="DB1292" s="4" t="s">
        <v>951</v>
      </c>
      <c r="DC1292" s="4" t="s">
        <v>1155</v>
      </c>
      <c r="DE1292" s="4">
        <v>81.39</v>
      </c>
      <c r="DO1292" s="4">
        <v>3</v>
      </c>
      <c r="GT1292" s="29">
        <v>81.44</v>
      </c>
    </row>
    <row r="1293" customHeight="1" spans="1:313">
      <c r="A1293" s="39">
        <v>40</v>
      </c>
      <c r="B1293" s="4" t="s">
        <v>1146</v>
      </c>
      <c r="C1293" s="5" t="s">
        <v>1169</v>
      </c>
      <c r="D1293" s="4" t="s">
        <v>300</v>
      </c>
      <c r="E1293" s="4" t="s">
        <v>1170</v>
      </c>
      <c r="N1293" s="4" t="s">
        <v>567</v>
      </c>
      <c r="O1293" s="4" t="s">
        <v>343</v>
      </c>
      <c r="Q1293" s="4" t="s">
        <v>540</v>
      </c>
      <c r="X1293" s="4">
        <v>0.78</v>
      </c>
      <c r="AE1293" s="4" t="s">
        <v>1162</v>
      </c>
      <c r="AF1293" s="63" t="s">
        <v>1163</v>
      </c>
      <c r="AH1293" s="4" t="s">
        <v>371</v>
      </c>
      <c r="AI1293" s="4" t="s">
        <v>1058</v>
      </c>
      <c r="AM1293" s="4" t="s">
        <v>1150</v>
      </c>
      <c r="AQ1293" s="4" t="s">
        <v>464</v>
      </c>
      <c r="AR1293" s="4" t="s">
        <v>1151</v>
      </c>
      <c r="AS1293" s="4" t="s">
        <v>465</v>
      </c>
      <c r="AT1293" s="4" t="s">
        <v>1152</v>
      </c>
      <c r="BD1293" s="4" t="s">
        <v>1153</v>
      </c>
      <c r="BI1293" s="4" t="s">
        <v>321</v>
      </c>
      <c r="BK1293" s="4">
        <v>25</v>
      </c>
      <c r="BM1293" s="4">
        <v>0.025</v>
      </c>
      <c r="BV1293" s="4">
        <v>360</v>
      </c>
      <c r="CB1293" s="4" t="s">
        <v>11</v>
      </c>
      <c r="CC1293" s="4" t="s">
        <v>1154</v>
      </c>
      <c r="DB1293" s="4" t="s">
        <v>951</v>
      </c>
      <c r="DC1293" s="4" t="s">
        <v>1155</v>
      </c>
      <c r="DE1293" s="4">
        <v>80.69</v>
      </c>
      <c r="DO1293" s="4">
        <v>3</v>
      </c>
      <c r="GE1293" s="29">
        <v>81.21</v>
      </c>
      <c r="GP1293" s="4">
        <v>74.44</v>
      </c>
    </row>
    <row r="1294" customHeight="1" spans="1:313">
      <c r="A1294" s="39">
        <v>40</v>
      </c>
      <c r="B1294" s="4" t="s">
        <v>1146</v>
      </c>
      <c r="C1294" s="5" t="s">
        <v>1169</v>
      </c>
      <c r="D1294" s="4" t="s">
        <v>300</v>
      </c>
      <c r="E1294" s="4" t="s">
        <v>1170</v>
      </c>
      <c r="N1294" s="4" t="s">
        <v>567</v>
      </c>
      <c r="O1294" s="4" t="s">
        <v>343</v>
      </c>
      <c r="Q1294" s="4" t="s">
        <v>540</v>
      </c>
      <c r="X1294" s="4">
        <v>0.78</v>
      </c>
      <c r="AE1294" s="4" t="s">
        <v>1162</v>
      </c>
      <c r="AF1294" s="63" t="s">
        <v>1163</v>
      </c>
      <c r="AH1294" s="4" t="s">
        <v>371</v>
      </c>
      <c r="AI1294" s="4" t="s">
        <v>1058</v>
      </c>
      <c r="AM1294" s="4" t="s">
        <v>1150</v>
      </c>
      <c r="AQ1294" s="4" t="s">
        <v>464</v>
      </c>
      <c r="AR1294" s="4" t="s">
        <v>1151</v>
      </c>
      <c r="AS1294" s="4" t="s">
        <v>465</v>
      </c>
      <c r="AT1294" s="4" t="s">
        <v>1152</v>
      </c>
      <c r="BD1294" s="4" t="s">
        <v>1153</v>
      </c>
      <c r="BI1294" s="4" t="s">
        <v>321</v>
      </c>
      <c r="BK1294" s="4">
        <v>25</v>
      </c>
      <c r="BL1294" s="4">
        <v>1</v>
      </c>
      <c r="BM1294" s="4">
        <v>0.025</v>
      </c>
      <c r="BN1294" s="4">
        <v>1</v>
      </c>
      <c r="BV1294" s="4" t="s">
        <v>427</v>
      </c>
      <c r="CB1294" s="4" t="s">
        <v>12</v>
      </c>
      <c r="CC1294" s="4">
        <v>200</v>
      </c>
      <c r="CV1294" s="4">
        <v>180</v>
      </c>
      <c r="CX1294" s="4" t="s">
        <v>314</v>
      </c>
      <c r="CZ1294" s="4" t="s">
        <v>328</v>
      </c>
      <c r="DA1294" s="4" t="s">
        <v>1156</v>
      </c>
      <c r="DM1294" s="4">
        <v>300</v>
      </c>
      <c r="DO1294" s="4">
        <v>3</v>
      </c>
    </row>
    <row r="1295" customHeight="1" spans="1:313">
      <c r="A1295" s="39">
        <v>40</v>
      </c>
      <c r="B1295" s="4" t="s">
        <v>1146</v>
      </c>
      <c r="C1295" s="5" t="s">
        <v>1169</v>
      </c>
      <c r="D1295" s="4" t="s">
        <v>300</v>
      </c>
      <c r="E1295" s="4" t="s">
        <v>1170</v>
      </c>
      <c r="N1295" s="4" t="s">
        <v>567</v>
      </c>
      <c r="O1295" s="4" t="s">
        <v>343</v>
      </c>
      <c r="Q1295" s="4" t="s">
        <v>540</v>
      </c>
      <c r="X1295" s="4">
        <v>0.78</v>
      </c>
      <c r="AE1295" s="4" t="s">
        <v>1162</v>
      </c>
      <c r="AF1295" s="63" t="s">
        <v>1163</v>
      </c>
      <c r="AH1295" s="4" t="s">
        <v>371</v>
      </c>
      <c r="AI1295" s="4" t="s">
        <v>1058</v>
      </c>
      <c r="AM1295" s="4" t="s">
        <v>1150</v>
      </c>
      <c r="AQ1295" s="4" t="s">
        <v>464</v>
      </c>
      <c r="AR1295" s="4" t="s">
        <v>1151</v>
      </c>
      <c r="AS1295" s="4" t="s">
        <v>465</v>
      </c>
      <c r="AT1295" s="4" t="s">
        <v>1152</v>
      </c>
      <c r="BD1295" s="4" t="s">
        <v>1153</v>
      </c>
      <c r="BI1295" s="4" t="s">
        <v>321</v>
      </c>
      <c r="BK1295" s="4">
        <v>25</v>
      </c>
      <c r="BL1295" s="4">
        <v>1</v>
      </c>
      <c r="BM1295" s="4">
        <v>0.025</v>
      </c>
      <c r="BN1295" s="4">
        <v>1</v>
      </c>
      <c r="BV1295" s="4" t="s">
        <v>427</v>
      </c>
      <c r="CB1295" s="4" t="s">
        <v>11</v>
      </c>
      <c r="CC1295" s="4">
        <v>200</v>
      </c>
      <c r="CV1295" s="4">
        <v>180</v>
      </c>
      <c r="CX1295" s="4" t="s">
        <v>314</v>
      </c>
      <c r="CZ1295" s="4" t="s">
        <v>328</v>
      </c>
      <c r="DA1295" s="4" t="s">
        <v>1156</v>
      </c>
      <c r="DM1295" s="4">
        <v>300</v>
      </c>
      <c r="DO1295" s="4">
        <v>3</v>
      </c>
      <c r="GE1295" s="4">
        <v>75.81</v>
      </c>
      <c r="GK1295" s="1">
        <f>GE1295/2</f>
        <v>37.905</v>
      </c>
      <c r="GL1295" s="1">
        <v>37.905</v>
      </c>
    </row>
    <row r="1296" customHeight="1" spans="1:313">
      <c r="A1296" s="39">
        <v>40</v>
      </c>
      <c r="B1296" s="4" t="s">
        <v>1146</v>
      </c>
      <c r="C1296" s="5" t="s">
        <v>1171</v>
      </c>
      <c r="D1296" s="4" t="s">
        <v>300</v>
      </c>
      <c r="E1296" s="4" t="s">
        <v>1172</v>
      </c>
      <c r="N1296" s="4" t="s">
        <v>567</v>
      </c>
      <c r="O1296" s="4" t="s">
        <v>343</v>
      </c>
      <c r="Q1296" s="4" t="s">
        <v>540</v>
      </c>
      <c r="X1296" s="4">
        <v>0.78</v>
      </c>
      <c r="AB1296" s="4" t="s">
        <v>1173</v>
      </c>
      <c r="AE1296" s="4" t="s">
        <v>1162</v>
      </c>
      <c r="AF1296" s="63" t="s">
        <v>1163</v>
      </c>
      <c r="AH1296" s="4" t="s">
        <v>371</v>
      </c>
      <c r="AI1296" s="4" t="s">
        <v>1058</v>
      </c>
      <c r="AM1296" s="4" t="s">
        <v>1150</v>
      </c>
      <c r="AQ1296" s="4" t="s">
        <v>464</v>
      </c>
      <c r="AR1296" s="4" t="s">
        <v>1151</v>
      </c>
      <c r="AS1296" s="4" t="s">
        <v>465</v>
      </c>
      <c r="AT1296" s="4" t="s">
        <v>1152</v>
      </c>
      <c r="BD1296" s="4" t="s">
        <v>1153</v>
      </c>
      <c r="DO1296" s="4">
        <v>3</v>
      </c>
      <c r="GP1296" s="1">
        <v>2.2</v>
      </c>
      <c r="KZ1296" s="1" t="s">
        <v>12</v>
      </c>
      <c r="LA1296" s="1" t="s">
        <v>1164</v>
      </c>
    </row>
    <row r="1297" customHeight="1" spans="1:313">
      <c r="A1297" s="39">
        <v>40</v>
      </c>
      <c r="B1297" s="4" t="s">
        <v>1146</v>
      </c>
      <c r="C1297" s="5" t="s">
        <v>1171</v>
      </c>
      <c r="D1297" s="4" t="s">
        <v>300</v>
      </c>
      <c r="E1297" s="4" t="s">
        <v>1172</v>
      </c>
      <c r="N1297" s="4" t="s">
        <v>567</v>
      </c>
      <c r="O1297" s="4" t="s">
        <v>343</v>
      </c>
      <c r="Q1297" s="4" t="s">
        <v>540</v>
      </c>
      <c r="X1297" s="4">
        <v>0.78</v>
      </c>
      <c r="AB1297" s="4" t="s">
        <v>1173</v>
      </c>
      <c r="AE1297" s="4" t="s">
        <v>1162</v>
      </c>
      <c r="AF1297" s="63" t="s">
        <v>1163</v>
      </c>
      <c r="AH1297" s="4" t="s">
        <v>371</v>
      </c>
      <c r="AI1297" s="4" t="s">
        <v>1058</v>
      </c>
      <c r="AM1297" s="4" t="s">
        <v>1150</v>
      </c>
      <c r="AQ1297" s="4" t="s">
        <v>464</v>
      </c>
      <c r="AR1297" s="4" t="s">
        <v>1151</v>
      </c>
      <c r="AS1297" s="4" t="s">
        <v>465</v>
      </c>
      <c r="AT1297" s="4" t="s">
        <v>1152</v>
      </c>
      <c r="BD1297" s="4" t="s">
        <v>1153</v>
      </c>
      <c r="DO1297" s="4">
        <v>3</v>
      </c>
      <c r="KZ1297" s="1" t="s">
        <v>11</v>
      </c>
      <c r="LA1297" s="1" t="s">
        <v>1164</v>
      </c>
    </row>
    <row r="1298" customHeight="1" spans="1:313">
      <c r="A1298" s="39">
        <v>40</v>
      </c>
      <c r="B1298" s="4" t="s">
        <v>1146</v>
      </c>
      <c r="C1298" s="5" t="s">
        <v>1171</v>
      </c>
      <c r="D1298" s="4" t="s">
        <v>300</v>
      </c>
      <c r="E1298" s="4" t="s">
        <v>1172</v>
      </c>
      <c r="N1298" s="4" t="s">
        <v>567</v>
      </c>
      <c r="O1298" s="4" t="s">
        <v>343</v>
      </c>
      <c r="Q1298" s="4" t="s">
        <v>540</v>
      </c>
      <c r="X1298" s="4">
        <v>0.78</v>
      </c>
      <c r="AB1298" s="4" t="s">
        <v>1173</v>
      </c>
      <c r="AE1298" s="4" t="s">
        <v>1162</v>
      </c>
      <c r="AF1298" s="63" t="s">
        <v>1163</v>
      </c>
      <c r="AH1298" s="4" t="s">
        <v>371</v>
      </c>
      <c r="AI1298" s="4" t="s">
        <v>1058</v>
      </c>
      <c r="AM1298" s="4" t="s">
        <v>1150</v>
      </c>
      <c r="AQ1298" s="4" t="s">
        <v>464</v>
      </c>
      <c r="AR1298" s="4" t="s">
        <v>1151</v>
      </c>
      <c r="AS1298" s="4" t="s">
        <v>465</v>
      </c>
      <c r="AT1298" s="4" t="s">
        <v>1152</v>
      </c>
      <c r="BD1298" s="4" t="s">
        <v>1153</v>
      </c>
      <c r="BI1298" s="4" t="s">
        <v>321</v>
      </c>
      <c r="BK1298" s="4">
        <v>25</v>
      </c>
      <c r="BM1298" s="4">
        <v>0.025</v>
      </c>
      <c r="BV1298" s="4">
        <v>360</v>
      </c>
      <c r="CB1298" s="4" t="s">
        <v>12</v>
      </c>
      <c r="CC1298" s="4" t="s">
        <v>1154</v>
      </c>
      <c r="DB1298" s="4" t="s">
        <v>951</v>
      </c>
      <c r="DC1298" s="4" t="s">
        <v>1155</v>
      </c>
      <c r="DE1298" s="4">
        <v>75.67</v>
      </c>
      <c r="DO1298" s="4">
        <v>3</v>
      </c>
      <c r="GT1298" s="29">
        <v>75.73</v>
      </c>
    </row>
    <row r="1299" customHeight="1" spans="1:313">
      <c r="A1299" s="39">
        <v>40</v>
      </c>
      <c r="B1299" s="4" t="s">
        <v>1146</v>
      </c>
      <c r="C1299" s="5" t="s">
        <v>1171</v>
      </c>
      <c r="D1299" s="4" t="s">
        <v>300</v>
      </c>
      <c r="E1299" s="4" t="s">
        <v>1172</v>
      </c>
      <c r="N1299" s="4" t="s">
        <v>567</v>
      </c>
      <c r="O1299" s="4" t="s">
        <v>343</v>
      </c>
      <c r="Q1299" s="4" t="s">
        <v>540</v>
      </c>
      <c r="X1299" s="4">
        <v>0.78</v>
      </c>
      <c r="AB1299" s="4" t="s">
        <v>1173</v>
      </c>
      <c r="AE1299" s="4" t="s">
        <v>1162</v>
      </c>
      <c r="AF1299" s="63" t="s">
        <v>1163</v>
      </c>
      <c r="AH1299" s="4" t="s">
        <v>371</v>
      </c>
      <c r="AI1299" s="4" t="s">
        <v>1058</v>
      </c>
      <c r="AM1299" s="4" t="s">
        <v>1150</v>
      </c>
      <c r="AQ1299" s="4" t="s">
        <v>464</v>
      </c>
      <c r="AR1299" s="4" t="s">
        <v>1151</v>
      </c>
      <c r="AS1299" s="4" t="s">
        <v>465</v>
      </c>
      <c r="AT1299" s="4" t="s">
        <v>1152</v>
      </c>
      <c r="BD1299" s="4" t="s">
        <v>1153</v>
      </c>
      <c r="BI1299" s="4" t="s">
        <v>321</v>
      </c>
      <c r="BK1299" s="4">
        <v>25</v>
      </c>
      <c r="BM1299" s="4">
        <v>0.025</v>
      </c>
      <c r="BV1299" s="4">
        <v>360</v>
      </c>
      <c r="CB1299" s="4" t="s">
        <v>11</v>
      </c>
      <c r="CC1299" s="4" t="s">
        <v>1154</v>
      </c>
      <c r="DB1299" s="4" t="s">
        <v>951</v>
      </c>
      <c r="DC1299" s="4" t="s">
        <v>1155</v>
      </c>
      <c r="DE1299" s="4">
        <v>77.06</v>
      </c>
      <c r="DO1299" s="4">
        <v>3</v>
      </c>
      <c r="GE1299" s="29">
        <v>77.4</v>
      </c>
      <c r="GP1299" s="4">
        <v>71.03</v>
      </c>
    </row>
    <row r="1300" customHeight="1" spans="1:313">
      <c r="A1300" s="39">
        <v>40</v>
      </c>
      <c r="B1300" s="4" t="s">
        <v>1146</v>
      </c>
      <c r="C1300" s="5" t="s">
        <v>1171</v>
      </c>
      <c r="D1300" s="4" t="s">
        <v>300</v>
      </c>
      <c r="E1300" s="4" t="s">
        <v>1172</v>
      </c>
      <c r="N1300" s="4" t="s">
        <v>567</v>
      </c>
      <c r="O1300" s="4" t="s">
        <v>343</v>
      </c>
      <c r="Q1300" s="4" t="s">
        <v>540</v>
      </c>
      <c r="X1300" s="4">
        <v>0.78</v>
      </c>
      <c r="AB1300" s="4" t="s">
        <v>1173</v>
      </c>
      <c r="AE1300" s="4" t="s">
        <v>1162</v>
      </c>
      <c r="AF1300" s="63" t="s">
        <v>1163</v>
      </c>
      <c r="AH1300" s="4" t="s">
        <v>371</v>
      </c>
      <c r="AI1300" s="4" t="s">
        <v>1058</v>
      </c>
      <c r="AM1300" s="4" t="s">
        <v>1150</v>
      </c>
      <c r="AQ1300" s="4" t="s">
        <v>464</v>
      </c>
      <c r="AR1300" s="4" t="s">
        <v>1151</v>
      </c>
      <c r="AS1300" s="4" t="s">
        <v>465</v>
      </c>
      <c r="AT1300" s="4" t="s">
        <v>1152</v>
      </c>
      <c r="BD1300" s="4" t="s">
        <v>1153</v>
      </c>
      <c r="BI1300" s="4" t="s">
        <v>321</v>
      </c>
      <c r="BK1300" s="4">
        <v>25</v>
      </c>
      <c r="BL1300" s="4">
        <v>1</v>
      </c>
      <c r="BM1300" s="4">
        <v>0.025</v>
      </c>
      <c r="BN1300" s="4">
        <v>1</v>
      </c>
      <c r="BV1300" s="4" t="s">
        <v>427</v>
      </c>
      <c r="CB1300" s="4" t="s">
        <v>12</v>
      </c>
      <c r="CC1300" s="4">
        <v>200</v>
      </c>
      <c r="CV1300" s="4">
        <v>180</v>
      </c>
      <c r="CX1300" s="4" t="s">
        <v>314</v>
      </c>
      <c r="CZ1300" s="4" t="s">
        <v>328</v>
      </c>
      <c r="DA1300" s="4" t="s">
        <v>1156</v>
      </c>
      <c r="DM1300" s="4">
        <v>300</v>
      </c>
      <c r="DO1300" s="4">
        <v>3</v>
      </c>
    </row>
    <row r="1301" customHeight="1" spans="1:313">
      <c r="A1301" s="39">
        <v>40</v>
      </c>
      <c r="B1301" s="4" t="s">
        <v>1146</v>
      </c>
      <c r="C1301" s="5" t="s">
        <v>1171</v>
      </c>
      <c r="D1301" s="4" t="s">
        <v>300</v>
      </c>
      <c r="E1301" s="4" t="s">
        <v>1172</v>
      </c>
      <c r="N1301" s="4" t="s">
        <v>567</v>
      </c>
      <c r="O1301" s="4" t="s">
        <v>343</v>
      </c>
      <c r="Q1301" s="4" t="s">
        <v>540</v>
      </c>
      <c r="X1301" s="4">
        <v>0.78</v>
      </c>
      <c r="AB1301" s="4" t="s">
        <v>1173</v>
      </c>
      <c r="AE1301" s="4" t="s">
        <v>1162</v>
      </c>
      <c r="AF1301" s="63" t="s">
        <v>1163</v>
      </c>
      <c r="AH1301" s="4" t="s">
        <v>371</v>
      </c>
      <c r="AI1301" s="4" t="s">
        <v>1058</v>
      </c>
      <c r="AM1301" s="4" t="s">
        <v>1150</v>
      </c>
      <c r="AQ1301" s="4" t="s">
        <v>464</v>
      </c>
      <c r="AR1301" s="4" t="s">
        <v>1151</v>
      </c>
      <c r="AS1301" s="4" t="s">
        <v>465</v>
      </c>
      <c r="AT1301" s="4" t="s">
        <v>1152</v>
      </c>
      <c r="BD1301" s="4" t="s">
        <v>1153</v>
      </c>
      <c r="BI1301" s="4" t="s">
        <v>321</v>
      </c>
      <c r="BK1301" s="4">
        <v>25</v>
      </c>
      <c r="BL1301" s="4">
        <v>1</v>
      </c>
      <c r="BM1301" s="4">
        <v>0.025</v>
      </c>
      <c r="BN1301" s="4">
        <v>1</v>
      </c>
      <c r="BV1301" s="4" t="s">
        <v>427</v>
      </c>
      <c r="CB1301" s="4" t="s">
        <v>11</v>
      </c>
      <c r="CC1301" s="4">
        <v>200</v>
      </c>
      <c r="CV1301" s="4">
        <v>180</v>
      </c>
      <c r="CX1301" s="4" t="s">
        <v>314</v>
      </c>
      <c r="CZ1301" s="4" t="s">
        <v>328</v>
      </c>
      <c r="DA1301" s="4" t="s">
        <v>1156</v>
      </c>
      <c r="DM1301" s="4">
        <v>300</v>
      </c>
      <c r="DO1301" s="4">
        <v>3</v>
      </c>
      <c r="GE1301" s="4">
        <v>74.01</v>
      </c>
      <c r="GK1301" s="1">
        <f>GE1301/2</f>
        <v>37.005</v>
      </c>
      <c r="GL1301" s="1">
        <v>37.005</v>
      </c>
    </row>
    <row r="1302" customHeight="1" spans="1:313">
      <c r="A1302" s="3">
        <v>41</v>
      </c>
      <c r="B1302" s="4" t="s">
        <v>1174</v>
      </c>
      <c r="C1302" s="5" t="s">
        <v>1175</v>
      </c>
      <c r="D1302" s="4" t="s">
        <v>1176</v>
      </c>
      <c r="E1302" s="4" t="s">
        <v>1177</v>
      </c>
      <c r="N1302" s="4" t="s">
        <v>567</v>
      </c>
      <c r="O1302" s="4" t="s">
        <v>343</v>
      </c>
      <c r="Q1302" s="4" t="s">
        <v>539</v>
      </c>
      <c r="AH1302" s="4" t="s">
        <v>317</v>
      </c>
      <c r="AI1302" s="4" t="s">
        <v>1178</v>
      </c>
      <c r="AL1302" s="4" t="s">
        <v>689</v>
      </c>
      <c r="AQ1302" s="4" t="s">
        <v>11</v>
      </c>
      <c r="AR1302" s="4">
        <v>32.1</v>
      </c>
      <c r="BD1302" s="4" t="s">
        <v>1179</v>
      </c>
      <c r="DO1302" s="4">
        <v>3</v>
      </c>
      <c r="KZ1302" s="1" t="s">
        <v>11</v>
      </c>
      <c r="LA1302" s="1" t="s">
        <v>1180</v>
      </c>
    </row>
    <row r="1303" customHeight="1" spans="1:313">
      <c r="A1303" s="3">
        <v>41</v>
      </c>
      <c r="B1303" s="4" t="s">
        <v>1174</v>
      </c>
      <c r="C1303" s="5" t="s">
        <v>1175</v>
      </c>
      <c r="D1303" s="4" t="s">
        <v>1176</v>
      </c>
      <c r="E1303" s="4" t="s">
        <v>1177</v>
      </c>
      <c r="N1303" s="4" t="s">
        <v>567</v>
      </c>
      <c r="O1303" s="4" t="s">
        <v>343</v>
      </c>
      <c r="Q1303" s="4" t="s">
        <v>539</v>
      </c>
      <c r="AH1303" s="4" t="s">
        <v>317</v>
      </c>
      <c r="AI1303" s="4" t="s">
        <v>1178</v>
      </c>
      <c r="AL1303" s="4" t="s">
        <v>689</v>
      </c>
      <c r="AQ1303" s="4" t="s">
        <v>11</v>
      </c>
      <c r="AR1303" s="4">
        <v>32.1</v>
      </c>
      <c r="DO1303" s="4">
        <v>3</v>
      </c>
    </row>
    <row r="1304" customHeight="1" spans="1:313">
      <c r="A1304" s="5">
        <v>42</v>
      </c>
      <c r="B1304" s="4" t="s">
        <v>1181</v>
      </c>
      <c r="C1304" s="40" t="s">
        <v>1182</v>
      </c>
      <c r="D1304" s="4" t="s">
        <v>300</v>
      </c>
      <c r="E1304" s="4" t="s">
        <v>1183</v>
      </c>
      <c r="AB1304" s="4" t="s">
        <v>1184</v>
      </c>
      <c r="BI1304" s="4" t="s">
        <v>309</v>
      </c>
      <c r="BN1304" s="4">
        <v>0.5</v>
      </c>
      <c r="BS1304" s="4">
        <v>5</v>
      </c>
      <c r="BU1304" s="4">
        <v>125</v>
      </c>
      <c r="BW1304" s="4">
        <v>25</v>
      </c>
      <c r="CB1304" s="4" t="s">
        <v>458</v>
      </c>
      <c r="CC1304" s="4">
        <v>200</v>
      </c>
      <c r="DM1304" s="4" t="s">
        <v>1185</v>
      </c>
      <c r="DO1304" s="4">
        <v>3</v>
      </c>
      <c r="DP1304" s="4">
        <v>200</v>
      </c>
      <c r="DW1304" s="4">
        <v>236.11</v>
      </c>
      <c r="DX1304" s="1">
        <v>3.99</v>
      </c>
      <c r="EC1304" s="1">
        <f>DW1304*0.5/DP1304*100</f>
        <v>59.0275</v>
      </c>
      <c r="ED1304" s="1">
        <v>59.0275</v>
      </c>
    </row>
    <row r="1305" customHeight="1" spans="1:313">
      <c r="A1305" s="5">
        <v>42</v>
      </c>
      <c r="B1305" s="4" t="s">
        <v>1181</v>
      </c>
      <c r="C1305" s="40" t="s">
        <v>1182</v>
      </c>
      <c r="D1305" s="4" t="s">
        <v>300</v>
      </c>
      <c r="E1305" s="4" t="s">
        <v>1183</v>
      </c>
      <c r="BI1305" s="4" t="s">
        <v>309</v>
      </c>
      <c r="BN1305" s="4">
        <v>0.5</v>
      </c>
      <c r="BS1305" s="4">
        <v>5</v>
      </c>
      <c r="BU1305" s="4">
        <v>125</v>
      </c>
      <c r="BW1305" s="4">
        <v>25</v>
      </c>
      <c r="CB1305" s="4" t="s">
        <v>10</v>
      </c>
      <c r="CC1305" s="4">
        <v>100</v>
      </c>
      <c r="DM1305" s="4" t="s">
        <v>1185</v>
      </c>
      <c r="DO1305" s="4">
        <v>3</v>
      </c>
      <c r="DP1305" s="4">
        <v>100</v>
      </c>
      <c r="DW1305" s="1">
        <v>19.61</v>
      </c>
      <c r="DX1305" s="1">
        <v>0.37</v>
      </c>
      <c r="EC1305" s="1">
        <f t="shared" ref="EC1305:EC1317" si="39">DW1305*0.5/DP1305*100</f>
        <v>9.805</v>
      </c>
      <c r="ED1305" s="1">
        <v>9.805</v>
      </c>
      <c r="FP1305" s="4">
        <v>19.53</v>
      </c>
      <c r="FW1305" s="1">
        <v>19.52</v>
      </c>
    </row>
    <row r="1306" customHeight="1" spans="1:313">
      <c r="A1306" s="5">
        <v>42</v>
      </c>
      <c r="B1306" s="4" t="s">
        <v>1181</v>
      </c>
      <c r="C1306" s="40" t="s">
        <v>1186</v>
      </c>
      <c r="D1306" s="4" t="s">
        <v>300</v>
      </c>
      <c r="E1306" s="4" t="s">
        <v>1183</v>
      </c>
      <c r="T1306" s="4">
        <v>239.06</v>
      </c>
      <c r="U1306" s="4">
        <v>0.296</v>
      </c>
      <c r="V1306" s="4">
        <v>4.948</v>
      </c>
      <c r="AB1306" s="4" t="s">
        <v>1187</v>
      </c>
      <c r="AC1306" s="4" t="s">
        <v>1188</v>
      </c>
      <c r="AD1306" s="4" t="s">
        <v>1189</v>
      </c>
      <c r="AE1306" s="4" t="s">
        <v>1187</v>
      </c>
      <c r="AF1306" s="4" t="s">
        <v>1190</v>
      </c>
      <c r="BI1306" s="4" t="s">
        <v>309</v>
      </c>
      <c r="BN1306" s="4">
        <v>0.5</v>
      </c>
      <c r="BS1306" s="4">
        <v>5</v>
      </c>
      <c r="BU1306" s="4">
        <v>125</v>
      </c>
      <c r="BW1306" s="4">
        <v>25</v>
      </c>
      <c r="CB1306" s="4" t="s">
        <v>458</v>
      </c>
      <c r="CC1306" s="4">
        <v>200</v>
      </c>
      <c r="CV1306" s="4">
        <v>135</v>
      </c>
      <c r="CX1306" s="4" t="s">
        <v>314</v>
      </c>
      <c r="CZ1306" s="4" t="s">
        <v>328</v>
      </c>
      <c r="DA1306" s="4" t="s">
        <v>1191</v>
      </c>
      <c r="DM1306" s="4" t="s">
        <v>1185</v>
      </c>
      <c r="DO1306" s="4">
        <v>3</v>
      </c>
      <c r="DP1306" s="4">
        <v>200</v>
      </c>
      <c r="DW1306" s="4">
        <v>326.1</v>
      </c>
      <c r="DX1306" s="1">
        <v>5.32</v>
      </c>
      <c r="EC1306" s="1">
        <f t="shared" si="39"/>
        <v>81.525</v>
      </c>
      <c r="ED1306" s="1">
        <v>81.525</v>
      </c>
      <c r="FP1306" s="4"/>
      <c r="KZ1306" s="1" t="s">
        <v>10</v>
      </c>
      <c r="LA1306" s="1" t="s">
        <v>1192</v>
      </c>
    </row>
    <row r="1307" customHeight="1" spans="1:313">
      <c r="A1307" s="5">
        <v>42</v>
      </c>
      <c r="B1307" s="4" t="s">
        <v>1181</v>
      </c>
      <c r="C1307" s="40" t="s">
        <v>1186</v>
      </c>
      <c r="D1307" s="4" t="s">
        <v>300</v>
      </c>
      <c r="E1307" s="4" t="s">
        <v>1183</v>
      </c>
      <c r="T1307" s="4">
        <v>239.06</v>
      </c>
      <c r="U1307" s="4">
        <v>0.296</v>
      </c>
      <c r="V1307" s="4">
        <v>4.948</v>
      </c>
      <c r="AB1307" s="4" t="s">
        <v>1187</v>
      </c>
      <c r="AC1307" s="4" t="s">
        <v>1188</v>
      </c>
      <c r="AD1307" s="4" t="s">
        <v>1189</v>
      </c>
      <c r="AE1307" s="4" t="s">
        <v>1187</v>
      </c>
      <c r="AF1307" s="4" t="s">
        <v>1190</v>
      </c>
      <c r="BI1307" s="4" t="s">
        <v>309</v>
      </c>
      <c r="BN1307" s="4">
        <v>0.5</v>
      </c>
      <c r="BS1307" s="4">
        <v>5</v>
      </c>
      <c r="BU1307" s="4">
        <v>125</v>
      </c>
      <c r="BW1307" s="4">
        <v>25</v>
      </c>
      <c r="CB1307" s="4" t="s">
        <v>10</v>
      </c>
      <c r="CC1307" s="4">
        <v>100</v>
      </c>
      <c r="CV1307" s="4">
        <v>250</v>
      </c>
      <c r="CX1307" s="4" t="s">
        <v>314</v>
      </c>
      <c r="CZ1307" s="4" t="s">
        <v>328</v>
      </c>
      <c r="DA1307" s="4" t="s">
        <v>1191</v>
      </c>
      <c r="DM1307" s="4" t="s">
        <v>1185</v>
      </c>
      <c r="DO1307" s="4">
        <v>3</v>
      </c>
      <c r="DP1307" s="4">
        <v>100</v>
      </c>
      <c r="DW1307" s="1">
        <v>30.9</v>
      </c>
      <c r="DX1307" s="1">
        <v>0.37</v>
      </c>
      <c r="EC1307" s="1">
        <f t="shared" si="39"/>
        <v>15.45</v>
      </c>
      <c r="ED1307" s="1">
        <v>15.45</v>
      </c>
      <c r="FP1307" s="4">
        <v>30.85</v>
      </c>
      <c r="FW1307" s="1">
        <v>30.85</v>
      </c>
      <c r="KZ1307" s="1" t="s">
        <v>458</v>
      </c>
      <c r="LA1307" s="1" t="s">
        <v>1193</v>
      </c>
    </row>
    <row r="1308" customHeight="1" spans="1:313">
      <c r="A1308" s="5">
        <v>42</v>
      </c>
      <c r="B1308" s="4" t="s">
        <v>1181</v>
      </c>
      <c r="C1308" s="40" t="s">
        <v>1186</v>
      </c>
      <c r="D1308" s="4" t="s">
        <v>300</v>
      </c>
      <c r="E1308" s="4" t="s">
        <v>1183</v>
      </c>
      <c r="T1308" s="4">
        <v>239.06</v>
      </c>
      <c r="U1308" s="4">
        <v>0.296</v>
      </c>
      <c r="V1308" s="4">
        <v>4.948</v>
      </c>
      <c r="AB1308" s="4" t="s">
        <v>1187</v>
      </c>
      <c r="AC1308" s="4" t="s">
        <v>1188</v>
      </c>
      <c r="AD1308" s="4" t="s">
        <v>1189</v>
      </c>
      <c r="AE1308" s="4" t="s">
        <v>1187</v>
      </c>
      <c r="AF1308" s="4" t="s">
        <v>1190</v>
      </c>
      <c r="BI1308" s="4" t="s">
        <v>309</v>
      </c>
      <c r="BN1308" s="4">
        <v>0.5</v>
      </c>
      <c r="BS1308" s="4">
        <v>5</v>
      </c>
      <c r="BU1308" s="4">
        <v>125</v>
      </c>
      <c r="BW1308" s="4">
        <v>25</v>
      </c>
      <c r="CB1308" s="4" t="s">
        <v>458</v>
      </c>
      <c r="CC1308" s="4" t="s">
        <v>535</v>
      </c>
      <c r="DB1308" s="4" t="s">
        <v>1194</v>
      </c>
      <c r="DC1308" s="4" t="s">
        <v>1195</v>
      </c>
      <c r="DE1308" s="4">
        <v>331.03</v>
      </c>
      <c r="DO1308" s="4">
        <v>3</v>
      </c>
      <c r="DW1308" s="29">
        <v>331.03</v>
      </c>
    </row>
    <row r="1309" customHeight="1" spans="1:313">
      <c r="A1309" s="5">
        <v>42</v>
      </c>
      <c r="B1309" s="4" t="s">
        <v>1181</v>
      </c>
      <c r="C1309" s="40" t="s">
        <v>1186</v>
      </c>
      <c r="D1309" s="4" t="s">
        <v>300</v>
      </c>
      <c r="E1309" s="4" t="s">
        <v>1183</v>
      </c>
      <c r="T1309" s="4">
        <v>239.06</v>
      </c>
      <c r="U1309" s="4">
        <v>0.296</v>
      </c>
      <c r="V1309" s="4">
        <v>4.948</v>
      </c>
      <c r="AB1309" s="4" t="s">
        <v>1187</v>
      </c>
      <c r="AC1309" s="4" t="s">
        <v>1188</v>
      </c>
      <c r="AD1309" s="4" t="s">
        <v>1189</v>
      </c>
      <c r="AE1309" s="4" t="s">
        <v>1187</v>
      </c>
      <c r="AF1309" s="4" t="s">
        <v>1190</v>
      </c>
      <c r="BI1309" s="4" t="s">
        <v>309</v>
      </c>
      <c r="BN1309" s="4">
        <v>0.5</v>
      </c>
      <c r="BS1309" s="4">
        <v>5</v>
      </c>
      <c r="BU1309" s="4">
        <v>125</v>
      </c>
      <c r="BW1309" s="4">
        <v>25</v>
      </c>
      <c r="CB1309" s="4" t="s">
        <v>10</v>
      </c>
      <c r="CC1309" s="4" t="s">
        <v>1196</v>
      </c>
      <c r="DB1309" s="4" t="s">
        <v>1197</v>
      </c>
      <c r="DC1309" s="4" t="s">
        <v>1198</v>
      </c>
      <c r="DE1309" s="4">
        <v>33.48</v>
      </c>
      <c r="DO1309" s="4">
        <v>3</v>
      </c>
    </row>
    <row r="1310" customHeight="1" spans="1:313">
      <c r="A1310" s="5">
        <v>42</v>
      </c>
      <c r="B1310" s="4" t="s">
        <v>1181</v>
      </c>
      <c r="C1310" s="40" t="s">
        <v>1186</v>
      </c>
      <c r="D1310" s="4" t="s">
        <v>300</v>
      </c>
      <c r="E1310" s="4" t="s">
        <v>1183</v>
      </c>
      <c r="T1310" s="4">
        <v>239.06</v>
      </c>
      <c r="U1310" s="4">
        <v>0.296</v>
      </c>
      <c r="V1310" s="4">
        <v>4.948</v>
      </c>
      <c r="AB1310" s="4" t="s">
        <v>1187</v>
      </c>
      <c r="AC1310" s="4" t="s">
        <v>1188</v>
      </c>
      <c r="AD1310" s="4" t="s">
        <v>1189</v>
      </c>
      <c r="AE1310" s="4" t="s">
        <v>1187</v>
      </c>
      <c r="AF1310" s="4" t="s">
        <v>1190</v>
      </c>
      <c r="BI1310" s="4" t="s">
        <v>309</v>
      </c>
      <c r="BM1310" s="4">
        <v>0.05</v>
      </c>
      <c r="BS1310" s="4">
        <v>5</v>
      </c>
      <c r="CB1310" s="4" t="s">
        <v>458</v>
      </c>
      <c r="CC1310" s="4">
        <v>200</v>
      </c>
      <c r="CR1310" s="4" t="s">
        <v>512</v>
      </c>
      <c r="CU1310" s="4">
        <v>0</v>
      </c>
      <c r="DO1310" s="4">
        <v>3</v>
      </c>
      <c r="DP1310" s="4">
        <v>200</v>
      </c>
      <c r="DW1310" s="4">
        <v>326.42</v>
      </c>
      <c r="DX1310" s="1">
        <v>2.68</v>
      </c>
      <c r="EC1310" s="1">
        <f t="shared" si="39"/>
        <v>81.605</v>
      </c>
      <c r="ED1310" s="1">
        <v>81.605</v>
      </c>
    </row>
    <row r="1311" customHeight="1" spans="1:313">
      <c r="A1311" s="5">
        <v>42</v>
      </c>
      <c r="B1311" s="4" t="s">
        <v>1181</v>
      </c>
      <c r="C1311" s="40" t="s">
        <v>1186</v>
      </c>
      <c r="D1311" s="4" t="s">
        <v>300</v>
      </c>
      <c r="E1311" s="4" t="s">
        <v>1183</v>
      </c>
      <c r="T1311" s="4">
        <v>239.06</v>
      </c>
      <c r="U1311" s="4">
        <v>0.296</v>
      </c>
      <c r="V1311" s="4">
        <v>4.948</v>
      </c>
      <c r="AB1311" s="4" t="s">
        <v>1187</v>
      </c>
      <c r="AC1311" s="4" t="s">
        <v>1188</v>
      </c>
      <c r="AD1311" s="4" t="s">
        <v>1189</v>
      </c>
      <c r="AE1311" s="4" t="s">
        <v>1187</v>
      </c>
      <c r="AF1311" s="4" t="s">
        <v>1190</v>
      </c>
      <c r="BI1311" s="4" t="s">
        <v>309</v>
      </c>
      <c r="BM1311" s="4">
        <v>0.05</v>
      </c>
      <c r="BS1311" s="4">
        <v>5</v>
      </c>
      <c r="CB1311" s="4" t="s">
        <v>458</v>
      </c>
      <c r="CC1311" s="4">
        <v>200</v>
      </c>
      <c r="CR1311" s="4" t="s">
        <v>537</v>
      </c>
      <c r="CU1311" s="4">
        <v>10</v>
      </c>
      <c r="DO1311" s="4">
        <v>3</v>
      </c>
      <c r="DP1311" s="4">
        <v>200</v>
      </c>
      <c r="DW1311" s="4">
        <v>319.73</v>
      </c>
      <c r="DX1311" s="1">
        <v>4.01</v>
      </c>
      <c r="EC1311" s="1">
        <f t="shared" si="39"/>
        <v>79.9325</v>
      </c>
      <c r="ED1311" s="1">
        <v>79.9325</v>
      </c>
    </row>
    <row r="1312" customHeight="1" spans="1:313">
      <c r="A1312" s="5">
        <v>42</v>
      </c>
      <c r="B1312" s="4" t="s">
        <v>1181</v>
      </c>
      <c r="C1312" s="40" t="s">
        <v>1186</v>
      </c>
      <c r="D1312" s="4" t="s">
        <v>300</v>
      </c>
      <c r="E1312" s="4" t="s">
        <v>1183</v>
      </c>
      <c r="T1312" s="4">
        <v>239.06</v>
      </c>
      <c r="U1312" s="4">
        <v>0.296</v>
      </c>
      <c r="V1312" s="4">
        <v>4.948</v>
      </c>
      <c r="AB1312" s="4" t="s">
        <v>1187</v>
      </c>
      <c r="AC1312" s="4" t="s">
        <v>1188</v>
      </c>
      <c r="AD1312" s="4" t="s">
        <v>1189</v>
      </c>
      <c r="AE1312" s="4" t="s">
        <v>1187</v>
      </c>
      <c r="AF1312" s="4" t="s">
        <v>1190</v>
      </c>
      <c r="BI1312" s="4" t="s">
        <v>309</v>
      </c>
      <c r="BM1312" s="4">
        <v>0.05</v>
      </c>
      <c r="BS1312" s="4">
        <v>5</v>
      </c>
      <c r="CB1312" s="4" t="s">
        <v>458</v>
      </c>
      <c r="CC1312" s="4">
        <v>200</v>
      </c>
      <c r="CR1312" s="4" t="s">
        <v>1199</v>
      </c>
      <c r="CU1312" s="4">
        <v>10</v>
      </c>
      <c r="DO1312" s="4">
        <v>3</v>
      </c>
      <c r="DP1312" s="4">
        <v>200</v>
      </c>
      <c r="DW1312" s="4">
        <v>219.73</v>
      </c>
      <c r="DX1312" s="1">
        <v>2.68</v>
      </c>
      <c r="EC1312" s="1">
        <f t="shared" si="39"/>
        <v>54.9325</v>
      </c>
      <c r="ED1312" s="1">
        <v>54.9325</v>
      </c>
    </row>
    <row r="1313" customHeight="1" spans="1:179">
      <c r="A1313" s="5">
        <v>42</v>
      </c>
      <c r="B1313" s="4" t="s">
        <v>1181</v>
      </c>
      <c r="C1313" s="40" t="s">
        <v>1186</v>
      </c>
      <c r="D1313" s="4" t="s">
        <v>300</v>
      </c>
      <c r="E1313" s="4" t="s">
        <v>1183</v>
      </c>
      <c r="T1313" s="4">
        <v>239.06</v>
      </c>
      <c r="U1313" s="4">
        <v>0.296</v>
      </c>
      <c r="V1313" s="4">
        <v>4.948</v>
      </c>
      <c r="AB1313" s="4" t="s">
        <v>1187</v>
      </c>
      <c r="AC1313" s="4" t="s">
        <v>1188</v>
      </c>
      <c r="AD1313" s="4" t="s">
        <v>1189</v>
      </c>
      <c r="AE1313" s="4" t="s">
        <v>1187</v>
      </c>
      <c r="AF1313" s="4" t="s">
        <v>1190</v>
      </c>
      <c r="BI1313" s="4" t="s">
        <v>309</v>
      </c>
      <c r="BM1313" s="4">
        <v>0.05</v>
      </c>
      <c r="BS1313" s="4">
        <v>5</v>
      </c>
      <c r="CB1313" s="4" t="s">
        <v>458</v>
      </c>
      <c r="CC1313" s="4">
        <v>200</v>
      </c>
      <c r="CR1313" s="4" t="s">
        <v>536</v>
      </c>
      <c r="CU1313" s="4">
        <v>10</v>
      </c>
      <c r="DO1313" s="4">
        <v>3</v>
      </c>
      <c r="DP1313" s="4">
        <v>200</v>
      </c>
      <c r="DW1313" s="4">
        <v>202.01</v>
      </c>
      <c r="DX1313" s="1">
        <v>2.68</v>
      </c>
      <c r="EC1313" s="1">
        <f t="shared" si="39"/>
        <v>50.5025</v>
      </c>
      <c r="ED1313" s="1">
        <v>50.5025</v>
      </c>
    </row>
    <row r="1314" customHeight="1" spans="1:179">
      <c r="A1314" s="5">
        <v>42</v>
      </c>
      <c r="B1314" s="4" t="s">
        <v>1181</v>
      </c>
      <c r="C1314" s="40" t="s">
        <v>1186</v>
      </c>
      <c r="D1314" s="4" t="s">
        <v>300</v>
      </c>
      <c r="E1314" s="4" t="s">
        <v>1183</v>
      </c>
      <c r="T1314" s="4">
        <v>239.06</v>
      </c>
      <c r="U1314" s="4">
        <v>0.296</v>
      </c>
      <c r="V1314" s="4">
        <v>4.948</v>
      </c>
      <c r="AB1314" s="4" t="s">
        <v>1187</v>
      </c>
      <c r="AC1314" s="4" t="s">
        <v>1188</v>
      </c>
      <c r="AD1314" s="4" t="s">
        <v>1189</v>
      </c>
      <c r="AE1314" s="4" t="s">
        <v>1187</v>
      </c>
      <c r="AF1314" s="4" t="s">
        <v>1190</v>
      </c>
      <c r="BI1314" s="4" t="s">
        <v>309</v>
      </c>
      <c r="BM1314" s="4">
        <v>0.05</v>
      </c>
      <c r="BS1314" s="4">
        <v>5</v>
      </c>
      <c r="CB1314" s="4" t="s">
        <v>458</v>
      </c>
      <c r="CC1314" s="4">
        <v>200</v>
      </c>
      <c r="CR1314" s="4" t="s">
        <v>539</v>
      </c>
      <c r="CU1314" s="4">
        <v>10</v>
      </c>
      <c r="DO1314" s="4">
        <v>3</v>
      </c>
      <c r="DP1314" s="4">
        <v>200</v>
      </c>
      <c r="DW1314" s="4">
        <v>259.53</v>
      </c>
      <c r="DX1314" s="1">
        <v>2.68</v>
      </c>
      <c r="EC1314" s="1">
        <f t="shared" si="39"/>
        <v>64.8825</v>
      </c>
      <c r="ED1314" s="1">
        <v>64.8825</v>
      </c>
    </row>
    <row r="1315" customHeight="1" spans="1:179">
      <c r="A1315" s="5">
        <v>42</v>
      </c>
      <c r="B1315" s="4" t="s">
        <v>1181</v>
      </c>
      <c r="C1315" s="40" t="s">
        <v>1186</v>
      </c>
      <c r="D1315" s="4" t="s">
        <v>300</v>
      </c>
      <c r="E1315" s="4" t="s">
        <v>1183</v>
      </c>
      <c r="T1315" s="4">
        <v>239.06</v>
      </c>
      <c r="U1315" s="4">
        <v>0.296</v>
      </c>
      <c r="V1315" s="4">
        <v>4.948</v>
      </c>
      <c r="AB1315" s="4" t="s">
        <v>1187</v>
      </c>
      <c r="AC1315" s="4" t="s">
        <v>1188</v>
      </c>
      <c r="AD1315" s="4" t="s">
        <v>1189</v>
      </c>
      <c r="AE1315" s="4" t="s">
        <v>1187</v>
      </c>
      <c r="AF1315" s="4" t="s">
        <v>1190</v>
      </c>
      <c r="BI1315" s="4" t="s">
        <v>309</v>
      </c>
      <c r="BM1315" s="4">
        <v>0.05</v>
      </c>
      <c r="BS1315" s="4">
        <v>5</v>
      </c>
      <c r="CB1315" s="4" t="s">
        <v>458</v>
      </c>
      <c r="CC1315" s="4">
        <v>200</v>
      </c>
      <c r="CR1315" s="4" t="s">
        <v>540</v>
      </c>
      <c r="CU1315" s="4">
        <v>10</v>
      </c>
      <c r="DO1315" s="4">
        <v>3</v>
      </c>
      <c r="DP1315" s="4">
        <v>200</v>
      </c>
      <c r="DW1315" s="4">
        <v>275.59</v>
      </c>
      <c r="DX1315" s="1">
        <v>4.01</v>
      </c>
      <c r="EC1315" s="1">
        <f t="shared" si="39"/>
        <v>68.8975</v>
      </c>
      <c r="ED1315" s="1">
        <v>68.8975</v>
      </c>
    </row>
    <row r="1316" customHeight="1" spans="1:179">
      <c r="A1316" s="5">
        <v>42</v>
      </c>
      <c r="B1316" s="4" t="s">
        <v>1181</v>
      </c>
      <c r="C1316" s="40" t="s">
        <v>1186</v>
      </c>
      <c r="D1316" s="4" t="s">
        <v>300</v>
      </c>
      <c r="E1316" s="4" t="s">
        <v>1183</v>
      </c>
      <c r="T1316" s="4">
        <v>239.06</v>
      </c>
      <c r="U1316" s="4">
        <v>0.296</v>
      </c>
      <c r="V1316" s="4">
        <v>4.948</v>
      </c>
      <c r="AB1316" s="4" t="s">
        <v>1187</v>
      </c>
      <c r="AC1316" s="4" t="s">
        <v>1188</v>
      </c>
      <c r="AD1316" s="4" t="s">
        <v>1189</v>
      </c>
      <c r="AE1316" s="4" t="s">
        <v>1187</v>
      </c>
      <c r="AF1316" s="4" t="s">
        <v>1190</v>
      </c>
      <c r="BI1316" s="4" t="s">
        <v>309</v>
      </c>
      <c r="BM1316" s="4">
        <v>0.05</v>
      </c>
      <c r="BS1316" s="4">
        <v>5</v>
      </c>
      <c r="CB1316" s="4" t="s">
        <v>458</v>
      </c>
      <c r="CC1316" s="4">
        <v>200</v>
      </c>
      <c r="CR1316" s="4" t="s">
        <v>542</v>
      </c>
      <c r="CU1316" s="4">
        <v>10</v>
      </c>
      <c r="DO1316" s="4">
        <v>3</v>
      </c>
      <c r="DP1316" s="4">
        <v>200</v>
      </c>
      <c r="DW1316" s="4">
        <v>362.54</v>
      </c>
      <c r="DX1316" s="1">
        <v>2.68</v>
      </c>
      <c r="EC1316" s="1">
        <f t="shared" si="39"/>
        <v>90.635</v>
      </c>
      <c r="ED1316" s="1">
        <v>90.635</v>
      </c>
    </row>
    <row r="1317" customHeight="1" spans="1:179">
      <c r="A1317" s="5">
        <v>42</v>
      </c>
      <c r="B1317" s="4" t="s">
        <v>1181</v>
      </c>
      <c r="C1317" s="40" t="s">
        <v>1186</v>
      </c>
      <c r="D1317" s="4" t="s">
        <v>300</v>
      </c>
      <c r="E1317" s="4" t="s">
        <v>1183</v>
      </c>
      <c r="T1317" s="4">
        <v>239.06</v>
      </c>
      <c r="U1317" s="4">
        <v>0.296</v>
      </c>
      <c r="V1317" s="4">
        <v>4.948</v>
      </c>
      <c r="AB1317" s="4" t="s">
        <v>1187</v>
      </c>
      <c r="AC1317" s="4" t="s">
        <v>1188</v>
      </c>
      <c r="AD1317" s="4" t="s">
        <v>1189</v>
      </c>
      <c r="AE1317" s="4" t="s">
        <v>1187</v>
      </c>
      <c r="AF1317" s="4" t="s">
        <v>1190</v>
      </c>
      <c r="BI1317" s="4" t="s">
        <v>309</v>
      </c>
      <c r="BM1317" s="4">
        <v>0.05</v>
      </c>
      <c r="BS1317" s="4">
        <v>5</v>
      </c>
      <c r="CB1317" s="4" t="s">
        <v>458</v>
      </c>
      <c r="CC1317" s="4">
        <v>200</v>
      </c>
      <c r="CR1317" s="4" t="s">
        <v>829</v>
      </c>
      <c r="CU1317" s="4">
        <v>10</v>
      </c>
      <c r="DO1317" s="4">
        <v>3</v>
      </c>
      <c r="DP1317" s="4">
        <v>200</v>
      </c>
      <c r="DW1317" s="4">
        <v>337.12</v>
      </c>
      <c r="DX1317" s="1">
        <v>2.68</v>
      </c>
      <c r="EC1317" s="1">
        <f t="shared" si="39"/>
        <v>84.28</v>
      </c>
      <c r="ED1317" s="1">
        <v>84.28</v>
      </c>
    </row>
    <row r="1318" customHeight="1" spans="1:179">
      <c r="A1318" s="5">
        <v>42</v>
      </c>
      <c r="B1318" s="4" t="s">
        <v>1181</v>
      </c>
      <c r="C1318" s="40" t="s">
        <v>1186</v>
      </c>
      <c r="D1318" s="4" t="s">
        <v>300</v>
      </c>
      <c r="E1318" s="4" t="s">
        <v>1183</v>
      </c>
      <c r="T1318" s="4">
        <v>239.06</v>
      </c>
      <c r="U1318" s="4">
        <v>0.296</v>
      </c>
      <c r="V1318" s="4">
        <v>4.948</v>
      </c>
      <c r="AB1318" s="4" t="s">
        <v>1187</v>
      </c>
      <c r="AC1318" s="4" t="s">
        <v>1188</v>
      </c>
      <c r="AD1318" s="4" t="s">
        <v>1189</v>
      </c>
      <c r="AE1318" s="4" t="s">
        <v>1187</v>
      </c>
      <c r="AF1318" s="4" t="s">
        <v>1190</v>
      </c>
      <c r="BI1318" s="4" t="s">
        <v>309</v>
      </c>
      <c r="BM1318" s="4">
        <v>0.05</v>
      </c>
      <c r="BS1318" s="4">
        <v>5</v>
      </c>
      <c r="CB1318" s="4" t="s">
        <v>429</v>
      </c>
      <c r="CC1318" s="4">
        <v>100</v>
      </c>
      <c r="CR1318" s="4" t="s">
        <v>512</v>
      </c>
      <c r="CU1318" s="4">
        <v>0</v>
      </c>
      <c r="DO1318" s="4">
        <v>3</v>
      </c>
      <c r="FP1318" s="1">
        <v>30.77</v>
      </c>
      <c r="FQ1318" s="1">
        <v>0.33</v>
      </c>
      <c r="FW1318" s="1">
        <v>30.77</v>
      </c>
    </row>
    <row r="1319" customHeight="1" spans="1:179">
      <c r="A1319" s="5">
        <v>42</v>
      </c>
      <c r="B1319" s="4" t="s">
        <v>1181</v>
      </c>
      <c r="C1319" s="40" t="s">
        <v>1186</v>
      </c>
      <c r="D1319" s="4" t="s">
        <v>300</v>
      </c>
      <c r="E1319" s="4" t="s">
        <v>1183</v>
      </c>
      <c r="T1319" s="4">
        <v>239.06</v>
      </c>
      <c r="U1319" s="4">
        <v>0.296</v>
      </c>
      <c r="V1319" s="4">
        <v>4.948</v>
      </c>
      <c r="AB1319" s="4" t="s">
        <v>1187</v>
      </c>
      <c r="AC1319" s="4" t="s">
        <v>1188</v>
      </c>
      <c r="AD1319" s="4" t="s">
        <v>1189</v>
      </c>
      <c r="AE1319" s="4" t="s">
        <v>1187</v>
      </c>
      <c r="AF1319" s="4" t="s">
        <v>1190</v>
      </c>
      <c r="BI1319" s="4" t="s">
        <v>309</v>
      </c>
      <c r="BM1319" s="4">
        <v>0.05</v>
      </c>
      <c r="BS1319" s="4">
        <v>5</v>
      </c>
      <c r="CB1319" s="4" t="s">
        <v>429</v>
      </c>
      <c r="CC1319" s="4">
        <v>100</v>
      </c>
      <c r="CR1319" s="4" t="s">
        <v>537</v>
      </c>
      <c r="CU1319" s="4">
        <v>10</v>
      </c>
      <c r="DO1319" s="4">
        <v>3</v>
      </c>
      <c r="FP1319" s="1">
        <v>30.1</v>
      </c>
      <c r="FQ1319" s="1">
        <v>0.33</v>
      </c>
      <c r="FW1319" s="1">
        <v>30.1</v>
      </c>
    </row>
    <row r="1320" customHeight="1" spans="1:179">
      <c r="A1320" s="5">
        <v>42</v>
      </c>
      <c r="B1320" s="4" t="s">
        <v>1181</v>
      </c>
      <c r="C1320" s="40" t="s">
        <v>1186</v>
      </c>
      <c r="D1320" s="4" t="s">
        <v>300</v>
      </c>
      <c r="E1320" s="4" t="s">
        <v>1183</v>
      </c>
      <c r="T1320" s="4">
        <v>239.06</v>
      </c>
      <c r="U1320" s="4">
        <v>0.296</v>
      </c>
      <c r="V1320" s="4">
        <v>4.948</v>
      </c>
      <c r="AB1320" s="4" t="s">
        <v>1187</v>
      </c>
      <c r="AC1320" s="4" t="s">
        <v>1188</v>
      </c>
      <c r="AD1320" s="4" t="s">
        <v>1189</v>
      </c>
      <c r="AE1320" s="4" t="s">
        <v>1187</v>
      </c>
      <c r="AF1320" s="4" t="s">
        <v>1190</v>
      </c>
      <c r="BI1320" s="4" t="s">
        <v>309</v>
      </c>
      <c r="BM1320" s="4">
        <v>0.05</v>
      </c>
      <c r="BS1320" s="4">
        <v>5</v>
      </c>
      <c r="CB1320" s="4" t="s">
        <v>429</v>
      </c>
      <c r="CC1320" s="4">
        <v>100</v>
      </c>
      <c r="CR1320" s="4" t="s">
        <v>1199</v>
      </c>
      <c r="CU1320" s="4">
        <v>10</v>
      </c>
      <c r="DO1320" s="4">
        <v>3</v>
      </c>
      <c r="FP1320" s="1">
        <v>20.43</v>
      </c>
      <c r="FQ1320" s="1">
        <v>0.33</v>
      </c>
      <c r="FW1320" s="1">
        <v>20.43</v>
      </c>
    </row>
    <row r="1321" customHeight="1" spans="1:179">
      <c r="A1321" s="5">
        <v>42</v>
      </c>
      <c r="B1321" s="4" t="s">
        <v>1181</v>
      </c>
      <c r="C1321" s="40" t="s">
        <v>1186</v>
      </c>
      <c r="D1321" s="4" t="s">
        <v>300</v>
      </c>
      <c r="E1321" s="4" t="s">
        <v>1183</v>
      </c>
      <c r="T1321" s="4">
        <v>239.06</v>
      </c>
      <c r="U1321" s="4">
        <v>0.296</v>
      </c>
      <c r="V1321" s="4">
        <v>4.948</v>
      </c>
      <c r="AB1321" s="4" t="s">
        <v>1187</v>
      </c>
      <c r="AC1321" s="4" t="s">
        <v>1188</v>
      </c>
      <c r="AD1321" s="4" t="s">
        <v>1189</v>
      </c>
      <c r="AE1321" s="4" t="s">
        <v>1187</v>
      </c>
      <c r="AF1321" s="4" t="s">
        <v>1190</v>
      </c>
      <c r="BI1321" s="4" t="s">
        <v>309</v>
      </c>
      <c r="BM1321" s="4">
        <v>0.05</v>
      </c>
      <c r="BS1321" s="4">
        <v>5</v>
      </c>
      <c r="CB1321" s="4" t="s">
        <v>429</v>
      </c>
      <c r="CC1321" s="4">
        <v>100</v>
      </c>
      <c r="CR1321" s="4" t="s">
        <v>536</v>
      </c>
      <c r="CU1321" s="4">
        <v>10</v>
      </c>
      <c r="DO1321" s="4">
        <v>3</v>
      </c>
      <c r="FP1321" s="1">
        <v>36.12</v>
      </c>
      <c r="FQ1321" s="1">
        <v>0.17</v>
      </c>
      <c r="FW1321" s="1">
        <v>36.12</v>
      </c>
    </row>
    <row r="1322" customHeight="1" spans="1:179">
      <c r="A1322" s="5">
        <v>42</v>
      </c>
      <c r="B1322" s="4" t="s">
        <v>1181</v>
      </c>
      <c r="C1322" s="40" t="s">
        <v>1186</v>
      </c>
      <c r="D1322" s="4" t="s">
        <v>300</v>
      </c>
      <c r="E1322" s="4" t="s">
        <v>1183</v>
      </c>
      <c r="T1322" s="4">
        <v>239.06</v>
      </c>
      <c r="U1322" s="4">
        <v>0.296</v>
      </c>
      <c r="V1322" s="4">
        <v>4.948</v>
      </c>
      <c r="AB1322" s="4" t="s">
        <v>1187</v>
      </c>
      <c r="AC1322" s="4" t="s">
        <v>1188</v>
      </c>
      <c r="AD1322" s="4" t="s">
        <v>1189</v>
      </c>
      <c r="AE1322" s="4" t="s">
        <v>1187</v>
      </c>
      <c r="AF1322" s="4" t="s">
        <v>1190</v>
      </c>
      <c r="BI1322" s="4" t="s">
        <v>309</v>
      </c>
      <c r="BM1322" s="4">
        <v>0.05</v>
      </c>
      <c r="BS1322" s="4">
        <v>5</v>
      </c>
      <c r="CB1322" s="4" t="s">
        <v>429</v>
      </c>
      <c r="CC1322" s="4">
        <v>100</v>
      </c>
      <c r="CR1322" s="4" t="s">
        <v>539</v>
      </c>
      <c r="CU1322" s="4">
        <v>10</v>
      </c>
      <c r="DO1322" s="4">
        <v>3</v>
      </c>
      <c r="FP1322" s="1">
        <v>29.77</v>
      </c>
      <c r="FQ1322" s="1">
        <v>0.17</v>
      </c>
      <c r="FW1322" s="1">
        <v>29.77</v>
      </c>
    </row>
    <row r="1323" customHeight="1" spans="1:179">
      <c r="A1323" s="5">
        <v>42</v>
      </c>
      <c r="B1323" s="4" t="s">
        <v>1181</v>
      </c>
      <c r="C1323" s="40" t="s">
        <v>1186</v>
      </c>
      <c r="D1323" s="4" t="s">
        <v>300</v>
      </c>
      <c r="E1323" s="4" t="s">
        <v>1183</v>
      </c>
      <c r="T1323" s="4">
        <v>239.06</v>
      </c>
      <c r="U1323" s="4">
        <v>0.296</v>
      </c>
      <c r="V1323" s="4">
        <v>4.948</v>
      </c>
      <c r="AB1323" s="4" t="s">
        <v>1187</v>
      </c>
      <c r="AC1323" s="4" t="s">
        <v>1188</v>
      </c>
      <c r="AD1323" s="4" t="s">
        <v>1189</v>
      </c>
      <c r="AE1323" s="4" t="s">
        <v>1187</v>
      </c>
      <c r="AF1323" s="4" t="s">
        <v>1190</v>
      </c>
      <c r="BI1323" s="4" t="s">
        <v>309</v>
      </c>
      <c r="BM1323" s="4">
        <v>0.05</v>
      </c>
      <c r="BS1323" s="4">
        <v>5</v>
      </c>
      <c r="CB1323" s="4" t="s">
        <v>429</v>
      </c>
      <c r="CC1323" s="4">
        <v>100</v>
      </c>
      <c r="CR1323" s="4" t="s">
        <v>540</v>
      </c>
      <c r="CU1323" s="4">
        <v>10</v>
      </c>
      <c r="DO1323" s="4">
        <v>3</v>
      </c>
      <c r="FP1323" s="1">
        <v>29.1</v>
      </c>
      <c r="FQ1323" s="1">
        <v>0.33</v>
      </c>
      <c r="FW1323" s="1">
        <v>29.1</v>
      </c>
    </row>
    <row r="1324" customHeight="1" spans="1:179">
      <c r="A1324" s="5">
        <v>42</v>
      </c>
      <c r="B1324" s="4" t="s">
        <v>1181</v>
      </c>
      <c r="C1324" s="40" t="s">
        <v>1186</v>
      </c>
      <c r="D1324" s="4" t="s">
        <v>300</v>
      </c>
      <c r="E1324" s="4" t="s">
        <v>1183</v>
      </c>
      <c r="T1324" s="4">
        <v>239.06</v>
      </c>
      <c r="U1324" s="4">
        <v>0.296</v>
      </c>
      <c r="V1324" s="4">
        <v>4.948</v>
      </c>
      <c r="AB1324" s="4" t="s">
        <v>1187</v>
      </c>
      <c r="AC1324" s="4" t="s">
        <v>1188</v>
      </c>
      <c r="AD1324" s="4" t="s">
        <v>1189</v>
      </c>
      <c r="AE1324" s="4" t="s">
        <v>1187</v>
      </c>
      <c r="AF1324" s="4" t="s">
        <v>1190</v>
      </c>
      <c r="BI1324" s="4" t="s">
        <v>309</v>
      </c>
      <c r="BM1324" s="4">
        <v>0.05</v>
      </c>
      <c r="BS1324" s="4">
        <v>5</v>
      </c>
      <c r="CB1324" s="4" t="s">
        <v>429</v>
      </c>
      <c r="CC1324" s="4">
        <v>100</v>
      </c>
      <c r="CR1324" s="4" t="s">
        <v>542</v>
      </c>
      <c r="CU1324" s="4">
        <v>10</v>
      </c>
      <c r="DO1324" s="4">
        <v>3</v>
      </c>
      <c r="FP1324" s="1">
        <v>25.92</v>
      </c>
      <c r="FQ1324" s="1">
        <v>0.17</v>
      </c>
      <c r="FW1324" s="1">
        <v>25.92</v>
      </c>
    </row>
    <row r="1325" customHeight="1" spans="1:179">
      <c r="A1325" s="5">
        <v>42</v>
      </c>
      <c r="B1325" s="4" t="s">
        <v>1181</v>
      </c>
      <c r="C1325" s="40" t="s">
        <v>1186</v>
      </c>
      <c r="D1325" s="4" t="s">
        <v>300</v>
      </c>
      <c r="E1325" s="4" t="s">
        <v>1183</v>
      </c>
      <c r="T1325" s="4">
        <v>239.06</v>
      </c>
      <c r="U1325" s="4">
        <v>0.296</v>
      </c>
      <c r="V1325" s="4">
        <v>4.948</v>
      </c>
      <c r="AB1325" s="4" t="s">
        <v>1187</v>
      </c>
      <c r="AC1325" s="4" t="s">
        <v>1188</v>
      </c>
      <c r="AD1325" s="4" t="s">
        <v>1189</v>
      </c>
      <c r="AE1325" s="4" t="s">
        <v>1187</v>
      </c>
      <c r="AF1325" s="4" t="s">
        <v>1190</v>
      </c>
      <c r="BI1325" s="4" t="s">
        <v>309</v>
      </c>
      <c r="BM1325" s="4">
        <v>0.05</v>
      </c>
      <c r="BS1325" s="4">
        <v>5</v>
      </c>
      <c r="CB1325" s="4" t="s">
        <v>429</v>
      </c>
      <c r="CC1325" s="4">
        <v>100</v>
      </c>
      <c r="CR1325" s="4" t="s">
        <v>829</v>
      </c>
      <c r="CU1325" s="4">
        <v>10</v>
      </c>
      <c r="DO1325" s="4">
        <v>3</v>
      </c>
      <c r="FP1325" s="1">
        <v>20.4</v>
      </c>
      <c r="FQ1325" s="1">
        <v>0.17</v>
      </c>
      <c r="FW1325" s="1">
        <v>20.4</v>
      </c>
    </row>
    <row r="1326" customHeight="1" spans="1:179">
      <c r="A1326" s="5">
        <v>42</v>
      </c>
      <c r="B1326" s="4" t="s">
        <v>1181</v>
      </c>
      <c r="C1326" s="40" t="s">
        <v>1186</v>
      </c>
      <c r="D1326" s="4" t="s">
        <v>300</v>
      </c>
      <c r="E1326" s="4" t="s">
        <v>1183</v>
      </c>
      <c r="T1326" s="4">
        <v>239.06</v>
      </c>
      <c r="U1326" s="4">
        <v>0.296</v>
      </c>
      <c r="V1326" s="4">
        <v>4.948</v>
      </c>
      <c r="AB1326" s="4" t="s">
        <v>1187</v>
      </c>
      <c r="AC1326" s="4" t="s">
        <v>1188</v>
      </c>
      <c r="AD1326" s="4" t="s">
        <v>1189</v>
      </c>
      <c r="AE1326" s="4" t="s">
        <v>1187</v>
      </c>
      <c r="AF1326" s="4" t="s">
        <v>1190</v>
      </c>
      <c r="BI1326" s="4" t="s">
        <v>309</v>
      </c>
      <c r="BN1326" s="4">
        <v>0.5</v>
      </c>
      <c r="BS1326" s="4">
        <v>3</v>
      </c>
      <c r="BW1326" s="4">
        <v>25</v>
      </c>
      <c r="CB1326" s="4" t="s">
        <v>458</v>
      </c>
      <c r="CC1326" s="4">
        <v>200</v>
      </c>
      <c r="DO1326" s="4">
        <v>3</v>
      </c>
      <c r="DP1326" s="4">
        <v>200</v>
      </c>
      <c r="DW1326" s="4">
        <v>90.45</v>
      </c>
      <c r="DX1326" s="1">
        <v>2.61</v>
      </c>
      <c r="EC1326" s="1">
        <f t="shared" ref="EC1326:EC1332" si="40">DW1326*0.5/DP1326*100</f>
        <v>22.6125</v>
      </c>
      <c r="ED1326" s="1">
        <v>22.6125</v>
      </c>
    </row>
    <row r="1327" customHeight="1" spans="1:179">
      <c r="A1327" s="5">
        <v>42</v>
      </c>
      <c r="B1327" s="4" t="s">
        <v>1181</v>
      </c>
      <c r="C1327" s="40" t="s">
        <v>1186</v>
      </c>
      <c r="D1327" s="4" t="s">
        <v>300</v>
      </c>
      <c r="E1327" s="4" t="s">
        <v>1183</v>
      </c>
      <c r="T1327" s="4">
        <v>239.06</v>
      </c>
      <c r="U1327" s="4">
        <v>0.296</v>
      </c>
      <c r="V1327" s="4">
        <v>4.948</v>
      </c>
      <c r="AB1327" s="4" t="s">
        <v>1187</v>
      </c>
      <c r="AC1327" s="4" t="s">
        <v>1188</v>
      </c>
      <c r="AD1327" s="4" t="s">
        <v>1189</v>
      </c>
      <c r="AE1327" s="4" t="s">
        <v>1187</v>
      </c>
      <c r="AF1327" s="4" t="s">
        <v>1190</v>
      </c>
      <c r="BI1327" s="4" t="s">
        <v>309</v>
      </c>
      <c r="BN1327" s="4">
        <v>0.5</v>
      </c>
      <c r="BS1327" s="4">
        <v>4</v>
      </c>
      <c r="BW1327" s="4">
        <v>25</v>
      </c>
      <c r="CB1327" s="4" t="s">
        <v>458</v>
      </c>
      <c r="CC1327" s="4">
        <v>200</v>
      </c>
      <c r="DO1327" s="4">
        <v>3</v>
      </c>
      <c r="DP1327" s="4">
        <v>200</v>
      </c>
      <c r="DW1327" s="4">
        <v>125.84</v>
      </c>
      <c r="DX1327" s="1">
        <v>2.61</v>
      </c>
      <c r="EC1327" s="1">
        <f t="shared" si="40"/>
        <v>31.46</v>
      </c>
      <c r="ED1327" s="1">
        <v>31.46</v>
      </c>
    </row>
    <row r="1328" customHeight="1" spans="1:179">
      <c r="A1328" s="5">
        <v>42</v>
      </c>
      <c r="B1328" s="4" t="s">
        <v>1181</v>
      </c>
      <c r="C1328" s="40" t="s">
        <v>1186</v>
      </c>
      <c r="D1328" s="4" t="s">
        <v>300</v>
      </c>
      <c r="E1328" s="4" t="s">
        <v>1183</v>
      </c>
      <c r="T1328" s="4">
        <v>239.06</v>
      </c>
      <c r="U1328" s="4">
        <v>0.296</v>
      </c>
      <c r="V1328" s="4">
        <v>4.948</v>
      </c>
      <c r="AB1328" s="4" t="s">
        <v>1187</v>
      </c>
      <c r="AC1328" s="4" t="s">
        <v>1188</v>
      </c>
      <c r="AD1328" s="4" t="s">
        <v>1189</v>
      </c>
      <c r="AE1328" s="4" t="s">
        <v>1187</v>
      </c>
      <c r="AF1328" s="4" t="s">
        <v>1190</v>
      </c>
      <c r="BI1328" s="4" t="s">
        <v>309</v>
      </c>
      <c r="BN1328" s="4">
        <v>0.5</v>
      </c>
      <c r="BS1328" s="4">
        <v>5</v>
      </c>
      <c r="BW1328" s="4">
        <v>25</v>
      </c>
      <c r="CB1328" s="4" t="s">
        <v>458</v>
      </c>
      <c r="CC1328" s="4">
        <v>200</v>
      </c>
      <c r="DO1328" s="4">
        <v>3</v>
      </c>
      <c r="DP1328" s="4">
        <v>200</v>
      </c>
      <c r="DW1328" s="4">
        <v>326.4</v>
      </c>
      <c r="DX1328" s="1">
        <v>3.92</v>
      </c>
      <c r="EC1328" s="1">
        <f t="shared" si="40"/>
        <v>81.6</v>
      </c>
      <c r="ED1328" s="1">
        <v>81.6</v>
      </c>
    </row>
    <row r="1329" customHeight="1" spans="1:279">
      <c r="A1329" s="5">
        <v>42</v>
      </c>
      <c r="B1329" s="4" t="s">
        <v>1181</v>
      </c>
      <c r="C1329" s="40" t="s">
        <v>1186</v>
      </c>
      <c r="D1329" s="4" t="s">
        <v>300</v>
      </c>
      <c r="E1329" s="4" t="s">
        <v>1183</v>
      </c>
      <c r="T1329" s="4">
        <v>239.06</v>
      </c>
      <c r="U1329" s="4">
        <v>0.296</v>
      </c>
      <c r="V1329" s="4">
        <v>4.948</v>
      </c>
      <c r="AB1329" s="4" t="s">
        <v>1187</v>
      </c>
      <c r="AC1329" s="4" t="s">
        <v>1188</v>
      </c>
      <c r="AD1329" s="4" t="s">
        <v>1189</v>
      </c>
      <c r="AE1329" s="4" t="s">
        <v>1187</v>
      </c>
      <c r="AF1329" s="4" t="s">
        <v>1190</v>
      </c>
      <c r="BI1329" s="4" t="s">
        <v>309</v>
      </c>
      <c r="BN1329" s="4">
        <v>0.5</v>
      </c>
      <c r="BS1329" s="4">
        <v>6</v>
      </c>
      <c r="BW1329" s="4">
        <v>25</v>
      </c>
      <c r="CB1329" s="4" t="s">
        <v>458</v>
      </c>
      <c r="CC1329" s="4">
        <v>200</v>
      </c>
      <c r="DO1329" s="4">
        <v>3</v>
      </c>
      <c r="DP1329" s="4">
        <v>200</v>
      </c>
      <c r="DW1329" s="4">
        <v>327.71</v>
      </c>
      <c r="DX1329" s="1">
        <v>2.61</v>
      </c>
      <c r="EC1329" s="1">
        <f t="shared" si="40"/>
        <v>81.9275</v>
      </c>
      <c r="ED1329" s="1">
        <v>81.9275</v>
      </c>
    </row>
    <row r="1330" customHeight="1" spans="1:279">
      <c r="A1330" s="5">
        <v>42</v>
      </c>
      <c r="B1330" s="4" t="s">
        <v>1181</v>
      </c>
      <c r="C1330" s="40" t="s">
        <v>1186</v>
      </c>
      <c r="D1330" s="4" t="s">
        <v>300</v>
      </c>
      <c r="E1330" s="4" t="s">
        <v>1183</v>
      </c>
      <c r="T1330" s="4">
        <v>239.06</v>
      </c>
      <c r="U1330" s="4">
        <v>0.296</v>
      </c>
      <c r="V1330" s="4">
        <v>4.948</v>
      </c>
      <c r="AB1330" s="4" t="s">
        <v>1187</v>
      </c>
      <c r="AC1330" s="4" t="s">
        <v>1188</v>
      </c>
      <c r="AD1330" s="4" t="s">
        <v>1189</v>
      </c>
      <c r="AE1330" s="4" t="s">
        <v>1187</v>
      </c>
      <c r="AF1330" s="4" t="s">
        <v>1190</v>
      </c>
      <c r="BI1330" s="4" t="s">
        <v>309</v>
      </c>
      <c r="BN1330" s="4">
        <v>0.5</v>
      </c>
      <c r="BS1330" s="4">
        <v>7</v>
      </c>
      <c r="BW1330" s="4">
        <v>25</v>
      </c>
      <c r="CB1330" s="4" t="s">
        <v>458</v>
      </c>
      <c r="CC1330" s="4">
        <v>200</v>
      </c>
      <c r="DO1330" s="4">
        <v>3</v>
      </c>
      <c r="DP1330" s="4">
        <v>200</v>
      </c>
      <c r="DW1330" s="4">
        <v>330.34</v>
      </c>
      <c r="DX1330" s="1">
        <v>2.61</v>
      </c>
      <c r="EC1330" s="1">
        <f t="shared" si="40"/>
        <v>82.585</v>
      </c>
      <c r="ED1330" s="1">
        <v>82.585</v>
      </c>
    </row>
    <row r="1331" customHeight="1" spans="1:279">
      <c r="A1331" s="5">
        <v>42</v>
      </c>
      <c r="B1331" s="4" t="s">
        <v>1181</v>
      </c>
      <c r="C1331" s="40" t="s">
        <v>1186</v>
      </c>
      <c r="D1331" s="4" t="s">
        <v>300</v>
      </c>
      <c r="E1331" s="4" t="s">
        <v>1183</v>
      </c>
      <c r="T1331" s="4">
        <v>239.06</v>
      </c>
      <c r="U1331" s="4">
        <v>0.296</v>
      </c>
      <c r="V1331" s="4">
        <v>4.948</v>
      </c>
      <c r="AB1331" s="4" t="s">
        <v>1187</v>
      </c>
      <c r="AC1331" s="4" t="s">
        <v>1188</v>
      </c>
      <c r="AD1331" s="4" t="s">
        <v>1189</v>
      </c>
      <c r="AE1331" s="4" t="s">
        <v>1187</v>
      </c>
      <c r="AF1331" s="4" t="s">
        <v>1190</v>
      </c>
      <c r="BI1331" s="4" t="s">
        <v>309</v>
      </c>
      <c r="BN1331" s="4">
        <v>0.5</v>
      </c>
      <c r="BS1331" s="4">
        <v>3</v>
      </c>
      <c r="BW1331" s="4">
        <v>25</v>
      </c>
      <c r="CB1331" s="4" t="s">
        <v>424</v>
      </c>
      <c r="CC1331" s="4">
        <v>100</v>
      </c>
      <c r="DO1331" s="4">
        <v>3</v>
      </c>
      <c r="EC1331" s="1" t="e">
        <f t="shared" si="40"/>
        <v>#DIV/0!</v>
      </c>
      <c r="FP1331" s="4">
        <v>62.95</v>
      </c>
      <c r="FQ1331" s="1">
        <v>0.97</v>
      </c>
      <c r="FV1331" s="1">
        <f>FP1331/2</f>
        <v>31.475</v>
      </c>
      <c r="FW1331" s="4">
        <v>31.475</v>
      </c>
    </row>
    <row r="1332" customHeight="1" spans="1:279">
      <c r="A1332" s="5">
        <v>42</v>
      </c>
      <c r="B1332" s="4" t="s">
        <v>1181</v>
      </c>
      <c r="C1332" s="40" t="s">
        <v>1186</v>
      </c>
      <c r="D1332" s="4" t="s">
        <v>300</v>
      </c>
      <c r="E1332" s="4" t="s">
        <v>1183</v>
      </c>
      <c r="T1332" s="4">
        <v>239.06</v>
      </c>
      <c r="U1332" s="4">
        <v>0.296</v>
      </c>
      <c r="V1332" s="4">
        <v>4.948</v>
      </c>
      <c r="AB1332" s="4" t="s">
        <v>1187</v>
      </c>
      <c r="AC1332" s="4" t="s">
        <v>1188</v>
      </c>
      <c r="AD1332" s="4" t="s">
        <v>1189</v>
      </c>
      <c r="AE1332" s="4" t="s">
        <v>1187</v>
      </c>
      <c r="AF1332" s="4" t="s">
        <v>1190</v>
      </c>
      <c r="BI1332" s="4" t="s">
        <v>309</v>
      </c>
      <c r="BN1332" s="4">
        <v>0.5</v>
      </c>
      <c r="BS1332" s="4">
        <v>4</v>
      </c>
      <c r="BW1332" s="4">
        <v>25</v>
      </c>
      <c r="CB1332" s="4" t="s">
        <v>424</v>
      </c>
      <c r="CC1332" s="4">
        <v>100</v>
      </c>
      <c r="DO1332" s="4">
        <v>3</v>
      </c>
      <c r="EC1332" s="1" t="e">
        <f t="shared" si="40"/>
        <v>#DIV/0!</v>
      </c>
      <c r="FP1332" s="4">
        <v>28.92</v>
      </c>
      <c r="FQ1332" s="1">
        <v>0.48</v>
      </c>
      <c r="FV1332" s="1">
        <f>FP1332/2</f>
        <v>14.46</v>
      </c>
      <c r="FW1332" s="4">
        <v>14.46</v>
      </c>
    </row>
    <row r="1333" customHeight="1" spans="1:279">
      <c r="A1333" s="5">
        <v>42</v>
      </c>
      <c r="B1333" s="4" t="s">
        <v>1181</v>
      </c>
      <c r="C1333" s="40" t="s">
        <v>1186</v>
      </c>
      <c r="D1333" s="4" t="s">
        <v>300</v>
      </c>
      <c r="E1333" s="4" t="s">
        <v>1183</v>
      </c>
      <c r="T1333" s="4">
        <v>239.06</v>
      </c>
      <c r="U1333" s="4">
        <v>0.296</v>
      </c>
      <c r="V1333" s="4">
        <v>4.948</v>
      </c>
      <c r="AB1333" s="4" t="s">
        <v>1187</v>
      </c>
      <c r="AC1333" s="4" t="s">
        <v>1188</v>
      </c>
      <c r="AD1333" s="4" t="s">
        <v>1189</v>
      </c>
      <c r="AE1333" s="4" t="s">
        <v>1187</v>
      </c>
      <c r="AF1333" s="4" t="s">
        <v>1190</v>
      </c>
      <c r="BI1333" s="4" t="s">
        <v>309</v>
      </c>
      <c r="BN1333" s="4">
        <v>0.5</v>
      </c>
      <c r="BS1333" s="4">
        <v>5</v>
      </c>
      <c r="BW1333" s="4">
        <v>25</v>
      </c>
      <c r="CB1333" s="4" t="s">
        <v>424</v>
      </c>
      <c r="CC1333" s="4">
        <v>100</v>
      </c>
      <c r="DO1333" s="4">
        <v>3</v>
      </c>
      <c r="FP1333" s="4">
        <v>27.22</v>
      </c>
      <c r="FQ1333" s="1">
        <v>0.73</v>
      </c>
      <c r="FV1333" s="1">
        <f>FP1333/2</f>
        <v>13.61</v>
      </c>
      <c r="FW1333" s="4">
        <v>13.61</v>
      </c>
    </row>
    <row r="1334" customHeight="1" spans="1:279">
      <c r="A1334" s="5">
        <v>42</v>
      </c>
      <c r="B1334" s="4" t="s">
        <v>1181</v>
      </c>
      <c r="C1334" s="40" t="s">
        <v>1186</v>
      </c>
      <c r="D1334" s="4" t="s">
        <v>300</v>
      </c>
      <c r="E1334" s="4" t="s">
        <v>1183</v>
      </c>
      <c r="T1334" s="4">
        <v>239.06</v>
      </c>
      <c r="U1334" s="4">
        <v>0.296</v>
      </c>
      <c r="V1334" s="4">
        <v>4.948</v>
      </c>
      <c r="AB1334" s="4" t="s">
        <v>1187</v>
      </c>
      <c r="AC1334" s="4" t="s">
        <v>1188</v>
      </c>
      <c r="AD1334" s="4" t="s">
        <v>1189</v>
      </c>
      <c r="AE1334" s="4" t="s">
        <v>1187</v>
      </c>
      <c r="AF1334" s="4" t="s">
        <v>1190</v>
      </c>
      <c r="BI1334" s="4" t="s">
        <v>309</v>
      </c>
      <c r="BN1334" s="4">
        <v>0.5</v>
      </c>
      <c r="BS1334" s="4">
        <v>6</v>
      </c>
      <c r="BW1334" s="4">
        <v>25</v>
      </c>
      <c r="CB1334" s="4" t="s">
        <v>424</v>
      </c>
      <c r="CC1334" s="4">
        <v>100</v>
      </c>
      <c r="DO1334" s="4">
        <v>3</v>
      </c>
      <c r="FP1334" s="4">
        <v>25.28</v>
      </c>
      <c r="FQ1334" s="1">
        <v>0.48</v>
      </c>
      <c r="FV1334" s="1">
        <f>FP1334/2</f>
        <v>12.64</v>
      </c>
      <c r="FW1334" s="4">
        <v>12.64</v>
      </c>
    </row>
    <row r="1335" customHeight="1" spans="1:279">
      <c r="A1335" s="5">
        <v>42</v>
      </c>
      <c r="B1335" s="4" t="s">
        <v>1181</v>
      </c>
      <c r="C1335" s="40" t="s">
        <v>1186</v>
      </c>
      <c r="D1335" s="4" t="s">
        <v>300</v>
      </c>
      <c r="E1335" s="4" t="s">
        <v>1183</v>
      </c>
      <c r="T1335" s="4">
        <v>239.06</v>
      </c>
      <c r="U1335" s="4">
        <v>0.296</v>
      </c>
      <c r="V1335" s="4">
        <v>4.948</v>
      </c>
      <c r="AB1335" s="4" t="s">
        <v>1187</v>
      </c>
      <c r="AC1335" s="4" t="s">
        <v>1188</v>
      </c>
      <c r="AD1335" s="4" t="s">
        <v>1189</v>
      </c>
      <c r="AE1335" s="4" t="s">
        <v>1187</v>
      </c>
      <c r="AF1335" s="4" t="s">
        <v>1190</v>
      </c>
      <c r="BI1335" s="4" t="s">
        <v>309</v>
      </c>
      <c r="BN1335" s="4">
        <v>0.5</v>
      </c>
      <c r="BS1335" s="4">
        <v>7</v>
      </c>
      <c r="BW1335" s="4">
        <v>25</v>
      </c>
      <c r="CB1335" s="4" t="s">
        <v>424</v>
      </c>
      <c r="CC1335" s="4">
        <v>100</v>
      </c>
      <c r="DO1335" s="4">
        <v>3</v>
      </c>
      <c r="FP1335" s="4">
        <v>22.6</v>
      </c>
      <c r="FQ1335" s="1">
        <v>0.24</v>
      </c>
      <c r="FV1335" s="1">
        <f>FP1335/2</f>
        <v>11.3</v>
      </c>
      <c r="FW1335" s="4">
        <v>11.3</v>
      </c>
    </row>
    <row r="1336" customHeight="1" spans="1:279">
      <c r="A1336" s="5">
        <v>42</v>
      </c>
      <c r="B1336" s="4" t="s">
        <v>1181</v>
      </c>
      <c r="C1336" s="40" t="s">
        <v>1186</v>
      </c>
      <c r="D1336" s="4" t="s">
        <v>300</v>
      </c>
      <c r="E1336" s="4" t="s">
        <v>1183</v>
      </c>
      <c r="T1336" s="4">
        <v>239.06</v>
      </c>
      <c r="U1336" s="4">
        <v>0.296</v>
      </c>
      <c r="V1336" s="4">
        <v>4.948</v>
      </c>
      <c r="AB1336" s="4" t="s">
        <v>1187</v>
      </c>
      <c r="AC1336" s="4" t="s">
        <v>1188</v>
      </c>
      <c r="AD1336" s="4" t="s">
        <v>1189</v>
      </c>
      <c r="AE1336" s="4" t="s">
        <v>1187</v>
      </c>
      <c r="AF1336" s="4" t="s">
        <v>1190</v>
      </c>
      <c r="AH1336" s="4" t="s">
        <v>371</v>
      </c>
      <c r="AI1336" s="4" t="s">
        <v>1200</v>
      </c>
      <c r="AL1336" s="4" t="s">
        <v>689</v>
      </c>
      <c r="BD1336" s="4" t="s">
        <v>1201</v>
      </c>
      <c r="BE1336" s="4" t="s">
        <v>1202</v>
      </c>
      <c r="BI1336" s="4" t="s">
        <v>321</v>
      </c>
      <c r="BL1336" s="4">
        <v>100</v>
      </c>
      <c r="BM1336" s="4">
        <v>0</v>
      </c>
      <c r="BO1336" s="4">
        <v>0</v>
      </c>
      <c r="BV1336" s="4" t="s">
        <v>488</v>
      </c>
      <c r="BX1336" s="4">
        <v>20</v>
      </c>
      <c r="CB1336" s="4" t="s">
        <v>7</v>
      </c>
      <c r="CD1336" s="4">
        <v>20</v>
      </c>
      <c r="CE1336" s="4" t="s">
        <v>11</v>
      </c>
      <c r="CJ1336" s="4">
        <v>20</v>
      </c>
      <c r="DO1336" s="4">
        <v>3</v>
      </c>
      <c r="DP1336" s="4">
        <v>20</v>
      </c>
      <c r="JJ1336" s="1" t="s">
        <v>355</v>
      </c>
      <c r="JK1336" s="1" t="s">
        <v>7</v>
      </c>
      <c r="JL1336" s="27">
        <v>45.4545454545454</v>
      </c>
      <c r="JM1336" s="27"/>
      <c r="JN1336" s="27">
        <v>48.4848484848485</v>
      </c>
      <c r="JO1336" s="27"/>
      <c r="JP1336" s="27">
        <v>2.02020202020201</v>
      </c>
      <c r="JQ1336" s="27"/>
      <c r="JR1336" s="27">
        <v>4.0404040404041</v>
      </c>
      <c r="JS1336" s="27"/>
    </row>
    <row r="1337" customHeight="1" spans="1:279">
      <c r="A1337" s="5">
        <v>42</v>
      </c>
      <c r="B1337" s="4" t="s">
        <v>1181</v>
      </c>
      <c r="C1337" s="40" t="s">
        <v>1186</v>
      </c>
      <c r="D1337" s="4" t="s">
        <v>300</v>
      </c>
      <c r="E1337" s="4" t="s">
        <v>1183</v>
      </c>
      <c r="T1337" s="4">
        <v>239.06</v>
      </c>
      <c r="U1337" s="4">
        <v>0.296</v>
      </c>
      <c r="V1337" s="4">
        <v>4.948</v>
      </c>
      <c r="AB1337" s="4" t="s">
        <v>1187</v>
      </c>
      <c r="AC1337" s="4" t="s">
        <v>1188</v>
      </c>
      <c r="AD1337" s="4" t="s">
        <v>1189</v>
      </c>
      <c r="AE1337" s="4" t="s">
        <v>1187</v>
      </c>
      <c r="AF1337" s="4" t="s">
        <v>1190</v>
      </c>
      <c r="AH1337" s="4" t="s">
        <v>371</v>
      </c>
      <c r="AI1337" s="4" t="s">
        <v>1200</v>
      </c>
      <c r="AL1337" s="4" t="s">
        <v>689</v>
      </c>
      <c r="BD1337" s="4" t="s">
        <v>1201</v>
      </c>
      <c r="BE1337" s="4" t="s">
        <v>1202</v>
      </c>
      <c r="BI1337" s="4" t="s">
        <v>321</v>
      </c>
      <c r="BL1337" s="4">
        <v>100</v>
      </c>
      <c r="BM1337" s="4">
        <v>0.5</v>
      </c>
      <c r="BO1337" s="4">
        <v>0.005</v>
      </c>
      <c r="BV1337" s="4" t="s">
        <v>488</v>
      </c>
      <c r="BX1337" s="4">
        <v>20</v>
      </c>
      <c r="CB1337" s="4" t="s">
        <v>7</v>
      </c>
      <c r="CD1337" s="4">
        <v>20</v>
      </c>
      <c r="CE1337" s="4" t="s">
        <v>11</v>
      </c>
      <c r="CJ1337" s="4">
        <v>20</v>
      </c>
      <c r="DO1337" s="4">
        <v>3</v>
      </c>
      <c r="DP1337" s="4">
        <v>20</v>
      </c>
      <c r="JJ1337" s="1" t="s">
        <v>355</v>
      </c>
      <c r="JK1337" s="1" t="s">
        <v>7</v>
      </c>
      <c r="JL1337" s="27">
        <v>37.6262626262626</v>
      </c>
      <c r="JM1337" s="27"/>
      <c r="JN1337" s="27">
        <v>32.8282828282828</v>
      </c>
      <c r="JO1337" s="27"/>
      <c r="JP1337" s="27">
        <v>5.3030303030303</v>
      </c>
      <c r="JQ1337" s="27"/>
      <c r="JR1337" s="27">
        <v>24.2424242424243</v>
      </c>
      <c r="JS1337" s="27"/>
    </row>
    <row r="1338" customHeight="1" spans="1:279">
      <c r="A1338" s="5">
        <v>42</v>
      </c>
      <c r="B1338" s="4" t="s">
        <v>1181</v>
      </c>
      <c r="C1338" s="40" t="s">
        <v>1186</v>
      </c>
      <c r="D1338" s="4" t="s">
        <v>300</v>
      </c>
      <c r="E1338" s="4" t="s">
        <v>1183</v>
      </c>
      <c r="T1338" s="4">
        <v>239.06</v>
      </c>
      <c r="U1338" s="4">
        <v>0.296</v>
      </c>
      <c r="V1338" s="4">
        <v>4.948</v>
      </c>
      <c r="AB1338" s="4" t="s">
        <v>1187</v>
      </c>
      <c r="AC1338" s="4" t="s">
        <v>1188</v>
      </c>
      <c r="AD1338" s="4" t="s">
        <v>1189</v>
      </c>
      <c r="AE1338" s="4" t="s">
        <v>1187</v>
      </c>
      <c r="AF1338" s="4" t="s">
        <v>1190</v>
      </c>
      <c r="AH1338" s="4" t="s">
        <v>371</v>
      </c>
      <c r="AI1338" s="4" t="s">
        <v>1200</v>
      </c>
      <c r="AL1338" s="4" t="s">
        <v>689</v>
      </c>
      <c r="BD1338" s="4" t="s">
        <v>1201</v>
      </c>
      <c r="BE1338" s="4" t="s">
        <v>1202</v>
      </c>
      <c r="BI1338" s="4" t="s">
        <v>321</v>
      </c>
      <c r="BL1338" s="4">
        <v>100</v>
      </c>
      <c r="BM1338" s="4">
        <v>0.75</v>
      </c>
      <c r="BO1338" s="4">
        <v>0.0075</v>
      </c>
      <c r="BV1338" s="4" t="s">
        <v>488</v>
      </c>
      <c r="BX1338" s="4">
        <v>20</v>
      </c>
      <c r="CB1338" s="4" t="s">
        <v>7</v>
      </c>
      <c r="CD1338" s="4">
        <v>20</v>
      </c>
      <c r="CE1338" s="4" t="s">
        <v>11</v>
      </c>
      <c r="CJ1338" s="4">
        <v>20</v>
      </c>
      <c r="DO1338" s="4">
        <v>3</v>
      </c>
      <c r="DP1338" s="4">
        <v>20</v>
      </c>
      <c r="JJ1338" s="1" t="s">
        <v>355</v>
      </c>
      <c r="JK1338" s="1" t="s">
        <v>7</v>
      </c>
      <c r="JL1338" s="27">
        <v>36.1111111111111</v>
      </c>
      <c r="JM1338" s="27"/>
      <c r="JN1338" s="27">
        <v>31.060606060606</v>
      </c>
      <c r="JO1338" s="27"/>
      <c r="JP1338" s="27">
        <v>5.5555555555556</v>
      </c>
      <c r="JQ1338" s="27"/>
      <c r="JR1338" s="27">
        <v>27.2727272727273</v>
      </c>
      <c r="JS1338" s="27"/>
    </row>
    <row r="1339" customHeight="1" spans="1:279">
      <c r="A1339" s="5">
        <v>42</v>
      </c>
      <c r="B1339" s="4" t="s">
        <v>1181</v>
      </c>
      <c r="C1339" s="40" t="s">
        <v>1186</v>
      </c>
      <c r="D1339" s="4" t="s">
        <v>300</v>
      </c>
      <c r="E1339" s="4" t="s">
        <v>1183</v>
      </c>
      <c r="T1339" s="4">
        <v>239.06</v>
      </c>
      <c r="U1339" s="4">
        <v>0.296</v>
      </c>
      <c r="V1339" s="4">
        <v>4.948</v>
      </c>
      <c r="AB1339" s="4" t="s">
        <v>1187</v>
      </c>
      <c r="AC1339" s="4" t="s">
        <v>1188</v>
      </c>
      <c r="AD1339" s="4" t="s">
        <v>1189</v>
      </c>
      <c r="AE1339" s="4" t="s">
        <v>1187</v>
      </c>
      <c r="AF1339" s="4" t="s">
        <v>1190</v>
      </c>
      <c r="AH1339" s="4" t="s">
        <v>371</v>
      </c>
      <c r="AI1339" s="4" t="s">
        <v>1200</v>
      </c>
      <c r="AL1339" s="4" t="s">
        <v>689</v>
      </c>
      <c r="BD1339" s="4" t="s">
        <v>1201</v>
      </c>
      <c r="BE1339" s="4" t="s">
        <v>1202</v>
      </c>
      <c r="BI1339" s="4" t="s">
        <v>321</v>
      </c>
      <c r="BL1339" s="4">
        <v>100</v>
      </c>
      <c r="BM1339" s="4">
        <v>1</v>
      </c>
      <c r="BO1339" s="4">
        <v>0.01</v>
      </c>
      <c r="BV1339" s="4" t="s">
        <v>488</v>
      </c>
      <c r="BX1339" s="4">
        <v>20</v>
      </c>
      <c r="CB1339" s="4" t="s">
        <v>7</v>
      </c>
      <c r="CD1339" s="4">
        <v>20</v>
      </c>
      <c r="CE1339" s="4" t="s">
        <v>11</v>
      </c>
      <c r="CJ1339" s="4">
        <v>20</v>
      </c>
      <c r="DO1339" s="4">
        <v>3</v>
      </c>
      <c r="DP1339" s="4">
        <v>20</v>
      </c>
      <c r="JJ1339" s="1" t="s">
        <v>355</v>
      </c>
      <c r="JK1339" s="1" t="s">
        <v>7</v>
      </c>
      <c r="JL1339" s="27">
        <v>32.8282828282828</v>
      </c>
      <c r="JM1339" s="27"/>
      <c r="JN1339" s="27">
        <v>31.3131313131313</v>
      </c>
      <c r="JO1339" s="27"/>
      <c r="JP1339" s="27">
        <v>5.8080808080808</v>
      </c>
      <c r="JQ1339" s="27"/>
      <c r="JR1339" s="27">
        <v>30.0505050505051</v>
      </c>
      <c r="JS1339" s="27"/>
    </row>
    <row r="1340" customHeight="1" spans="1:279">
      <c r="A1340" s="5">
        <v>42</v>
      </c>
      <c r="B1340" s="4" t="s">
        <v>1181</v>
      </c>
      <c r="C1340" s="40" t="s">
        <v>1186</v>
      </c>
      <c r="D1340" s="4" t="s">
        <v>300</v>
      </c>
      <c r="E1340" s="4" t="s">
        <v>1183</v>
      </c>
      <c r="T1340" s="4">
        <v>239.06</v>
      </c>
      <c r="U1340" s="4">
        <v>0.296</v>
      </c>
      <c r="V1340" s="4">
        <v>4.948</v>
      </c>
      <c r="AB1340" s="4" t="s">
        <v>1187</v>
      </c>
      <c r="AC1340" s="4" t="s">
        <v>1188</v>
      </c>
      <c r="AD1340" s="4" t="s">
        <v>1189</v>
      </c>
      <c r="AE1340" s="4" t="s">
        <v>1187</v>
      </c>
      <c r="AF1340" s="4" t="s">
        <v>1190</v>
      </c>
      <c r="AH1340" s="4" t="s">
        <v>371</v>
      </c>
      <c r="AI1340" s="4" t="s">
        <v>1200</v>
      </c>
      <c r="AL1340" s="4" t="s">
        <v>689</v>
      </c>
      <c r="BD1340" s="4" t="s">
        <v>1201</v>
      </c>
      <c r="BI1340" s="4" t="s">
        <v>321</v>
      </c>
      <c r="BL1340" s="4">
        <v>100</v>
      </c>
      <c r="BM1340" s="4">
        <v>0</v>
      </c>
      <c r="BO1340" s="4">
        <v>0</v>
      </c>
      <c r="BV1340" s="4" t="s">
        <v>488</v>
      </c>
      <c r="BX1340" s="4">
        <v>20</v>
      </c>
      <c r="CB1340" s="4" t="s">
        <v>7</v>
      </c>
      <c r="CD1340" s="4">
        <v>20</v>
      </c>
      <c r="CE1340" s="4" t="s">
        <v>11</v>
      </c>
      <c r="CJ1340" s="4">
        <v>20</v>
      </c>
      <c r="DO1340" s="4">
        <v>3</v>
      </c>
      <c r="DP1340" s="4">
        <v>20</v>
      </c>
      <c r="JJ1340" s="1" t="s">
        <v>551</v>
      </c>
    </row>
    <row r="1341" customHeight="1" spans="1:279">
      <c r="A1341" s="5">
        <v>42</v>
      </c>
      <c r="B1341" s="4" t="s">
        <v>1181</v>
      </c>
      <c r="C1341" s="40" t="s">
        <v>1186</v>
      </c>
      <c r="D1341" s="4" t="s">
        <v>300</v>
      </c>
      <c r="E1341" s="4" t="s">
        <v>1183</v>
      </c>
      <c r="T1341" s="4">
        <v>239.06</v>
      </c>
      <c r="U1341" s="4">
        <v>0.296</v>
      </c>
      <c r="V1341" s="4">
        <v>4.948</v>
      </c>
      <c r="AB1341" s="4" t="s">
        <v>1187</v>
      </c>
      <c r="AC1341" s="4" t="s">
        <v>1188</v>
      </c>
      <c r="AD1341" s="4" t="s">
        <v>1189</v>
      </c>
      <c r="AE1341" s="4" t="s">
        <v>1187</v>
      </c>
      <c r="AF1341" s="4" t="s">
        <v>1190</v>
      </c>
      <c r="AH1341" s="4" t="s">
        <v>371</v>
      </c>
      <c r="AI1341" s="4" t="s">
        <v>1200</v>
      </c>
      <c r="AL1341" s="4" t="s">
        <v>689</v>
      </c>
      <c r="BD1341" s="4" t="s">
        <v>1201</v>
      </c>
      <c r="BI1341" s="4" t="s">
        <v>321</v>
      </c>
      <c r="BL1341" s="4">
        <v>100</v>
      </c>
      <c r="BM1341" s="4">
        <v>0.5</v>
      </c>
      <c r="BO1341" s="4">
        <v>0.005</v>
      </c>
      <c r="BV1341" s="4" t="s">
        <v>488</v>
      </c>
      <c r="BX1341" s="4">
        <v>20</v>
      </c>
      <c r="CB1341" s="4" t="s">
        <v>7</v>
      </c>
      <c r="CD1341" s="4">
        <v>20</v>
      </c>
      <c r="CE1341" s="4" t="s">
        <v>11</v>
      </c>
      <c r="CJ1341" s="4">
        <v>20</v>
      </c>
      <c r="DO1341" s="4">
        <v>3</v>
      </c>
      <c r="DP1341" s="4">
        <v>20</v>
      </c>
    </row>
    <row r="1342" customHeight="1" spans="1:279">
      <c r="A1342" s="5">
        <v>42</v>
      </c>
      <c r="B1342" s="4" t="s">
        <v>1181</v>
      </c>
      <c r="C1342" s="40" t="s">
        <v>1186</v>
      </c>
      <c r="D1342" s="4" t="s">
        <v>300</v>
      </c>
      <c r="E1342" s="4" t="s">
        <v>1183</v>
      </c>
      <c r="T1342" s="4">
        <v>239.06</v>
      </c>
      <c r="U1342" s="4">
        <v>0.296</v>
      </c>
      <c r="V1342" s="4">
        <v>4.948</v>
      </c>
      <c r="AB1342" s="4" t="s">
        <v>1187</v>
      </c>
      <c r="AC1342" s="4" t="s">
        <v>1188</v>
      </c>
      <c r="AD1342" s="4" t="s">
        <v>1189</v>
      </c>
      <c r="AE1342" s="4" t="s">
        <v>1187</v>
      </c>
      <c r="AF1342" s="4" t="s">
        <v>1190</v>
      </c>
      <c r="AH1342" s="4" t="s">
        <v>371</v>
      </c>
      <c r="AI1342" s="4" t="s">
        <v>1200</v>
      </c>
      <c r="AL1342" s="4" t="s">
        <v>689</v>
      </c>
      <c r="BD1342" s="4" t="s">
        <v>1201</v>
      </c>
      <c r="BI1342" s="4" t="s">
        <v>321</v>
      </c>
      <c r="BL1342" s="4">
        <v>100</v>
      </c>
      <c r="BM1342" s="4">
        <v>0.75</v>
      </c>
      <c r="BO1342" s="4">
        <v>0.0075</v>
      </c>
      <c r="BV1342" s="4" t="s">
        <v>488</v>
      </c>
      <c r="BX1342" s="4">
        <v>20</v>
      </c>
      <c r="CB1342" s="4" t="s">
        <v>7</v>
      </c>
      <c r="CD1342" s="4">
        <v>20</v>
      </c>
      <c r="CE1342" s="4" t="s">
        <v>11</v>
      </c>
      <c r="CJ1342" s="4">
        <v>20</v>
      </c>
      <c r="DO1342" s="4">
        <v>3</v>
      </c>
      <c r="DP1342" s="4">
        <v>20</v>
      </c>
    </row>
    <row r="1343" customHeight="1" spans="1:279">
      <c r="A1343" s="5">
        <v>42</v>
      </c>
      <c r="B1343" s="4" t="s">
        <v>1181</v>
      </c>
      <c r="C1343" s="40" t="s">
        <v>1186</v>
      </c>
      <c r="D1343" s="4" t="s">
        <v>300</v>
      </c>
      <c r="E1343" s="4" t="s">
        <v>1183</v>
      </c>
      <c r="T1343" s="4">
        <v>239.06</v>
      </c>
      <c r="U1343" s="4">
        <v>0.296</v>
      </c>
      <c r="V1343" s="4">
        <v>4.948</v>
      </c>
      <c r="AB1343" s="4" t="s">
        <v>1187</v>
      </c>
      <c r="AC1343" s="4" t="s">
        <v>1188</v>
      </c>
      <c r="AD1343" s="4" t="s">
        <v>1189</v>
      </c>
      <c r="AE1343" s="4" t="s">
        <v>1187</v>
      </c>
      <c r="AF1343" s="4" t="s">
        <v>1190</v>
      </c>
      <c r="AH1343" s="4" t="s">
        <v>371</v>
      </c>
      <c r="AI1343" s="4" t="s">
        <v>1200</v>
      </c>
      <c r="AL1343" s="4" t="s">
        <v>689</v>
      </c>
      <c r="BD1343" s="4" t="s">
        <v>1201</v>
      </c>
      <c r="BI1343" s="4" t="s">
        <v>321</v>
      </c>
      <c r="BL1343" s="4">
        <v>100</v>
      </c>
      <c r="BM1343" s="4">
        <v>1</v>
      </c>
      <c r="BO1343" s="4">
        <v>0.01</v>
      </c>
      <c r="BV1343" s="4" t="s">
        <v>488</v>
      </c>
      <c r="BX1343" s="4">
        <v>20</v>
      </c>
      <c r="CB1343" s="4" t="s">
        <v>7</v>
      </c>
      <c r="CD1343" s="4">
        <v>20</v>
      </c>
      <c r="CE1343" s="4" t="s">
        <v>11</v>
      </c>
      <c r="CJ1343" s="4">
        <v>20</v>
      </c>
      <c r="DO1343" s="4">
        <v>3</v>
      </c>
      <c r="DP1343" s="4">
        <v>20</v>
      </c>
    </row>
    <row r="1344" customHeight="1" spans="1:279">
      <c r="A1344" s="5">
        <v>42</v>
      </c>
      <c r="B1344" s="4" t="s">
        <v>1181</v>
      </c>
      <c r="C1344" s="40" t="s">
        <v>1186</v>
      </c>
      <c r="D1344" s="4" t="s">
        <v>300</v>
      </c>
      <c r="E1344" s="4" t="s">
        <v>1183</v>
      </c>
      <c r="T1344" s="4">
        <v>239.06</v>
      </c>
      <c r="U1344" s="4">
        <v>0.296</v>
      </c>
      <c r="V1344" s="4">
        <v>4.948</v>
      </c>
      <c r="AB1344" s="4" t="s">
        <v>1187</v>
      </c>
      <c r="AC1344" s="4" t="s">
        <v>1188</v>
      </c>
      <c r="AD1344" s="4" t="s">
        <v>1189</v>
      </c>
      <c r="AE1344" s="4" t="s">
        <v>1187</v>
      </c>
      <c r="AF1344" s="4" t="s">
        <v>1190</v>
      </c>
      <c r="AH1344" s="4" t="s">
        <v>371</v>
      </c>
      <c r="AI1344" s="4" t="s">
        <v>1200</v>
      </c>
      <c r="AL1344" s="4" t="s">
        <v>689</v>
      </c>
      <c r="BD1344" s="4" t="s">
        <v>1201</v>
      </c>
      <c r="DO1344" s="4">
        <v>3</v>
      </c>
    </row>
    <row r="1345" customHeight="1" spans="1:313">
      <c r="A1345" s="5">
        <v>42</v>
      </c>
      <c r="B1345" s="4" t="s">
        <v>1181</v>
      </c>
      <c r="C1345" s="40" t="s">
        <v>1186</v>
      </c>
      <c r="D1345" s="4" t="s">
        <v>300</v>
      </c>
      <c r="E1345" s="4" t="s">
        <v>1183</v>
      </c>
      <c r="T1345" s="4">
        <v>239.06</v>
      </c>
      <c r="U1345" s="4">
        <v>0.296</v>
      </c>
      <c r="V1345" s="4">
        <v>4.948</v>
      </c>
      <c r="AB1345" s="4" t="s">
        <v>1187</v>
      </c>
      <c r="AC1345" s="4" t="s">
        <v>1188</v>
      </c>
      <c r="AD1345" s="4" t="s">
        <v>1189</v>
      </c>
      <c r="AE1345" s="4" t="s">
        <v>1187</v>
      </c>
      <c r="AF1345" s="4" t="s">
        <v>1190</v>
      </c>
      <c r="AH1345" s="4" t="s">
        <v>371</v>
      </c>
      <c r="AI1345" s="4" t="s">
        <v>1200</v>
      </c>
      <c r="AL1345" s="4" t="s">
        <v>689</v>
      </c>
      <c r="BD1345" s="4" t="s">
        <v>1201</v>
      </c>
      <c r="DO1345" s="4">
        <v>3</v>
      </c>
    </row>
    <row r="1346" customHeight="1" spans="1:313">
      <c r="A1346" s="5">
        <v>42</v>
      </c>
      <c r="B1346" s="4" t="s">
        <v>1181</v>
      </c>
      <c r="C1346" s="40" t="s">
        <v>1186</v>
      </c>
      <c r="D1346" s="4" t="s">
        <v>300</v>
      </c>
      <c r="E1346" s="4" t="s">
        <v>1183</v>
      </c>
      <c r="T1346" s="4">
        <v>239.06</v>
      </c>
      <c r="U1346" s="4">
        <v>0.296</v>
      </c>
      <c r="V1346" s="4">
        <v>4.948</v>
      </c>
      <c r="AB1346" s="4" t="s">
        <v>1187</v>
      </c>
      <c r="AC1346" s="4" t="s">
        <v>1188</v>
      </c>
      <c r="AD1346" s="4" t="s">
        <v>1189</v>
      </c>
      <c r="AE1346" s="4" t="s">
        <v>1187</v>
      </c>
      <c r="AF1346" s="4" t="s">
        <v>1190</v>
      </c>
      <c r="AH1346" s="4" t="s">
        <v>371</v>
      </c>
      <c r="AI1346" s="4" t="s">
        <v>1200</v>
      </c>
      <c r="AL1346" s="4" t="s">
        <v>689</v>
      </c>
      <c r="BD1346" s="4" t="s">
        <v>1201</v>
      </c>
      <c r="DO1346" s="4">
        <v>3</v>
      </c>
    </row>
    <row r="1347" customHeight="1" spans="1:313">
      <c r="A1347" s="5">
        <v>42</v>
      </c>
      <c r="B1347" s="4" t="s">
        <v>1181</v>
      </c>
      <c r="C1347" s="40" t="s">
        <v>1203</v>
      </c>
      <c r="D1347" s="4" t="s">
        <v>300</v>
      </c>
      <c r="E1347" s="4" t="s">
        <v>1183</v>
      </c>
      <c r="AB1347" s="4" t="s">
        <v>1204</v>
      </c>
      <c r="BI1347" s="4" t="s">
        <v>309</v>
      </c>
      <c r="BN1347" s="4">
        <v>0.5</v>
      </c>
      <c r="BS1347" s="4">
        <v>5</v>
      </c>
      <c r="BU1347" s="4">
        <v>125</v>
      </c>
      <c r="BW1347" s="4">
        <v>25</v>
      </c>
      <c r="CB1347" s="4" t="s">
        <v>458</v>
      </c>
      <c r="CC1347" s="4">
        <v>200</v>
      </c>
      <c r="DM1347" s="4" t="s">
        <v>1185</v>
      </c>
      <c r="DO1347" s="4">
        <v>3</v>
      </c>
      <c r="DP1347" s="1">
        <v>200</v>
      </c>
      <c r="DW1347" s="4">
        <v>318.93</v>
      </c>
      <c r="DX1347" s="1">
        <v>3.99</v>
      </c>
      <c r="EC1347" s="1">
        <f>DW1347/4</f>
        <v>79.7325</v>
      </c>
      <c r="ED1347" s="1">
        <v>79.7325</v>
      </c>
    </row>
    <row r="1348" customHeight="1" spans="1:313">
      <c r="A1348" s="5">
        <v>42</v>
      </c>
      <c r="B1348" s="4" t="s">
        <v>1181</v>
      </c>
      <c r="C1348" s="40" t="s">
        <v>1203</v>
      </c>
      <c r="D1348" s="4" t="s">
        <v>300</v>
      </c>
      <c r="E1348" s="4" t="s">
        <v>1183</v>
      </c>
      <c r="AB1348" s="4" t="s">
        <v>1204</v>
      </c>
      <c r="BI1348" s="4" t="s">
        <v>309</v>
      </c>
      <c r="BN1348" s="4">
        <v>0.5</v>
      </c>
      <c r="BS1348" s="4">
        <v>5</v>
      </c>
      <c r="BU1348" s="4">
        <v>125</v>
      </c>
      <c r="BW1348" s="4">
        <v>25</v>
      </c>
      <c r="CB1348" s="4" t="s">
        <v>10</v>
      </c>
      <c r="CC1348" s="4">
        <v>100</v>
      </c>
      <c r="DM1348" s="4" t="s">
        <v>1185</v>
      </c>
      <c r="DO1348" s="4">
        <v>3</v>
      </c>
      <c r="FP1348" s="1">
        <v>24.82</v>
      </c>
      <c r="FQ1348" s="1">
        <v>0.62</v>
      </c>
    </row>
    <row r="1349" customHeight="1" spans="1:313">
      <c r="A1349" s="3">
        <v>43</v>
      </c>
      <c r="B1349" s="4" t="s">
        <v>1205</v>
      </c>
      <c r="C1349" s="5" t="s">
        <v>1206</v>
      </c>
      <c r="D1349" s="4" t="s">
        <v>300</v>
      </c>
      <c r="E1349" s="4" t="s">
        <v>1207</v>
      </c>
      <c r="H1349" s="4" t="s">
        <v>328</v>
      </c>
      <c r="I1349" s="4" t="s">
        <v>627</v>
      </c>
      <c r="J1349" s="4" t="s">
        <v>1208</v>
      </c>
      <c r="N1349" s="4" t="s">
        <v>567</v>
      </c>
      <c r="O1349" s="4" t="s">
        <v>502</v>
      </c>
      <c r="P1349" s="4">
        <v>5</v>
      </c>
      <c r="T1349" s="4">
        <v>90.12</v>
      </c>
      <c r="U1349" s="4">
        <v>0.13</v>
      </c>
      <c r="V1349" s="4">
        <v>5.65</v>
      </c>
      <c r="X1349" s="4">
        <v>0.791</v>
      </c>
      <c r="AA1349" s="4" t="s">
        <v>1209</v>
      </c>
      <c r="AB1349" s="4" t="s">
        <v>1210</v>
      </c>
      <c r="AD1349" s="4" t="s">
        <v>1211</v>
      </c>
      <c r="AE1349" s="4" t="s">
        <v>1212</v>
      </c>
      <c r="AF1349" s="4" t="s">
        <v>1213</v>
      </c>
      <c r="BI1349" s="4" t="s">
        <v>309</v>
      </c>
      <c r="BK1349" s="4">
        <v>30</v>
      </c>
      <c r="BN1349" s="4">
        <v>3.33</v>
      </c>
      <c r="BS1349" s="4">
        <v>5</v>
      </c>
      <c r="BU1349" s="4">
        <v>180</v>
      </c>
      <c r="BV1349" s="4" t="s">
        <v>495</v>
      </c>
      <c r="BW1349" s="4">
        <v>25</v>
      </c>
      <c r="CB1349" s="4" t="s">
        <v>12</v>
      </c>
      <c r="CC1349" s="4">
        <v>1000</v>
      </c>
      <c r="CE1349" s="4" t="s">
        <v>14</v>
      </c>
      <c r="CF1349" s="4">
        <v>1000</v>
      </c>
      <c r="CH1349" s="4" t="s">
        <v>16</v>
      </c>
      <c r="CI1349" s="4">
        <v>1000</v>
      </c>
      <c r="CK1349" s="4" t="s">
        <v>11</v>
      </c>
      <c r="CL1349" s="4">
        <v>1000</v>
      </c>
      <c r="CN1349" s="4" t="s">
        <v>7</v>
      </c>
      <c r="CO1349" s="4">
        <v>1000</v>
      </c>
      <c r="DO1349" s="4">
        <v>3</v>
      </c>
      <c r="DP1349" s="4">
        <v>1000</v>
      </c>
      <c r="DW1349" s="4">
        <v>192.22</v>
      </c>
      <c r="DX1349" s="1">
        <v>6.52</v>
      </c>
      <c r="EC1349" s="1">
        <f>DW1349*3.33/DP1349*100</f>
        <v>64.00926</v>
      </c>
      <c r="ED1349" s="1">
        <v>64.00926</v>
      </c>
      <c r="GE1349" s="4">
        <v>288.58</v>
      </c>
      <c r="GF1349" s="1">
        <v>0</v>
      </c>
      <c r="GK1349" s="1">
        <f t="shared" ref="GK1349:GK1369" si="41">GE1349*BN1349/CL1349*100</f>
        <v>96.09714</v>
      </c>
      <c r="GL1349" s="1">
        <v>96.09714</v>
      </c>
      <c r="GT1349" s="4">
        <v>270.51</v>
      </c>
      <c r="GU1349" s="1">
        <v>11.54</v>
      </c>
      <c r="GZ1349" s="1">
        <f>GT1349*3.33/10</f>
        <v>90.07983</v>
      </c>
      <c r="HA1349" s="1">
        <v>90.07983</v>
      </c>
      <c r="HX1349" s="4">
        <v>156.09</v>
      </c>
      <c r="HY1349" s="1">
        <v>1.004</v>
      </c>
      <c r="ID1349" s="1">
        <f t="shared" ref="ID1349:ID1369" si="42">HX1349/10*3.33</f>
        <v>51.97797</v>
      </c>
      <c r="IE1349" s="1">
        <v>51.97797</v>
      </c>
      <c r="JB1349" s="4">
        <v>106.4</v>
      </c>
      <c r="JC1349" s="1">
        <v>1.004</v>
      </c>
      <c r="JH1349" s="1">
        <f t="shared" ref="JH1349:JH1369" si="43">JB1349*3.33/10</f>
        <v>35.4312</v>
      </c>
      <c r="JI1349" s="1">
        <v>35.4312</v>
      </c>
      <c r="KZ1349" s="1" t="s">
        <v>12</v>
      </c>
      <c r="LA1349" s="1" t="s">
        <v>1214</v>
      </c>
    </row>
    <row r="1350" customHeight="1" spans="1:313">
      <c r="A1350" s="3">
        <v>43</v>
      </c>
      <c r="B1350" s="4" t="s">
        <v>1205</v>
      </c>
      <c r="C1350" s="5" t="s">
        <v>1206</v>
      </c>
      <c r="D1350" s="4" t="s">
        <v>300</v>
      </c>
      <c r="E1350" s="4" t="s">
        <v>1207</v>
      </c>
      <c r="H1350" s="4" t="s">
        <v>328</v>
      </c>
      <c r="I1350" s="4" t="s">
        <v>627</v>
      </c>
      <c r="J1350" s="4" t="s">
        <v>1208</v>
      </c>
      <c r="N1350" s="4" t="s">
        <v>567</v>
      </c>
      <c r="O1350" s="4" t="s">
        <v>502</v>
      </c>
      <c r="P1350" s="4">
        <v>5</v>
      </c>
      <c r="T1350" s="4">
        <v>90.12</v>
      </c>
      <c r="U1350" s="4">
        <v>0.13</v>
      </c>
      <c r="V1350" s="4">
        <v>5.65</v>
      </c>
      <c r="X1350" s="4">
        <v>0.791</v>
      </c>
      <c r="AA1350" s="4" t="s">
        <v>1209</v>
      </c>
      <c r="AB1350" s="4" t="s">
        <v>1210</v>
      </c>
      <c r="AD1350" s="4" t="s">
        <v>1211</v>
      </c>
      <c r="AE1350" s="4" t="s">
        <v>1212</v>
      </c>
      <c r="AF1350" s="4" t="s">
        <v>1213</v>
      </c>
      <c r="BI1350" s="4" t="s">
        <v>309</v>
      </c>
      <c r="BK1350" s="4">
        <v>30</v>
      </c>
      <c r="BN1350" s="4">
        <v>3.33</v>
      </c>
      <c r="BS1350" s="4">
        <v>5</v>
      </c>
      <c r="BU1350" s="4">
        <v>180</v>
      </c>
      <c r="BV1350" s="4">
        <v>1440</v>
      </c>
      <c r="BW1350" s="4">
        <v>25</v>
      </c>
      <c r="CB1350" s="4" t="s">
        <v>12</v>
      </c>
      <c r="CE1350" s="4" t="s">
        <v>14</v>
      </c>
      <c r="CH1350" s="4" t="s">
        <v>16</v>
      </c>
      <c r="CK1350" s="4" t="s">
        <v>11</v>
      </c>
      <c r="CN1350" s="4" t="s">
        <v>7</v>
      </c>
      <c r="DB1350" s="4" t="s">
        <v>430</v>
      </c>
      <c r="DO1350" s="4">
        <v>3</v>
      </c>
      <c r="DP1350" s="4"/>
      <c r="DW1350" s="4"/>
      <c r="GE1350" s="4"/>
      <c r="GT1350" s="4"/>
      <c r="HX1350" s="4"/>
      <c r="JB1350" s="4"/>
      <c r="KZ1350" s="1" t="s">
        <v>11</v>
      </c>
      <c r="LA1350" s="1" t="s">
        <v>1215</v>
      </c>
    </row>
    <row r="1351" customHeight="1" spans="1:313">
      <c r="A1351" s="3">
        <v>43</v>
      </c>
      <c r="B1351" s="4" t="s">
        <v>1205</v>
      </c>
      <c r="C1351" s="5" t="s">
        <v>1206</v>
      </c>
      <c r="D1351" s="4" t="s">
        <v>300</v>
      </c>
      <c r="E1351" s="4" t="s">
        <v>1207</v>
      </c>
      <c r="H1351" s="4" t="s">
        <v>328</v>
      </c>
      <c r="I1351" s="4" t="s">
        <v>627</v>
      </c>
      <c r="J1351" s="4" t="s">
        <v>1208</v>
      </c>
      <c r="N1351" s="4" t="s">
        <v>567</v>
      </c>
      <c r="O1351" s="4" t="s">
        <v>502</v>
      </c>
      <c r="P1351" s="4">
        <v>5</v>
      </c>
      <c r="T1351" s="4">
        <v>90.12</v>
      </c>
      <c r="U1351" s="4">
        <v>0.13</v>
      </c>
      <c r="V1351" s="4">
        <v>5.65</v>
      </c>
      <c r="X1351" s="4">
        <v>0.791</v>
      </c>
      <c r="AA1351" s="4" t="s">
        <v>1209</v>
      </c>
      <c r="AB1351" s="4" t="s">
        <v>1210</v>
      </c>
      <c r="AD1351" s="4" t="s">
        <v>1211</v>
      </c>
      <c r="AE1351" s="4" t="s">
        <v>1212</v>
      </c>
      <c r="AF1351" s="4" t="s">
        <v>1213</v>
      </c>
      <c r="BI1351" s="4" t="s">
        <v>309</v>
      </c>
      <c r="BK1351" s="4">
        <v>30</v>
      </c>
      <c r="BN1351" s="4">
        <v>3.33</v>
      </c>
      <c r="BS1351" s="4">
        <v>2</v>
      </c>
      <c r="BU1351" s="4">
        <v>180</v>
      </c>
      <c r="BV1351" s="4">
        <v>1440</v>
      </c>
      <c r="BW1351" s="4">
        <v>25</v>
      </c>
      <c r="CB1351" s="4" t="s">
        <v>12</v>
      </c>
      <c r="CC1351" s="4">
        <v>1000</v>
      </c>
      <c r="CE1351" s="4" t="s">
        <v>14</v>
      </c>
      <c r="CF1351" s="4">
        <v>1000</v>
      </c>
      <c r="CH1351" s="4" t="s">
        <v>16</v>
      </c>
      <c r="CI1351" s="4">
        <v>1000</v>
      </c>
      <c r="CK1351" s="4" t="s">
        <v>11</v>
      </c>
      <c r="CL1351" s="4">
        <v>1000</v>
      </c>
      <c r="CN1351" s="4" t="s">
        <v>7</v>
      </c>
      <c r="CO1351" s="4">
        <v>1000</v>
      </c>
      <c r="DO1351" s="4">
        <v>3</v>
      </c>
      <c r="DP1351" s="4">
        <v>1000</v>
      </c>
      <c r="DW1351" s="4">
        <v>144.15</v>
      </c>
      <c r="DX1351" s="1">
        <v>5.2</v>
      </c>
      <c r="EC1351" s="1">
        <f t="shared" ref="EC1350:EC1369" si="44">DW1351*3.33/DP1351*100</f>
        <v>48.00195</v>
      </c>
      <c r="ED1351" s="1">
        <v>48.00195</v>
      </c>
      <c r="GE1351" s="4">
        <v>305.4</v>
      </c>
      <c r="GF1351" s="1">
        <v>3.12</v>
      </c>
      <c r="GK1351" s="1">
        <f t="shared" si="41"/>
        <v>101.6982</v>
      </c>
      <c r="GL1351" s="1">
        <v>101.6982</v>
      </c>
      <c r="GT1351" s="4">
        <v>219.95</v>
      </c>
      <c r="GU1351" s="1">
        <v>5.72</v>
      </c>
      <c r="GZ1351" s="1">
        <f t="shared" ref="GZ1350:GZ1369" si="45">GT1351*3.33/10</f>
        <v>73.24335</v>
      </c>
      <c r="HA1351" s="1">
        <v>73.24335</v>
      </c>
      <c r="HX1351" s="4">
        <v>111.9</v>
      </c>
      <c r="HY1351" s="1">
        <v>5.72</v>
      </c>
      <c r="ID1351" s="1">
        <f t="shared" si="42"/>
        <v>37.2627</v>
      </c>
      <c r="IE1351" s="1">
        <v>37.2627</v>
      </c>
      <c r="JB1351" s="4">
        <v>83.81</v>
      </c>
      <c r="JC1351" s="1">
        <v>3.12</v>
      </c>
      <c r="JH1351" s="1">
        <f t="shared" si="43"/>
        <v>27.90873</v>
      </c>
      <c r="JI1351" s="1">
        <v>27.90873</v>
      </c>
      <c r="KZ1351" s="1" t="s">
        <v>14</v>
      </c>
      <c r="LA1351" s="1" t="s">
        <v>1216</v>
      </c>
    </row>
    <row r="1352" customHeight="1" spans="1:313">
      <c r="A1352" s="3">
        <v>43</v>
      </c>
      <c r="B1352" s="4" t="s">
        <v>1205</v>
      </c>
      <c r="C1352" s="5" t="s">
        <v>1206</v>
      </c>
      <c r="D1352" s="4" t="s">
        <v>300</v>
      </c>
      <c r="E1352" s="4" t="s">
        <v>1207</v>
      </c>
      <c r="H1352" s="4" t="s">
        <v>328</v>
      </c>
      <c r="I1352" s="4" t="s">
        <v>627</v>
      </c>
      <c r="J1352" s="4" t="s">
        <v>1208</v>
      </c>
      <c r="N1352" s="4" t="s">
        <v>567</v>
      </c>
      <c r="O1352" s="4" t="s">
        <v>502</v>
      </c>
      <c r="P1352" s="4">
        <v>5</v>
      </c>
      <c r="T1352" s="4">
        <v>90.12</v>
      </c>
      <c r="U1352" s="4">
        <v>0.13</v>
      </c>
      <c r="V1352" s="4">
        <v>5.65</v>
      </c>
      <c r="X1352" s="4">
        <v>0.791</v>
      </c>
      <c r="AA1352" s="4" t="s">
        <v>1209</v>
      </c>
      <c r="AB1352" s="4" t="s">
        <v>1210</v>
      </c>
      <c r="AD1352" s="4" t="s">
        <v>1211</v>
      </c>
      <c r="AE1352" s="4" t="s">
        <v>1212</v>
      </c>
      <c r="AF1352" s="4" t="s">
        <v>1213</v>
      </c>
      <c r="BI1352" s="4" t="s">
        <v>309</v>
      </c>
      <c r="BK1352" s="4">
        <v>30</v>
      </c>
      <c r="BN1352" s="4">
        <v>3.33</v>
      </c>
      <c r="BS1352" s="4">
        <v>3</v>
      </c>
      <c r="BU1352" s="4">
        <v>180</v>
      </c>
      <c r="BV1352" s="4">
        <v>1440</v>
      </c>
      <c r="BW1352" s="4">
        <v>25</v>
      </c>
      <c r="CB1352" s="4" t="s">
        <v>12</v>
      </c>
      <c r="CC1352" s="4">
        <v>1000</v>
      </c>
      <c r="CE1352" s="4" t="s">
        <v>14</v>
      </c>
      <c r="CF1352" s="4">
        <v>1000</v>
      </c>
      <c r="CH1352" s="4" t="s">
        <v>16</v>
      </c>
      <c r="CI1352" s="4">
        <v>1000</v>
      </c>
      <c r="CK1352" s="4" t="s">
        <v>11</v>
      </c>
      <c r="CL1352" s="4">
        <v>1000</v>
      </c>
      <c r="CN1352" s="4" t="s">
        <v>7</v>
      </c>
      <c r="CO1352" s="4">
        <v>1000</v>
      </c>
      <c r="DO1352" s="4">
        <v>3</v>
      </c>
      <c r="DP1352" s="4">
        <v>1000</v>
      </c>
      <c r="DW1352" s="4">
        <v>162.87</v>
      </c>
      <c r="DX1352" s="1">
        <v>5.72</v>
      </c>
      <c r="EC1352" s="1">
        <f t="shared" si="44"/>
        <v>54.23571</v>
      </c>
      <c r="ED1352" s="1">
        <v>54.23571</v>
      </c>
      <c r="GE1352" s="4">
        <v>306.96</v>
      </c>
      <c r="GF1352" s="1">
        <v>0</v>
      </c>
      <c r="GK1352" s="1">
        <f t="shared" si="41"/>
        <v>102.21768</v>
      </c>
      <c r="GL1352" s="1">
        <v>102.21768</v>
      </c>
      <c r="GT1352" s="4">
        <v>255.46</v>
      </c>
      <c r="GU1352" s="1">
        <v>12.48</v>
      </c>
      <c r="GZ1352" s="1">
        <f t="shared" si="45"/>
        <v>85.06818</v>
      </c>
      <c r="HA1352" s="1">
        <v>85.06818</v>
      </c>
      <c r="HX1352" s="4">
        <v>151.43</v>
      </c>
      <c r="HY1352" s="1">
        <v>10.92</v>
      </c>
      <c r="ID1352" s="1">
        <f t="shared" si="42"/>
        <v>50.42619</v>
      </c>
      <c r="IE1352" s="1">
        <v>50.42619</v>
      </c>
      <c r="JB1352" s="4">
        <v>98.37</v>
      </c>
      <c r="JC1352" s="1">
        <v>4.16</v>
      </c>
      <c r="JH1352" s="1">
        <f t="shared" si="43"/>
        <v>32.75721</v>
      </c>
      <c r="JI1352" s="1">
        <v>32.75721</v>
      </c>
      <c r="KZ1352" s="1" t="s">
        <v>16</v>
      </c>
      <c r="LA1352" s="1" t="s">
        <v>1216</v>
      </c>
    </row>
    <row r="1353" customHeight="1" spans="1:313">
      <c r="A1353" s="3">
        <v>43</v>
      </c>
      <c r="B1353" s="4" t="s">
        <v>1205</v>
      </c>
      <c r="C1353" s="5" t="s">
        <v>1206</v>
      </c>
      <c r="D1353" s="4" t="s">
        <v>300</v>
      </c>
      <c r="E1353" s="4" t="s">
        <v>1207</v>
      </c>
      <c r="H1353" s="4" t="s">
        <v>328</v>
      </c>
      <c r="I1353" s="4" t="s">
        <v>627</v>
      </c>
      <c r="J1353" s="4" t="s">
        <v>1208</v>
      </c>
      <c r="N1353" s="4" t="s">
        <v>567</v>
      </c>
      <c r="O1353" s="4" t="s">
        <v>502</v>
      </c>
      <c r="P1353" s="4">
        <v>5</v>
      </c>
      <c r="T1353" s="4">
        <v>90.12</v>
      </c>
      <c r="U1353" s="4">
        <v>0.13</v>
      </c>
      <c r="V1353" s="4">
        <v>5.65</v>
      </c>
      <c r="X1353" s="4">
        <v>0.791</v>
      </c>
      <c r="AA1353" s="4" t="s">
        <v>1209</v>
      </c>
      <c r="AB1353" s="4" t="s">
        <v>1210</v>
      </c>
      <c r="AD1353" s="4" t="s">
        <v>1211</v>
      </c>
      <c r="AE1353" s="4" t="s">
        <v>1212</v>
      </c>
      <c r="AF1353" s="4" t="s">
        <v>1213</v>
      </c>
      <c r="BI1353" s="4" t="s">
        <v>309</v>
      </c>
      <c r="BK1353" s="4">
        <v>30</v>
      </c>
      <c r="BN1353" s="4">
        <v>3.33</v>
      </c>
      <c r="BS1353" s="4">
        <v>4</v>
      </c>
      <c r="BU1353" s="4">
        <v>180</v>
      </c>
      <c r="BV1353" s="4">
        <v>1440</v>
      </c>
      <c r="BW1353" s="4">
        <v>25</v>
      </c>
      <c r="CB1353" s="4" t="s">
        <v>12</v>
      </c>
      <c r="CC1353" s="4">
        <v>1000</v>
      </c>
      <c r="CE1353" s="4" t="s">
        <v>14</v>
      </c>
      <c r="CF1353" s="4">
        <v>1000</v>
      </c>
      <c r="CH1353" s="4" t="s">
        <v>16</v>
      </c>
      <c r="CI1353" s="4">
        <v>1000</v>
      </c>
      <c r="CK1353" s="4" t="s">
        <v>11</v>
      </c>
      <c r="CL1353" s="4">
        <v>1000</v>
      </c>
      <c r="CN1353" s="4" t="s">
        <v>7</v>
      </c>
      <c r="CO1353" s="4">
        <v>1000</v>
      </c>
      <c r="DO1353" s="4">
        <v>3</v>
      </c>
      <c r="DP1353" s="4">
        <v>1000</v>
      </c>
      <c r="DW1353" s="4">
        <v>171.2</v>
      </c>
      <c r="DX1353" s="1">
        <v>0</v>
      </c>
      <c r="EC1353" s="1">
        <f t="shared" si="44"/>
        <v>57.0096</v>
      </c>
      <c r="ED1353" s="1">
        <v>57.0096</v>
      </c>
      <c r="GE1353" s="4">
        <v>307.48</v>
      </c>
      <c r="GF1353" s="1">
        <v>0</v>
      </c>
      <c r="GK1353" s="1">
        <f t="shared" si="41"/>
        <v>102.39084</v>
      </c>
      <c r="GL1353" s="1">
        <v>102.39084</v>
      </c>
      <c r="GT1353" s="4">
        <v>264.82</v>
      </c>
      <c r="GU1353" s="1">
        <v>11.96</v>
      </c>
      <c r="GZ1353" s="1">
        <f t="shared" si="45"/>
        <v>88.18506</v>
      </c>
      <c r="HA1353" s="1">
        <v>88.18506</v>
      </c>
      <c r="HX1353" s="4">
        <v>153.51</v>
      </c>
      <c r="HY1353" s="1">
        <v>8.84</v>
      </c>
      <c r="ID1353" s="1">
        <f t="shared" si="42"/>
        <v>51.11883</v>
      </c>
      <c r="IE1353" s="1">
        <v>51.11883</v>
      </c>
      <c r="JB1353" s="4">
        <v>95.25</v>
      </c>
      <c r="JC1353" s="1">
        <v>4.16</v>
      </c>
      <c r="JH1353" s="1">
        <f t="shared" si="43"/>
        <v>31.71825</v>
      </c>
      <c r="JI1353" s="1">
        <v>31.71825</v>
      </c>
      <c r="KZ1353" s="1" t="s">
        <v>7</v>
      </c>
      <c r="LA1353" s="1" t="s">
        <v>1215</v>
      </c>
    </row>
    <row r="1354" customHeight="1" spans="1:313">
      <c r="A1354" s="3">
        <v>43</v>
      </c>
      <c r="B1354" s="4" t="s">
        <v>1205</v>
      </c>
      <c r="C1354" s="5" t="s">
        <v>1206</v>
      </c>
      <c r="D1354" s="4" t="s">
        <v>300</v>
      </c>
      <c r="E1354" s="4" t="s">
        <v>1207</v>
      </c>
      <c r="H1354" s="4" t="s">
        <v>328</v>
      </c>
      <c r="I1354" s="4" t="s">
        <v>627</v>
      </c>
      <c r="J1354" s="4" t="s">
        <v>1208</v>
      </c>
      <c r="N1354" s="4" t="s">
        <v>567</v>
      </c>
      <c r="O1354" s="4" t="s">
        <v>502</v>
      </c>
      <c r="P1354" s="4">
        <v>5</v>
      </c>
      <c r="T1354" s="4">
        <v>90.12</v>
      </c>
      <c r="U1354" s="4">
        <v>0.13</v>
      </c>
      <c r="V1354" s="4">
        <v>5.65</v>
      </c>
      <c r="X1354" s="4">
        <v>0.791</v>
      </c>
      <c r="AA1354" s="4" t="s">
        <v>1209</v>
      </c>
      <c r="AB1354" s="4" t="s">
        <v>1210</v>
      </c>
      <c r="AD1354" s="4" t="s">
        <v>1211</v>
      </c>
      <c r="AE1354" s="4" t="s">
        <v>1212</v>
      </c>
      <c r="AF1354" s="4" t="s">
        <v>1213</v>
      </c>
      <c r="BI1354" s="4" t="s">
        <v>309</v>
      </c>
      <c r="BK1354" s="4">
        <v>30</v>
      </c>
      <c r="BN1354" s="4">
        <v>3.33</v>
      </c>
      <c r="BS1354" s="4">
        <v>5</v>
      </c>
      <c r="BU1354" s="4">
        <v>180</v>
      </c>
      <c r="BV1354" s="4">
        <v>1440</v>
      </c>
      <c r="BW1354" s="4">
        <v>25</v>
      </c>
      <c r="CB1354" s="4" t="s">
        <v>12</v>
      </c>
      <c r="CC1354" s="4">
        <v>1000</v>
      </c>
      <c r="CE1354" s="4" t="s">
        <v>14</v>
      </c>
      <c r="CF1354" s="4">
        <v>1000</v>
      </c>
      <c r="CH1354" s="4" t="s">
        <v>16</v>
      </c>
      <c r="CI1354" s="4">
        <v>1000</v>
      </c>
      <c r="CK1354" s="4" t="s">
        <v>11</v>
      </c>
      <c r="CL1354" s="4">
        <v>1000</v>
      </c>
      <c r="CN1354" s="4" t="s">
        <v>7</v>
      </c>
      <c r="CO1354" s="4">
        <v>1000</v>
      </c>
      <c r="DO1354" s="4">
        <v>3</v>
      </c>
      <c r="DP1354" s="4">
        <v>1000</v>
      </c>
      <c r="DW1354" s="4">
        <v>187.85</v>
      </c>
      <c r="DX1354" s="1">
        <v>3.12</v>
      </c>
      <c r="EC1354" s="1">
        <f t="shared" si="44"/>
        <v>62.55405</v>
      </c>
      <c r="ED1354" s="1">
        <v>62.55405</v>
      </c>
      <c r="GE1354" s="4">
        <v>306.96</v>
      </c>
      <c r="GF1354" s="1">
        <v>0</v>
      </c>
      <c r="GK1354" s="1">
        <f t="shared" si="41"/>
        <v>102.21768</v>
      </c>
      <c r="GL1354" s="1">
        <v>102.21768</v>
      </c>
      <c r="GT1354" s="4">
        <v>266.38</v>
      </c>
      <c r="GU1354" s="1">
        <v>16.12</v>
      </c>
      <c r="GZ1354" s="1">
        <f t="shared" si="45"/>
        <v>88.70454</v>
      </c>
      <c r="HA1354" s="1">
        <v>88.70454</v>
      </c>
      <c r="HX1354" s="4">
        <v>155.07</v>
      </c>
      <c r="HY1354" s="1">
        <v>4.16</v>
      </c>
      <c r="ID1354" s="1">
        <f t="shared" si="42"/>
        <v>51.63831</v>
      </c>
      <c r="IE1354" s="1">
        <v>51.63831</v>
      </c>
      <c r="JB1354" s="4">
        <v>98.89</v>
      </c>
      <c r="JC1354" s="1">
        <v>3.12</v>
      </c>
      <c r="JH1354" s="1">
        <f t="shared" si="43"/>
        <v>32.93037</v>
      </c>
      <c r="JI1354" s="1">
        <v>32.93037</v>
      </c>
    </row>
    <row r="1355" customHeight="1" spans="1:313">
      <c r="A1355" s="3">
        <v>43</v>
      </c>
      <c r="B1355" s="4" t="s">
        <v>1205</v>
      </c>
      <c r="C1355" s="5" t="s">
        <v>1206</v>
      </c>
      <c r="D1355" s="4" t="s">
        <v>300</v>
      </c>
      <c r="E1355" s="4" t="s">
        <v>1207</v>
      </c>
      <c r="H1355" s="4" t="s">
        <v>328</v>
      </c>
      <c r="I1355" s="4" t="s">
        <v>627</v>
      </c>
      <c r="J1355" s="4" t="s">
        <v>1208</v>
      </c>
      <c r="N1355" s="4" t="s">
        <v>567</v>
      </c>
      <c r="O1355" s="4" t="s">
        <v>502</v>
      </c>
      <c r="P1355" s="4">
        <v>5</v>
      </c>
      <c r="T1355" s="4">
        <v>90.12</v>
      </c>
      <c r="U1355" s="4">
        <v>0.13</v>
      </c>
      <c r="V1355" s="4">
        <v>5.65</v>
      </c>
      <c r="X1355" s="4">
        <v>0.791</v>
      </c>
      <c r="AA1355" s="4" t="s">
        <v>1209</v>
      </c>
      <c r="AB1355" s="4" t="s">
        <v>1210</v>
      </c>
      <c r="AD1355" s="4" t="s">
        <v>1211</v>
      </c>
      <c r="AE1355" s="4" t="s">
        <v>1212</v>
      </c>
      <c r="AF1355" s="4" t="s">
        <v>1213</v>
      </c>
      <c r="BI1355" s="4" t="s">
        <v>309</v>
      </c>
      <c r="BK1355" s="4">
        <v>30</v>
      </c>
      <c r="BN1355" s="4">
        <v>3.33</v>
      </c>
      <c r="BS1355" s="4">
        <v>6</v>
      </c>
      <c r="BU1355" s="4">
        <v>180</v>
      </c>
      <c r="BV1355" s="4">
        <v>1440</v>
      </c>
      <c r="BW1355" s="4">
        <v>25</v>
      </c>
      <c r="CB1355" s="4" t="s">
        <v>12</v>
      </c>
      <c r="CC1355" s="4">
        <v>1000</v>
      </c>
      <c r="CE1355" s="4" t="s">
        <v>14</v>
      </c>
      <c r="CF1355" s="4">
        <v>1000</v>
      </c>
      <c r="CH1355" s="4" t="s">
        <v>16</v>
      </c>
      <c r="CI1355" s="4">
        <v>1000</v>
      </c>
      <c r="CK1355" s="4" t="s">
        <v>11</v>
      </c>
      <c r="CL1355" s="4">
        <v>1000</v>
      </c>
      <c r="CN1355" s="4" t="s">
        <v>7</v>
      </c>
      <c r="CO1355" s="4">
        <v>1000</v>
      </c>
      <c r="DO1355" s="4">
        <v>3</v>
      </c>
      <c r="DP1355" s="4">
        <v>1000</v>
      </c>
      <c r="DW1355" s="4">
        <v>196.16</v>
      </c>
      <c r="DX1355" s="1">
        <v>2.6</v>
      </c>
      <c r="EC1355" s="1">
        <f t="shared" si="44"/>
        <v>65.32128</v>
      </c>
      <c r="ED1355" s="1">
        <v>65.32128</v>
      </c>
      <c r="GE1355" s="4">
        <v>307.48</v>
      </c>
      <c r="GF1355" s="1">
        <v>1.56</v>
      </c>
      <c r="GK1355" s="1">
        <f t="shared" si="41"/>
        <v>102.39084</v>
      </c>
      <c r="GL1355" s="1">
        <v>102.39084</v>
      </c>
      <c r="GT1355" s="4">
        <v>263.26</v>
      </c>
      <c r="GU1355" s="1">
        <v>3.12</v>
      </c>
      <c r="GZ1355" s="1">
        <f t="shared" si="45"/>
        <v>87.66558</v>
      </c>
      <c r="HA1355" s="1">
        <v>87.66558</v>
      </c>
      <c r="HX1355" s="4">
        <v>155.59</v>
      </c>
      <c r="HY1355" s="1">
        <v>5.72</v>
      </c>
      <c r="ID1355" s="1">
        <f t="shared" si="42"/>
        <v>51.81147</v>
      </c>
      <c r="IE1355" s="1">
        <v>51.81147</v>
      </c>
      <c r="JB1355" s="4">
        <v>103.06</v>
      </c>
      <c r="JC1355" s="1">
        <v>1.56</v>
      </c>
      <c r="JH1355" s="1">
        <f t="shared" si="43"/>
        <v>34.31898</v>
      </c>
      <c r="JI1355" s="1">
        <v>34.31898</v>
      </c>
    </row>
    <row r="1356" customHeight="1" spans="1:313">
      <c r="A1356" s="3">
        <v>43</v>
      </c>
      <c r="B1356" s="4" t="s">
        <v>1205</v>
      </c>
      <c r="C1356" s="5" t="s">
        <v>1206</v>
      </c>
      <c r="D1356" s="4" t="s">
        <v>300</v>
      </c>
      <c r="E1356" s="4" t="s">
        <v>1207</v>
      </c>
      <c r="H1356" s="4" t="s">
        <v>328</v>
      </c>
      <c r="I1356" s="4" t="s">
        <v>627</v>
      </c>
      <c r="J1356" s="4" t="s">
        <v>1208</v>
      </c>
      <c r="N1356" s="4" t="s">
        <v>567</v>
      </c>
      <c r="O1356" s="4" t="s">
        <v>502</v>
      </c>
      <c r="P1356" s="4">
        <v>5</v>
      </c>
      <c r="T1356" s="4">
        <v>90.12</v>
      </c>
      <c r="U1356" s="4">
        <v>0.13</v>
      </c>
      <c r="V1356" s="4">
        <v>5.65</v>
      </c>
      <c r="X1356" s="4">
        <v>0.791</v>
      </c>
      <c r="AA1356" s="4" t="s">
        <v>1209</v>
      </c>
      <c r="AB1356" s="4" t="s">
        <v>1210</v>
      </c>
      <c r="AD1356" s="4" t="s">
        <v>1211</v>
      </c>
      <c r="AE1356" s="4" t="s">
        <v>1212</v>
      </c>
      <c r="AF1356" s="4" t="s">
        <v>1213</v>
      </c>
      <c r="BI1356" s="4" t="s">
        <v>309</v>
      </c>
      <c r="BK1356" s="4">
        <v>30</v>
      </c>
      <c r="BN1356" s="4">
        <v>3.33</v>
      </c>
      <c r="BS1356" s="4">
        <v>7</v>
      </c>
      <c r="BU1356" s="4">
        <v>180</v>
      </c>
      <c r="BV1356" s="4">
        <v>1440</v>
      </c>
      <c r="BW1356" s="4">
        <v>25</v>
      </c>
      <c r="CB1356" s="4" t="s">
        <v>12</v>
      </c>
      <c r="CC1356" s="4">
        <v>1000</v>
      </c>
      <c r="CE1356" s="4" t="s">
        <v>14</v>
      </c>
      <c r="CF1356" s="4">
        <v>1000</v>
      </c>
      <c r="CH1356" s="4" t="s">
        <v>16</v>
      </c>
      <c r="CI1356" s="4">
        <v>1000</v>
      </c>
      <c r="CK1356" s="4" t="s">
        <v>11</v>
      </c>
      <c r="CL1356" s="4">
        <v>1000</v>
      </c>
      <c r="CN1356" s="4" t="s">
        <v>7</v>
      </c>
      <c r="CO1356" s="4">
        <v>1000</v>
      </c>
      <c r="DO1356" s="4">
        <v>3</v>
      </c>
      <c r="DP1356" s="4">
        <v>1000</v>
      </c>
      <c r="DW1356" s="4">
        <v>202.41</v>
      </c>
      <c r="DX1356" s="1">
        <v>9.36</v>
      </c>
      <c r="EC1356" s="1">
        <f t="shared" si="44"/>
        <v>67.40253</v>
      </c>
      <c r="ED1356" s="1">
        <v>67.40253</v>
      </c>
      <c r="GE1356" s="4">
        <v>306.96</v>
      </c>
      <c r="GF1356" s="1">
        <v>0.52</v>
      </c>
      <c r="GK1356" s="1">
        <f t="shared" si="41"/>
        <v>102.21768</v>
      </c>
      <c r="GL1356" s="1">
        <v>102.21768</v>
      </c>
      <c r="GT1356" s="4">
        <v>259.1</v>
      </c>
      <c r="GU1356" s="1">
        <v>19.25</v>
      </c>
      <c r="GZ1356" s="1">
        <f t="shared" si="45"/>
        <v>86.2803</v>
      </c>
      <c r="HA1356" s="1">
        <v>86.2803</v>
      </c>
      <c r="HX1356" s="4">
        <v>160.27</v>
      </c>
      <c r="HY1356" s="1">
        <v>4.16</v>
      </c>
      <c r="ID1356" s="1">
        <f t="shared" si="42"/>
        <v>53.36991</v>
      </c>
      <c r="IE1356" s="1">
        <v>53.36991</v>
      </c>
      <c r="JB1356" s="4">
        <v>102.54</v>
      </c>
      <c r="JC1356" s="1">
        <v>0.52</v>
      </c>
      <c r="JH1356" s="1">
        <f t="shared" si="43"/>
        <v>34.14582</v>
      </c>
      <c r="JI1356" s="1">
        <v>34.14582</v>
      </c>
    </row>
    <row r="1357" customHeight="1" spans="1:313">
      <c r="A1357" s="3">
        <v>43</v>
      </c>
      <c r="B1357" s="4" t="s">
        <v>1205</v>
      </c>
      <c r="C1357" s="5" t="s">
        <v>1206</v>
      </c>
      <c r="D1357" s="4" t="s">
        <v>300</v>
      </c>
      <c r="E1357" s="4" t="s">
        <v>1207</v>
      </c>
      <c r="H1357" s="4" t="s">
        <v>328</v>
      </c>
      <c r="I1357" s="4" t="s">
        <v>627</v>
      </c>
      <c r="J1357" s="4" t="s">
        <v>1208</v>
      </c>
      <c r="N1357" s="4" t="s">
        <v>567</v>
      </c>
      <c r="O1357" s="4" t="s">
        <v>502</v>
      </c>
      <c r="P1357" s="4">
        <v>5</v>
      </c>
      <c r="T1357" s="4">
        <v>90.12</v>
      </c>
      <c r="U1357" s="4">
        <v>0.13</v>
      </c>
      <c r="V1357" s="4">
        <v>5.65</v>
      </c>
      <c r="X1357" s="4">
        <v>0.791</v>
      </c>
      <c r="AA1357" s="4" t="s">
        <v>1209</v>
      </c>
      <c r="AB1357" s="4" t="s">
        <v>1210</v>
      </c>
      <c r="AD1357" s="4" t="s">
        <v>1211</v>
      </c>
      <c r="AE1357" s="4" t="s">
        <v>1212</v>
      </c>
      <c r="AF1357" s="4" t="s">
        <v>1213</v>
      </c>
      <c r="BI1357" s="4" t="s">
        <v>309</v>
      </c>
      <c r="BK1357" s="4">
        <v>30</v>
      </c>
      <c r="BN1357" s="4">
        <v>3.33</v>
      </c>
      <c r="BS1357" s="4">
        <v>5</v>
      </c>
      <c r="BU1357" s="4">
        <v>180</v>
      </c>
      <c r="BV1357" s="4">
        <v>1440</v>
      </c>
      <c r="BW1357" s="4">
        <v>25</v>
      </c>
      <c r="CB1357" s="4" t="s">
        <v>12</v>
      </c>
      <c r="CC1357" s="4">
        <v>1000</v>
      </c>
      <c r="CE1357" s="4" t="s">
        <v>14</v>
      </c>
      <c r="CF1357" s="4">
        <v>1000</v>
      </c>
      <c r="CH1357" s="4" t="s">
        <v>16</v>
      </c>
      <c r="CI1357" s="4">
        <v>1000</v>
      </c>
      <c r="CK1357" s="4" t="s">
        <v>11</v>
      </c>
      <c r="CL1357" s="4">
        <v>1000</v>
      </c>
      <c r="CN1357" s="4" t="s">
        <v>7</v>
      </c>
      <c r="CO1357" s="4">
        <v>1000</v>
      </c>
      <c r="CR1357" s="4" t="s">
        <v>512</v>
      </c>
      <c r="CU1357" s="4">
        <v>0</v>
      </c>
      <c r="DO1357" s="4">
        <v>3</v>
      </c>
      <c r="DP1357" s="4">
        <v>1000</v>
      </c>
      <c r="DW1357" s="4">
        <v>191.530944625407</v>
      </c>
      <c r="DX1357" s="1">
        <v>6.84</v>
      </c>
      <c r="EC1357" s="1">
        <f t="shared" si="44"/>
        <v>63.7798045602605</v>
      </c>
      <c r="ED1357" s="1">
        <v>63.7798045602605</v>
      </c>
      <c r="GE1357" s="4">
        <v>300.488599348534</v>
      </c>
      <c r="GF1357" s="1">
        <v>1.47</v>
      </c>
      <c r="GK1357" s="1">
        <f t="shared" si="41"/>
        <v>100.062703583062</v>
      </c>
      <c r="GL1357" s="1">
        <v>100.062703583062</v>
      </c>
      <c r="GT1357" s="4">
        <v>260.303687635574</v>
      </c>
      <c r="GU1357" s="1">
        <v>3.32</v>
      </c>
      <c r="GZ1357" s="1">
        <f t="shared" si="45"/>
        <v>86.6811279826461</v>
      </c>
      <c r="HA1357" s="1">
        <v>86.6811279826461</v>
      </c>
      <c r="HX1357" s="4">
        <v>152.017353579175</v>
      </c>
      <c r="HY1357" s="1">
        <v>5.47</v>
      </c>
      <c r="ID1357" s="1">
        <f t="shared" si="42"/>
        <v>50.6217787418653</v>
      </c>
      <c r="IE1357" s="1">
        <v>50.6217787418653</v>
      </c>
      <c r="JB1357" s="4">
        <v>105.276872964169</v>
      </c>
      <c r="JC1357" s="1">
        <v>0</v>
      </c>
      <c r="JH1357" s="1">
        <f t="shared" si="43"/>
        <v>35.0571986970683</v>
      </c>
      <c r="JI1357" s="1">
        <v>35.0571986970683</v>
      </c>
    </row>
    <row r="1358" customHeight="1" spans="1:313">
      <c r="A1358" s="3">
        <v>43</v>
      </c>
      <c r="B1358" s="4" t="s">
        <v>1205</v>
      </c>
      <c r="C1358" s="5" t="s">
        <v>1206</v>
      </c>
      <c r="D1358" s="4" t="s">
        <v>300</v>
      </c>
      <c r="E1358" s="4" t="s">
        <v>1207</v>
      </c>
      <c r="H1358" s="4" t="s">
        <v>328</v>
      </c>
      <c r="I1358" s="4" t="s">
        <v>627</v>
      </c>
      <c r="J1358" s="4" t="s">
        <v>1208</v>
      </c>
      <c r="N1358" s="4" t="s">
        <v>567</v>
      </c>
      <c r="O1358" s="4" t="s">
        <v>502</v>
      </c>
      <c r="P1358" s="4">
        <v>5</v>
      </c>
      <c r="T1358" s="4">
        <v>90.12</v>
      </c>
      <c r="U1358" s="4">
        <v>0.13</v>
      </c>
      <c r="V1358" s="4">
        <v>5.65</v>
      </c>
      <c r="X1358" s="4">
        <v>0.791</v>
      </c>
      <c r="AA1358" s="4" t="s">
        <v>1209</v>
      </c>
      <c r="AB1358" s="4" t="s">
        <v>1210</v>
      </c>
      <c r="AD1358" s="4" t="s">
        <v>1211</v>
      </c>
      <c r="AE1358" s="4" t="s">
        <v>1212</v>
      </c>
      <c r="AF1358" s="4" t="s">
        <v>1213</v>
      </c>
      <c r="BI1358" s="4" t="s">
        <v>309</v>
      </c>
      <c r="BK1358" s="4">
        <v>30</v>
      </c>
      <c r="BN1358" s="4">
        <v>3.33</v>
      </c>
      <c r="BS1358" s="4">
        <v>5</v>
      </c>
      <c r="BU1358" s="4">
        <v>180</v>
      </c>
      <c r="BV1358" s="4">
        <v>1440</v>
      </c>
      <c r="BW1358" s="4">
        <v>25</v>
      </c>
      <c r="CB1358" s="4" t="s">
        <v>12</v>
      </c>
      <c r="CC1358" s="4">
        <v>1000</v>
      </c>
      <c r="CE1358" s="4" t="s">
        <v>14</v>
      </c>
      <c r="CF1358" s="4">
        <v>1000</v>
      </c>
      <c r="CH1358" s="4" t="s">
        <v>16</v>
      </c>
      <c r="CI1358" s="4">
        <v>1000</v>
      </c>
      <c r="CK1358" s="4" t="s">
        <v>11</v>
      </c>
      <c r="CL1358" s="4">
        <v>1000</v>
      </c>
      <c r="CN1358" s="4" t="s">
        <v>7</v>
      </c>
      <c r="CO1358" s="4">
        <v>1000</v>
      </c>
      <c r="CR1358" s="4" t="s">
        <v>537</v>
      </c>
      <c r="CU1358" s="4">
        <v>1</v>
      </c>
      <c r="DO1358" s="4">
        <v>3</v>
      </c>
      <c r="DP1358" s="4">
        <v>1000</v>
      </c>
      <c r="DW1358" s="4">
        <v>190.553745928338</v>
      </c>
      <c r="DX1358" s="1">
        <v>4.89</v>
      </c>
      <c r="EC1358" s="1">
        <f t="shared" si="44"/>
        <v>63.4543973941366</v>
      </c>
      <c r="ED1358" s="1">
        <v>63.4543973941366</v>
      </c>
      <c r="GE1358" s="4">
        <v>300.488599348534</v>
      </c>
      <c r="GF1358" s="1">
        <v>0</v>
      </c>
      <c r="GK1358" s="1">
        <f t="shared" si="41"/>
        <v>100.062703583062</v>
      </c>
      <c r="GL1358" s="1">
        <v>100.062703583062</v>
      </c>
      <c r="GT1358" s="4">
        <v>260.303687635574</v>
      </c>
      <c r="GU1358" s="1">
        <v>12.45</v>
      </c>
      <c r="GZ1358" s="1">
        <f t="shared" si="45"/>
        <v>86.6811279826461</v>
      </c>
      <c r="HA1358" s="1">
        <v>86.6811279826461</v>
      </c>
      <c r="HX1358" s="4">
        <v>139.522776572668</v>
      </c>
      <c r="HY1358" s="1">
        <v>7.95</v>
      </c>
      <c r="ID1358" s="1">
        <f t="shared" si="42"/>
        <v>46.4610845986984</v>
      </c>
      <c r="IE1358" s="1">
        <v>46.4610845986984</v>
      </c>
      <c r="JB1358" s="4">
        <v>103.192182410423</v>
      </c>
      <c r="JC1358" s="1">
        <v>3.65</v>
      </c>
      <c r="JH1358" s="1">
        <f t="shared" si="43"/>
        <v>34.3629967426709</v>
      </c>
      <c r="JI1358" s="1">
        <v>34.3629967426709</v>
      </c>
    </row>
    <row r="1359" customHeight="1" spans="1:313">
      <c r="A1359" s="3">
        <v>43</v>
      </c>
      <c r="B1359" s="4" t="s">
        <v>1205</v>
      </c>
      <c r="C1359" s="5" t="s">
        <v>1206</v>
      </c>
      <c r="D1359" s="4" t="s">
        <v>300</v>
      </c>
      <c r="E1359" s="4" t="s">
        <v>1207</v>
      </c>
      <c r="H1359" s="4" t="s">
        <v>328</v>
      </c>
      <c r="I1359" s="4" t="s">
        <v>627</v>
      </c>
      <c r="J1359" s="4" t="s">
        <v>1208</v>
      </c>
      <c r="N1359" s="4" t="s">
        <v>567</v>
      </c>
      <c r="O1359" s="4" t="s">
        <v>502</v>
      </c>
      <c r="P1359" s="4">
        <v>5</v>
      </c>
      <c r="T1359" s="4">
        <v>90.12</v>
      </c>
      <c r="U1359" s="4">
        <v>0.13</v>
      </c>
      <c r="V1359" s="4">
        <v>5.65</v>
      </c>
      <c r="X1359" s="4">
        <v>0.791</v>
      </c>
      <c r="AA1359" s="4" t="s">
        <v>1209</v>
      </c>
      <c r="AB1359" s="4" t="s">
        <v>1210</v>
      </c>
      <c r="AD1359" s="4" t="s">
        <v>1211</v>
      </c>
      <c r="AE1359" s="4" t="s">
        <v>1212</v>
      </c>
      <c r="AF1359" s="4" t="s">
        <v>1213</v>
      </c>
      <c r="BI1359" s="4" t="s">
        <v>309</v>
      </c>
      <c r="BK1359" s="4">
        <v>30</v>
      </c>
      <c r="BN1359" s="4">
        <v>3.33</v>
      </c>
      <c r="BS1359" s="4">
        <v>5</v>
      </c>
      <c r="BU1359" s="4">
        <v>180</v>
      </c>
      <c r="BV1359" s="4">
        <v>1440</v>
      </c>
      <c r="BW1359" s="4">
        <v>25</v>
      </c>
      <c r="CB1359" s="4" t="s">
        <v>12</v>
      </c>
      <c r="CC1359" s="4">
        <v>1000</v>
      </c>
      <c r="CE1359" s="4" t="s">
        <v>14</v>
      </c>
      <c r="CF1359" s="4">
        <v>1000</v>
      </c>
      <c r="CH1359" s="4" t="s">
        <v>16</v>
      </c>
      <c r="CI1359" s="4">
        <v>1000</v>
      </c>
      <c r="CK1359" s="4" t="s">
        <v>11</v>
      </c>
      <c r="CL1359" s="4">
        <v>1000</v>
      </c>
      <c r="CN1359" s="4" t="s">
        <v>7</v>
      </c>
      <c r="CO1359" s="4">
        <v>1000</v>
      </c>
      <c r="CR1359" s="4" t="s">
        <v>537</v>
      </c>
      <c r="CU1359" s="4">
        <v>5</v>
      </c>
      <c r="DO1359" s="4">
        <v>3</v>
      </c>
      <c r="DP1359" s="4">
        <v>1000</v>
      </c>
      <c r="DW1359" s="4">
        <v>190.553745928338</v>
      </c>
      <c r="DX1359" s="1">
        <v>5.86</v>
      </c>
      <c r="EC1359" s="1">
        <f t="shared" si="44"/>
        <v>63.4543973941366</v>
      </c>
      <c r="ED1359" s="1">
        <v>63.4543973941366</v>
      </c>
      <c r="GE1359" s="4">
        <v>299.022801302931</v>
      </c>
      <c r="GF1359" s="1">
        <v>0</v>
      </c>
      <c r="GK1359" s="1">
        <f t="shared" si="41"/>
        <v>99.574592833876</v>
      </c>
      <c r="GL1359" s="1">
        <v>99.574592833876</v>
      </c>
      <c r="GT1359" s="4">
        <v>256.832971800433</v>
      </c>
      <c r="GU1359" s="1">
        <v>19.09</v>
      </c>
      <c r="GZ1359" s="1">
        <f t="shared" si="45"/>
        <v>85.5253796095442</v>
      </c>
      <c r="HA1359" s="1">
        <v>85.5253796095442</v>
      </c>
      <c r="HX1359" s="4">
        <v>147.331887201735</v>
      </c>
      <c r="HY1359" s="1">
        <v>4.97</v>
      </c>
      <c r="ID1359" s="1">
        <f t="shared" si="42"/>
        <v>49.0615184381777</v>
      </c>
      <c r="IE1359" s="1">
        <v>49.0615184381777</v>
      </c>
      <c r="JB1359" s="4">
        <v>104.755700325732</v>
      </c>
      <c r="JC1359" s="1">
        <v>4.69</v>
      </c>
      <c r="JH1359" s="1">
        <f t="shared" si="43"/>
        <v>34.8836482084688</v>
      </c>
      <c r="JI1359" s="1">
        <v>34.8836482084688</v>
      </c>
    </row>
    <row r="1360" customHeight="1" spans="1:313">
      <c r="A1360" s="3">
        <v>43</v>
      </c>
      <c r="B1360" s="4" t="s">
        <v>1205</v>
      </c>
      <c r="C1360" s="5" t="s">
        <v>1206</v>
      </c>
      <c r="D1360" s="4" t="s">
        <v>300</v>
      </c>
      <c r="E1360" s="4" t="s">
        <v>1207</v>
      </c>
      <c r="H1360" s="4" t="s">
        <v>328</v>
      </c>
      <c r="I1360" s="4" t="s">
        <v>627</v>
      </c>
      <c r="J1360" s="4" t="s">
        <v>1208</v>
      </c>
      <c r="N1360" s="4" t="s">
        <v>567</v>
      </c>
      <c r="O1360" s="4" t="s">
        <v>502</v>
      </c>
      <c r="P1360" s="4">
        <v>5</v>
      </c>
      <c r="T1360" s="4">
        <v>90.12</v>
      </c>
      <c r="U1360" s="4">
        <v>0.13</v>
      </c>
      <c r="V1360" s="4">
        <v>5.65</v>
      </c>
      <c r="X1360" s="4">
        <v>0.791</v>
      </c>
      <c r="AA1360" s="4" t="s">
        <v>1209</v>
      </c>
      <c r="AB1360" s="4" t="s">
        <v>1210</v>
      </c>
      <c r="AD1360" s="4" t="s">
        <v>1211</v>
      </c>
      <c r="AE1360" s="4" t="s">
        <v>1212</v>
      </c>
      <c r="AF1360" s="4" t="s">
        <v>1213</v>
      </c>
      <c r="BI1360" s="4" t="s">
        <v>309</v>
      </c>
      <c r="BK1360" s="4">
        <v>30</v>
      </c>
      <c r="BN1360" s="4">
        <v>3.33</v>
      </c>
      <c r="BS1360" s="4">
        <v>5</v>
      </c>
      <c r="BU1360" s="4">
        <v>180</v>
      </c>
      <c r="BV1360" s="4">
        <v>1440</v>
      </c>
      <c r="BW1360" s="4">
        <v>25</v>
      </c>
      <c r="CB1360" s="4" t="s">
        <v>12</v>
      </c>
      <c r="CC1360" s="4">
        <v>1000</v>
      </c>
      <c r="CE1360" s="4" t="s">
        <v>14</v>
      </c>
      <c r="CF1360" s="4">
        <v>1000</v>
      </c>
      <c r="CH1360" s="4" t="s">
        <v>16</v>
      </c>
      <c r="CI1360" s="4">
        <v>1000</v>
      </c>
      <c r="CK1360" s="4" t="s">
        <v>11</v>
      </c>
      <c r="CL1360" s="4">
        <v>1000</v>
      </c>
      <c r="CN1360" s="4" t="s">
        <v>7</v>
      </c>
      <c r="CO1360" s="4">
        <v>1000</v>
      </c>
      <c r="CR1360" s="4" t="s">
        <v>537</v>
      </c>
      <c r="CU1360" s="4">
        <v>10</v>
      </c>
      <c r="DO1360" s="4">
        <v>3</v>
      </c>
      <c r="DP1360" s="4">
        <v>1000</v>
      </c>
      <c r="DW1360" s="4">
        <v>180.781758957654</v>
      </c>
      <c r="DX1360" s="1">
        <v>1.95</v>
      </c>
      <c r="EC1360" s="1">
        <f t="shared" si="44"/>
        <v>60.2003257328988</v>
      </c>
      <c r="ED1360" s="1">
        <v>60.2003257328988</v>
      </c>
      <c r="GE1360" s="4">
        <v>300.488599348534</v>
      </c>
      <c r="GF1360" s="1">
        <v>1.47</v>
      </c>
      <c r="GK1360" s="1">
        <f t="shared" si="41"/>
        <v>100.062703583062</v>
      </c>
      <c r="GL1360" s="1">
        <v>100.062703583062</v>
      </c>
      <c r="GT1360" s="4">
        <v>240.347071583514</v>
      </c>
      <c r="GU1360" s="1">
        <v>15.77</v>
      </c>
      <c r="GZ1360" s="1">
        <f t="shared" si="45"/>
        <v>80.0355748373102</v>
      </c>
      <c r="HA1360" s="1">
        <v>80.0355748373102</v>
      </c>
      <c r="HX1360" s="4">
        <v>134.316702819956</v>
      </c>
      <c r="HY1360" s="1">
        <v>14.91</v>
      </c>
      <c r="ID1360" s="1">
        <f t="shared" si="42"/>
        <v>44.7274620390453</v>
      </c>
      <c r="IE1360" s="1">
        <v>44.7274620390453</v>
      </c>
      <c r="JB1360" s="4">
        <v>105.276872964169</v>
      </c>
      <c r="JC1360" s="1">
        <v>1.04</v>
      </c>
      <c r="JH1360" s="1">
        <f t="shared" si="43"/>
        <v>35.0571986970683</v>
      </c>
      <c r="JI1360" s="1">
        <v>35.0571986970683</v>
      </c>
    </row>
    <row r="1361" customHeight="1" spans="1:269">
      <c r="A1361" s="3">
        <v>43</v>
      </c>
      <c r="B1361" s="4" t="s">
        <v>1205</v>
      </c>
      <c r="C1361" s="5" t="s">
        <v>1206</v>
      </c>
      <c r="D1361" s="4" t="s">
        <v>300</v>
      </c>
      <c r="E1361" s="4" t="s">
        <v>1207</v>
      </c>
      <c r="H1361" s="4" t="s">
        <v>328</v>
      </c>
      <c r="I1361" s="4" t="s">
        <v>627</v>
      </c>
      <c r="J1361" s="4" t="s">
        <v>1208</v>
      </c>
      <c r="N1361" s="4" t="s">
        <v>567</v>
      </c>
      <c r="O1361" s="4" t="s">
        <v>502</v>
      </c>
      <c r="P1361" s="4">
        <v>5</v>
      </c>
      <c r="T1361" s="4">
        <v>90.12</v>
      </c>
      <c r="U1361" s="4">
        <v>0.13</v>
      </c>
      <c r="V1361" s="4">
        <v>5.65</v>
      </c>
      <c r="X1361" s="4">
        <v>0.791</v>
      </c>
      <c r="AA1361" s="4" t="s">
        <v>1209</v>
      </c>
      <c r="AB1361" s="4" t="s">
        <v>1210</v>
      </c>
      <c r="AD1361" s="4" t="s">
        <v>1211</v>
      </c>
      <c r="AE1361" s="4" t="s">
        <v>1212</v>
      </c>
      <c r="AF1361" s="4" t="s">
        <v>1213</v>
      </c>
      <c r="BI1361" s="4" t="s">
        <v>309</v>
      </c>
      <c r="BK1361" s="4">
        <v>30</v>
      </c>
      <c r="BN1361" s="4">
        <v>3.33</v>
      </c>
      <c r="BS1361" s="4">
        <v>5</v>
      </c>
      <c r="BU1361" s="4">
        <v>180</v>
      </c>
      <c r="BV1361" s="4">
        <v>1440</v>
      </c>
      <c r="BW1361" s="4">
        <v>25</v>
      </c>
      <c r="CB1361" s="4" t="s">
        <v>12</v>
      </c>
      <c r="CC1361" s="4">
        <v>1000</v>
      </c>
      <c r="CE1361" s="4" t="s">
        <v>14</v>
      </c>
      <c r="CF1361" s="4">
        <v>1000</v>
      </c>
      <c r="CH1361" s="4" t="s">
        <v>16</v>
      </c>
      <c r="CI1361" s="4">
        <v>1000</v>
      </c>
      <c r="CK1361" s="4" t="s">
        <v>11</v>
      </c>
      <c r="CL1361" s="4">
        <v>1000</v>
      </c>
      <c r="CN1361" s="4" t="s">
        <v>7</v>
      </c>
      <c r="CO1361" s="4">
        <v>1000</v>
      </c>
      <c r="CR1361" s="4" t="s">
        <v>538</v>
      </c>
      <c r="CU1361" s="4">
        <v>1</v>
      </c>
      <c r="DO1361" s="4">
        <v>3</v>
      </c>
      <c r="DP1361" s="4">
        <v>1000</v>
      </c>
      <c r="DW1361" s="4">
        <v>189.57654723127</v>
      </c>
      <c r="DX1361" s="1">
        <v>3.91</v>
      </c>
      <c r="EC1361" s="1">
        <f t="shared" si="44"/>
        <v>63.1289902280129</v>
      </c>
      <c r="ED1361" s="1">
        <v>63.1289902280129</v>
      </c>
      <c r="GE1361" s="4">
        <v>300.488599348534</v>
      </c>
      <c r="GF1361" s="1">
        <v>0</v>
      </c>
      <c r="GK1361" s="1">
        <f t="shared" si="41"/>
        <v>100.062703583062</v>
      </c>
      <c r="GL1361" s="1">
        <v>100.062703583062</v>
      </c>
      <c r="GT1361" s="4">
        <v>240.347071583514</v>
      </c>
      <c r="GU1361" s="1">
        <v>9.96</v>
      </c>
      <c r="GZ1361" s="1">
        <f t="shared" si="45"/>
        <v>80.0355748373102</v>
      </c>
      <c r="HA1361" s="1">
        <v>80.0355748373102</v>
      </c>
      <c r="HX1361" s="4">
        <v>143.167028199566</v>
      </c>
      <c r="HY1361" s="1">
        <v>6.46</v>
      </c>
      <c r="ID1361" s="1">
        <f t="shared" si="42"/>
        <v>47.6746203904555</v>
      </c>
      <c r="IE1361" s="1">
        <v>47.6746203904555</v>
      </c>
      <c r="JB1361" s="4">
        <v>111.530944625407</v>
      </c>
      <c r="JC1361" s="1">
        <v>4.69</v>
      </c>
      <c r="JH1361" s="1">
        <f t="shared" si="43"/>
        <v>37.1398045602605</v>
      </c>
      <c r="JI1361" s="1">
        <v>37.1398045602605</v>
      </c>
    </row>
    <row r="1362" customHeight="1" spans="1:269">
      <c r="A1362" s="3">
        <v>43</v>
      </c>
      <c r="B1362" s="4" t="s">
        <v>1205</v>
      </c>
      <c r="C1362" s="5" t="s">
        <v>1206</v>
      </c>
      <c r="D1362" s="4" t="s">
        <v>300</v>
      </c>
      <c r="E1362" s="4" t="s">
        <v>1207</v>
      </c>
      <c r="H1362" s="4" t="s">
        <v>328</v>
      </c>
      <c r="I1362" s="4" t="s">
        <v>627</v>
      </c>
      <c r="J1362" s="4" t="s">
        <v>1208</v>
      </c>
      <c r="N1362" s="4" t="s">
        <v>567</v>
      </c>
      <c r="O1362" s="4" t="s">
        <v>502</v>
      </c>
      <c r="P1362" s="4">
        <v>5</v>
      </c>
      <c r="T1362" s="4">
        <v>90.12</v>
      </c>
      <c r="U1362" s="4">
        <v>0.13</v>
      </c>
      <c r="V1362" s="4">
        <v>5.65</v>
      </c>
      <c r="X1362" s="4">
        <v>0.791</v>
      </c>
      <c r="AA1362" s="4" t="s">
        <v>1209</v>
      </c>
      <c r="AB1362" s="4" t="s">
        <v>1210</v>
      </c>
      <c r="AD1362" s="4" t="s">
        <v>1211</v>
      </c>
      <c r="AE1362" s="4" t="s">
        <v>1212</v>
      </c>
      <c r="AF1362" s="4" t="s">
        <v>1213</v>
      </c>
      <c r="BI1362" s="4" t="s">
        <v>309</v>
      </c>
      <c r="BK1362" s="4">
        <v>30</v>
      </c>
      <c r="BN1362" s="4">
        <v>3.33</v>
      </c>
      <c r="BS1362" s="4">
        <v>5</v>
      </c>
      <c r="BU1362" s="4">
        <v>180</v>
      </c>
      <c r="BV1362" s="4">
        <v>1440</v>
      </c>
      <c r="BW1362" s="4">
        <v>25</v>
      </c>
      <c r="CB1362" s="4" t="s">
        <v>12</v>
      </c>
      <c r="CC1362" s="4">
        <v>1000</v>
      </c>
      <c r="CE1362" s="4" t="s">
        <v>14</v>
      </c>
      <c r="CF1362" s="4">
        <v>1000</v>
      </c>
      <c r="CH1362" s="4" t="s">
        <v>16</v>
      </c>
      <c r="CI1362" s="4">
        <v>1000</v>
      </c>
      <c r="CK1362" s="4" t="s">
        <v>11</v>
      </c>
      <c r="CL1362" s="4">
        <v>1000</v>
      </c>
      <c r="CN1362" s="4" t="s">
        <v>7</v>
      </c>
      <c r="CO1362" s="4">
        <v>1000</v>
      </c>
      <c r="CR1362" s="4" t="s">
        <v>538</v>
      </c>
      <c r="CU1362" s="4">
        <v>5</v>
      </c>
      <c r="DO1362" s="4">
        <v>3</v>
      </c>
      <c r="DP1362" s="4">
        <v>1000</v>
      </c>
      <c r="DW1362" s="4">
        <v>175.895765472312</v>
      </c>
      <c r="DX1362" s="1">
        <v>8.79</v>
      </c>
      <c r="EC1362" s="1">
        <f t="shared" si="44"/>
        <v>58.5732899022799</v>
      </c>
      <c r="ED1362" s="1">
        <v>58.5732899022799</v>
      </c>
      <c r="GE1362" s="4">
        <v>300.488599348534</v>
      </c>
      <c r="GF1362" s="1">
        <v>0</v>
      </c>
      <c r="GK1362" s="1">
        <f t="shared" si="41"/>
        <v>100.062703583062</v>
      </c>
      <c r="GL1362" s="1">
        <v>100.062703583062</v>
      </c>
      <c r="GT1362" s="4">
        <v>248.156182212581</v>
      </c>
      <c r="GU1362" s="1">
        <v>15.77</v>
      </c>
      <c r="GZ1362" s="1">
        <f t="shared" si="45"/>
        <v>82.6360086767895</v>
      </c>
      <c r="HA1362" s="1">
        <v>82.6360086767895</v>
      </c>
      <c r="HX1362" s="4">
        <v>142.125813449023</v>
      </c>
      <c r="HY1362" s="1">
        <v>6.46</v>
      </c>
      <c r="ID1362" s="1">
        <f t="shared" si="42"/>
        <v>47.3278958785247</v>
      </c>
      <c r="IE1362" s="1">
        <v>47.3278958785247</v>
      </c>
      <c r="JB1362" s="4">
        <v>97.4592833876221</v>
      </c>
      <c r="JC1362" s="1">
        <v>2.61</v>
      </c>
      <c r="JH1362" s="1">
        <f t="shared" si="43"/>
        <v>32.4539413680782</v>
      </c>
      <c r="JI1362" s="1">
        <v>32.4539413680782</v>
      </c>
    </row>
    <row r="1363" customHeight="1" spans="1:269">
      <c r="A1363" s="3">
        <v>43</v>
      </c>
      <c r="B1363" s="4" t="s">
        <v>1205</v>
      </c>
      <c r="C1363" s="5" t="s">
        <v>1206</v>
      </c>
      <c r="D1363" s="4" t="s">
        <v>300</v>
      </c>
      <c r="E1363" s="4" t="s">
        <v>1207</v>
      </c>
      <c r="H1363" s="4" t="s">
        <v>328</v>
      </c>
      <c r="I1363" s="4" t="s">
        <v>627</v>
      </c>
      <c r="J1363" s="4" t="s">
        <v>1208</v>
      </c>
      <c r="N1363" s="4" t="s">
        <v>567</v>
      </c>
      <c r="O1363" s="4" t="s">
        <v>502</v>
      </c>
      <c r="P1363" s="4">
        <v>5</v>
      </c>
      <c r="T1363" s="4">
        <v>90.12</v>
      </c>
      <c r="U1363" s="4">
        <v>0.13</v>
      </c>
      <c r="V1363" s="4">
        <v>5.65</v>
      </c>
      <c r="X1363" s="4">
        <v>0.791</v>
      </c>
      <c r="AA1363" s="4" t="s">
        <v>1209</v>
      </c>
      <c r="AB1363" s="4" t="s">
        <v>1210</v>
      </c>
      <c r="AD1363" s="4" t="s">
        <v>1211</v>
      </c>
      <c r="AE1363" s="4" t="s">
        <v>1212</v>
      </c>
      <c r="AF1363" s="4" t="s">
        <v>1213</v>
      </c>
      <c r="BI1363" s="4" t="s">
        <v>309</v>
      </c>
      <c r="BK1363" s="4">
        <v>30</v>
      </c>
      <c r="BN1363" s="4">
        <v>3.33</v>
      </c>
      <c r="BS1363" s="4">
        <v>5</v>
      </c>
      <c r="BU1363" s="4">
        <v>180</v>
      </c>
      <c r="BV1363" s="4">
        <v>1440</v>
      </c>
      <c r="BW1363" s="4">
        <v>25</v>
      </c>
      <c r="CB1363" s="4" t="s">
        <v>12</v>
      </c>
      <c r="CC1363" s="4">
        <v>1000</v>
      </c>
      <c r="CE1363" s="4" t="s">
        <v>14</v>
      </c>
      <c r="CF1363" s="4">
        <v>1000</v>
      </c>
      <c r="CH1363" s="4" t="s">
        <v>16</v>
      </c>
      <c r="CI1363" s="4">
        <v>1000</v>
      </c>
      <c r="CK1363" s="4" t="s">
        <v>11</v>
      </c>
      <c r="CL1363" s="4">
        <v>1000</v>
      </c>
      <c r="CN1363" s="4" t="s">
        <v>7</v>
      </c>
      <c r="CO1363" s="4">
        <v>1000</v>
      </c>
      <c r="CR1363" s="4" t="s">
        <v>538</v>
      </c>
      <c r="CU1363" s="4">
        <v>10</v>
      </c>
      <c r="DO1363" s="4">
        <v>3</v>
      </c>
      <c r="DP1363" s="4">
        <v>1000</v>
      </c>
      <c r="DW1363" s="4">
        <v>188.599348534201</v>
      </c>
      <c r="DX1363" s="1">
        <v>13.68</v>
      </c>
      <c r="EC1363" s="1">
        <f t="shared" si="44"/>
        <v>62.8035830618889</v>
      </c>
      <c r="ED1363" s="1">
        <v>62.8035830618889</v>
      </c>
      <c r="GE1363" s="4">
        <v>300.488599348534</v>
      </c>
      <c r="GF1363" s="1">
        <v>0</v>
      </c>
      <c r="GK1363" s="1">
        <f t="shared" si="41"/>
        <v>100.062703583062</v>
      </c>
      <c r="GL1363" s="1">
        <v>100.062703583062</v>
      </c>
      <c r="GT1363" s="4">
        <v>238.611713665943</v>
      </c>
      <c r="GU1363" s="1">
        <v>11.62</v>
      </c>
      <c r="GZ1363" s="1">
        <f t="shared" si="45"/>
        <v>79.457700650759</v>
      </c>
      <c r="HA1363" s="1">
        <v>79.457700650759</v>
      </c>
      <c r="HX1363" s="4">
        <v>141.084598698481</v>
      </c>
      <c r="HY1363" s="1">
        <v>4.47</v>
      </c>
      <c r="ID1363" s="1">
        <f t="shared" si="42"/>
        <v>46.9811713665942</v>
      </c>
      <c r="IE1363" s="1">
        <v>46.9811713665942</v>
      </c>
      <c r="JB1363" s="4">
        <v>102.671009771986</v>
      </c>
      <c r="JC1363" s="1">
        <v>0.52</v>
      </c>
      <c r="JH1363" s="1">
        <f t="shared" si="43"/>
        <v>34.1894462540713</v>
      </c>
      <c r="JI1363" s="1">
        <v>34.1894462540713</v>
      </c>
    </row>
    <row r="1364" customHeight="1" spans="1:269">
      <c r="A1364" s="3">
        <v>43</v>
      </c>
      <c r="B1364" s="4" t="s">
        <v>1205</v>
      </c>
      <c r="C1364" s="5" t="s">
        <v>1206</v>
      </c>
      <c r="D1364" s="4" t="s">
        <v>300</v>
      </c>
      <c r="E1364" s="4" t="s">
        <v>1207</v>
      </c>
      <c r="H1364" s="4" t="s">
        <v>328</v>
      </c>
      <c r="I1364" s="4" t="s">
        <v>627</v>
      </c>
      <c r="J1364" s="4" t="s">
        <v>1208</v>
      </c>
      <c r="N1364" s="4" t="s">
        <v>567</v>
      </c>
      <c r="O1364" s="4" t="s">
        <v>502</v>
      </c>
      <c r="P1364" s="4">
        <v>5</v>
      </c>
      <c r="T1364" s="4">
        <v>90.12</v>
      </c>
      <c r="U1364" s="4">
        <v>0.13</v>
      </c>
      <c r="V1364" s="4">
        <v>5.65</v>
      </c>
      <c r="X1364" s="4">
        <v>0.791</v>
      </c>
      <c r="AA1364" s="4" t="s">
        <v>1209</v>
      </c>
      <c r="AB1364" s="4" t="s">
        <v>1210</v>
      </c>
      <c r="AD1364" s="4" t="s">
        <v>1211</v>
      </c>
      <c r="AE1364" s="4" t="s">
        <v>1212</v>
      </c>
      <c r="AF1364" s="4" t="s">
        <v>1213</v>
      </c>
      <c r="BI1364" s="4" t="s">
        <v>309</v>
      </c>
      <c r="BK1364" s="4">
        <v>30</v>
      </c>
      <c r="BN1364" s="4">
        <v>3.33</v>
      </c>
      <c r="BS1364" s="4">
        <v>5</v>
      </c>
      <c r="BU1364" s="4">
        <v>180</v>
      </c>
      <c r="BV1364" s="4">
        <v>1440</v>
      </c>
      <c r="BW1364" s="4">
        <v>25</v>
      </c>
      <c r="CB1364" s="4" t="s">
        <v>12</v>
      </c>
      <c r="CC1364" s="4">
        <v>1000</v>
      </c>
      <c r="CE1364" s="4" t="s">
        <v>14</v>
      </c>
      <c r="CF1364" s="4">
        <v>1000</v>
      </c>
      <c r="CH1364" s="4" t="s">
        <v>16</v>
      </c>
      <c r="CI1364" s="4">
        <v>1000</v>
      </c>
      <c r="CK1364" s="4" t="s">
        <v>11</v>
      </c>
      <c r="CL1364" s="4">
        <v>1000</v>
      </c>
      <c r="CN1364" s="4" t="s">
        <v>7</v>
      </c>
      <c r="CO1364" s="4">
        <v>1000</v>
      </c>
      <c r="CR1364" s="4" t="s">
        <v>567</v>
      </c>
      <c r="CU1364" s="4">
        <v>1</v>
      </c>
      <c r="DO1364" s="4">
        <v>3</v>
      </c>
      <c r="DP1364" s="4">
        <v>1000</v>
      </c>
      <c r="DW1364" s="4">
        <v>186.644951140065</v>
      </c>
      <c r="DX1364" s="1">
        <v>2.93</v>
      </c>
      <c r="EC1364" s="1">
        <f t="shared" si="44"/>
        <v>62.1527687296416</v>
      </c>
      <c r="ED1364" s="1">
        <v>62.1527687296416</v>
      </c>
      <c r="GE1364" s="4">
        <v>300.488599348534</v>
      </c>
      <c r="GF1364" s="1">
        <v>0</v>
      </c>
      <c r="GK1364" s="1">
        <f t="shared" si="41"/>
        <v>100.062703583062</v>
      </c>
      <c r="GL1364" s="1">
        <v>100.062703583062</v>
      </c>
      <c r="GT1364" s="4">
        <v>253.362255965292</v>
      </c>
      <c r="GU1364" s="1">
        <v>15.77</v>
      </c>
      <c r="GZ1364" s="1">
        <f t="shared" si="45"/>
        <v>84.3696312364422</v>
      </c>
      <c r="HA1364" s="1">
        <v>84.3696312364422</v>
      </c>
      <c r="HX1364" s="4">
        <v>132.754880694143</v>
      </c>
      <c r="HY1364" s="1">
        <v>10.93</v>
      </c>
      <c r="ID1364" s="1">
        <f t="shared" si="42"/>
        <v>44.2073752711496</v>
      </c>
      <c r="IE1364" s="1">
        <v>44.2073752711496</v>
      </c>
      <c r="JB1364" s="4">
        <v>102.14983713355</v>
      </c>
      <c r="JC1364" s="1">
        <v>0.52</v>
      </c>
      <c r="JH1364" s="1">
        <f t="shared" si="43"/>
        <v>34.0158957654721</v>
      </c>
      <c r="JI1364" s="1">
        <v>34.0158957654721</v>
      </c>
    </row>
    <row r="1365" customHeight="1" spans="1:269">
      <c r="A1365" s="3">
        <v>43</v>
      </c>
      <c r="B1365" s="4" t="s">
        <v>1205</v>
      </c>
      <c r="C1365" s="5" t="s">
        <v>1206</v>
      </c>
      <c r="D1365" s="4" t="s">
        <v>300</v>
      </c>
      <c r="E1365" s="4" t="s">
        <v>1207</v>
      </c>
      <c r="H1365" s="4" t="s">
        <v>328</v>
      </c>
      <c r="I1365" s="4" t="s">
        <v>627</v>
      </c>
      <c r="J1365" s="4" t="s">
        <v>1208</v>
      </c>
      <c r="N1365" s="4" t="s">
        <v>567</v>
      </c>
      <c r="O1365" s="4" t="s">
        <v>502</v>
      </c>
      <c r="P1365" s="4">
        <v>5</v>
      </c>
      <c r="T1365" s="4">
        <v>90.12</v>
      </c>
      <c r="U1365" s="4">
        <v>0.13</v>
      </c>
      <c r="V1365" s="4">
        <v>5.65</v>
      </c>
      <c r="X1365" s="4">
        <v>0.791</v>
      </c>
      <c r="AA1365" s="4" t="s">
        <v>1209</v>
      </c>
      <c r="AB1365" s="4" t="s">
        <v>1210</v>
      </c>
      <c r="AD1365" s="4" t="s">
        <v>1211</v>
      </c>
      <c r="AE1365" s="4" t="s">
        <v>1212</v>
      </c>
      <c r="AF1365" s="4" t="s">
        <v>1213</v>
      </c>
      <c r="BI1365" s="4" t="s">
        <v>309</v>
      </c>
      <c r="BK1365" s="4">
        <v>30</v>
      </c>
      <c r="BN1365" s="4">
        <v>3.33</v>
      </c>
      <c r="BS1365" s="4">
        <v>5</v>
      </c>
      <c r="BU1365" s="4">
        <v>180</v>
      </c>
      <c r="BV1365" s="4">
        <v>1440</v>
      </c>
      <c r="BW1365" s="4">
        <v>25</v>
      </c>
      <c r="CB1365" s="4" t="s">
        <v>12</v>
      </c>
      <c r="CC1365" s="4">
        <v>1000</v>
      </c>
      <c r="CE1365" s="4" t="s">
        <v>14</v>
      </c>
      <c r="CF1365" s="4">
        <v>1000</v>
      </c>
      <c r="CH1365" s="4" t="s">
        <v>16</v>
      </c>
      <c r="CI1365" s="4">
        <v>1000</v>
      </c>
      <c r="CK1365" s="4" t="s">
        <v>11</v>
      </c>
      <c r="CL1365" s="4">
        <v>1000</v>
      </c>
      <c r="CN1365" s="4" t="s">
        <v>7</v>
      </c>
      <c r="CO1365" s="4">
        <v>1000</v>
      </c>
      <c r="CR1365" s="4" t="s">
        <v>567</v>
      </c>
      <c r="CU1365" s="4">
        <v>5</v>
      </c>
      <c r="DO1365" s="4">
        <v>3</v>
      </c>
      <c r="DP1365" s="4">
        <v>1000</v>
      </c>
      <c r="DW1365" s="4">
        <v>184.690553745928</v>
      </c>
      <c r="DX1365" s="1">
        <v>8.79</v>
      </c>
      <c r="EC1365" s="1">
        <f t="shared" si="44"/>
        <v>61.501954397394</v>
      </c>
      <c r="ED1365" s="1">
        <v>61.501954397394</v>
      </c>
      <c r="GE1365" s="4">
        <v>300.488599348534</v>
      </c>
      <c r="GF1365" s="1">
        <v>1.47</v>
      </c>
      <c r="GK1365" s="1">
        <f t="shared" si="41"/>
        <v>100.062703583062</v>
      </c>
      <c r="GL1365" s="1">
        <v>100.062703583062</v>
      </c>
      <c r="GT1365" s="4">
        <v>247.288503253796</v>
      </c>
      <c r="GU1365" s="1">
        <v>11.62</v>
      </c>
      <c r="GZ1365" s="1">
        <f t="shared" si="45"/>
        <v>82.3470715835141</v>
      </c>
      <c r="HA1365" s="1">
        <v>82.3470715835141</v>
      </c>
      <c r="HX1365" s="4">
        <v>148.373101952277</v>
      </c>
      <c r="HY1365" s="1">
        <v>2.48</v>
      </c>
      <c r="ID1365" s="1">
        <f t="shared" si="42"/>
        <v>49.4082429501082</v>
      </c>
      <c r="IE1365" s="1">
        <v>49.4082429501082</v>
      </c>
      <c r="JB1365" s="4">
        <v>103.713355048859</v>
      </c>
      <c r="JC1365" s="1">
        <v>1.04</v>
      </c>
      <c r="JH1365" s="1">
        <f t="shared" si="43"/>
        <v>34.53654723127</v>
      </c>
      <c r="JI1365" s="1">
        <v>34.53654723127</v>
      </c>
    </row>
    <row r="1366" customHeight="1" spans="1:269">
      <c r="A1366" s="3">
        <v>43</v>
      </c>
      <c r="B1366" s="4" t="s">
        <v>1205</v>
      </c>
      <c r="C1366" s="5" t="s">
        <v>1206</v>
      </c>
      <c r="D1366" s="4" t="s">
        <v>300</v>
      </c>
      <c r="E1366" s="4" t="s">
        <v>1207</v>
      </c>
      <c r="H1366" s="4" t="s">
        <v>328</v>
      </c>
      <c r="I1366" s="4" t="s">
        <v>627</v>
      </c>
      <c r="J1366" s="4" t="s">
        <v>1208</v>
      </c>
      <c r="N1366" s="4" t="s">
        <v>567</v>
      </c>
      <c r="O1366" s="4" t="s">
        <v>502</v>
      </c>
      <c r="P1366" s="4">
        <v>5</v>
      </c>
      <c r="T1366" s="4">
        <v>90.12</v>
      </c>
      <c r="U1366" s="4">
        <v>0.13</v>
      </c>
      <c r="V1366" s="4">
        <v>5.65</v>
      </c>
      <c r="X1366" s="4">
        <v>0.791</v>
      </c>
      <c r="AA1366" s="4" t="s">
        <v>1209</v>
      </c>
      <c r="AB1366" s="4" t="s">
        <v>1210</v>
      </c>
      <c r="AD1366" s="4" t="s">
        <v>1211</v>
      </c>
      <c r="AE1366" s="4" t="s">
        <v>1212</v>
      </c>
      <c r="AF1366" s="4" t="s">
        <v>1213</v>
      </c>
      <c r="BI1366" s="4" t="s">
        <v>309</v>
      </c>
      <c r="BK1366" s="4">
        <v>30</v>
      </c>
      <c r="BN1366" s="4">
        <v>3.33</v>
      </c>
      <c r="BS1366" s="4">
        <v>5</v>
      </c>
      <c r="BU1366" s="4">
        <v>180</v>
      </c>
      <c r="BV1366" s="4">
        <v>1440</v>
      </c>
      <c r="BW1366" s="4">
        <v>25</v>
      </c>
      <c r="CB1366" s="4" t="s">
        <v>12</v>
      </c>
      <c r="CC1366" s="4">
        <v>1000</v>
      </c>
      <c r="CE1366" s="4" t="s">
        <v>14</v>
      </c>
      <c r="CF1366" s="4">
        <v>1000</v>
      </c>
      <c r="CH1366" s="4" t="s">
        <v>16</v>
      </c>
      <c r="CI1366" s="4">
        <v>1000</v>
      </c>
      <c r="CK1366" s="4" t="s">
        <v>11</v>
      </c>
      <c r="CL1366" s="4">
        <v>1000</v>
      </c>
      <c r="CN1366" s="4" t="s">
        <v>7</v>
      </c>
      <c r="CO1366" s="4">
        <v>1000</v>
      </c>
      <c r="CR1366" s="4" t="s">
        <v>567</v>
      </c>
      <c r="CU1366" s="4">
        <v>10</v>
      </c>
      <c r="DO1366" s="4">
        <v>3</v>
      </c>
      <c r="DP1366" s="4">
        <v>1000</v>
      </c>
      <c r="DW1366" s="4">
        <v>195.43973941368</v>
      </c>
      <c r="DX1366" s="1">
        <v>0.98</v>
      </c>
      <c r="EC1366" s="1">
        <f t="shared" si="44"/>
        <v>65.0814332247554</v>
      </c>
      <c r="ED1366" s="1">
        <v>65.0814332247554</v>
      </c>
      <c r="GE1366" s="4">
        <v>300.488599348534</v>
      </c>
      <c r="GF1366" s="1">
        <v>0</v>
      </c>
      <c r="GK1366" s="1">
        <f t="shared" si="41"/>
        <v>100.062703583062</v>
      </c>
      <c r="GL1366" s="1">
        <v>100.062703583062</v>
      </c>
      <c r="GT1366" s="4">
        <v>236.876355748373</v>
      </c>
      <c r="GU1366" s="1">
        <v>15.77</v>
      </c>
      <c r="GZ1366" s="1">
        <f t="shared" si="45"/>
        <v>78.8798264642082</v>
      </c>
      <c r="HA1366" s="1">
        <v>78.8798264642082</v>
      </c>
      <c r="HX1366" s="4">
        <v>143.167028199566</v>
      </c>
      <c r="HY1366" s="1">
        <v>0.5</v>
      </c>
      <c r="ID1366" s="1">
        <f t="shared" si="42"/>
        <v>47.6746203904555</v>
      </c>
      <c r="IE1366" s="1">
        <v>47.6746203904555</v>
      </c>
      <c r="JB1366" s="4">
        <v>101.107491856677</v>
      </c>
      <c r="JC1366" s="1">
        <v>2.08</v>
      </c>
      <c r="JH1366" s="1">
        <f t="shared" si="43"/>
        <v>33.6687947882734</v>
      </c>
      <c r="JI1366" s="1">
        <v>33.6687947882734</v>
      </c>
    </row>
    <row r="1367" customHeight="1" spans="1:269">
      <c r="A1367" s="3">
        <v>43</v>
      </c>
      <c r="B1367" s="4" t="s">
        <v>1205</v>
      </c>
      <c r="C1367" s="5" t="s">
        <v>1206</v>
      </c>
      <c r="D1367" s="4" t="s">
        <v>300</v>
      </c>
      <c r="E1367" s="4" t="s">
        <v>1207</v>
      </c>
      <c r="H1367" s="4" t="s">
        <v>328</v>
      </c>
      <c r="I1367" s="4" t="s">
        <v>627</v>
      </c>
      <c r="J1367" s="4" t="s">
        <v>1208</v>
      </c>
      <c r="N1367" s="4" t="s">
        <v>567</v>
      </c>
      <c r="O1367" s="4" t="s">
        <v>502</v>
      </c>
      <c r="P1367" s="4">
        <v>5</v>
      </c>
      <c r="T1367" s="4">
        <v>90.12</v>
      </c>
      <c r="U1367" s="4">
        <v>0.13</v>
      </c>
      <c r="V1367" s="4">
        <v>5.65</v>
      </c>
      <c r="X1367" s="4">
        <v>0.791</v>
      </c>
      <c r="AA1367" s="4" t="s">
        <v>1209</v>
      </c>
      <c r="AB1367" s="4" t="s">
        <v>1210</v>
      </c>
      <c r="AD1367" s="4" t="s">
        <v>1211</v>
      </c>
      <c r="AE1367" s="4" t="s">
        <v>1212</v>
      </c>
      <c r="AF1367" s="4" t="s">
        <v>1213</v>
      </c>
      <c r="BI1367" s="4" t="s">
        <v>309</v>
      </c>
      <c r="BK1367" s="4">
        <v>30</v>
      </c>
      <c r="BN1367" s="4">
        <v>3.33</v>
      </c>
      <c r="BS1367" s="4">
        <v>5</v>
      </c>
      <c r="BU1367" s="4">
        <v>180</v>
      </c>
      <c r="BV1367" s="4">
        <v>1440</v>
      </c>
      <c r="BW1367" s="4">
        <v>25</v>
      </c>
      <c r="CB1367" s="4" t="s">
        <v>12</v>
      </c>
      <c r="CC1367" s="4">
        <v>1000</v>
      </c>
      <c r="CE1367" s="4" t="s">
        <v>14</v>
      </c>
      <c r="CF1367" s="4">
        <v>1000</v>
      </c>
      <c r="CH1367" s="4" t="s">
        <v>16</v>
      </c>
      <c r="CI1367" s="4">
        <v>1000</v>
      </c>
      <c r="CK1367" s="4" t="s">
        <v>11</v>
      </c>
      <c r="CL1367" s="4">
        <v>1000</v>
      </c>
      <c r="CN1367" s="4" t="s">
        <v>7</v>
      </c>
      <c r="CO1367" s="4">
        <v>1000</v>
      </c>
      <c r="CR1367" s="4" t="s">
        <v>536</v>
      </c>
      <c r="CU1367" s="4">
        <v>1</v>
      </c>
      <c r="DO1367" s="4">
        <v>3</v>
      </c>
      <c r="DP1367" s="4">
        <v>1000</v>
      </c>
      <c r="DW1367" s="4">
        <v>185.667752442996</v>
      </c>
      <c r="DX1367" s="1">
        <v>6.84</v>
      </c>
      <c r="EC1367" s="1">
        <f t="shared" si="44"/>
        <v>61.8273615635177</v>
      </c>
      <c r="ED1367" s="1">
        <v>61.8273615635177</v>
      </c>
      <c r="GE1367" s="4">
        <v>300.488599348534</v>
      </c>
      <c r="GF1367" s="1">
        <v>1.47</v>
      </c>
      <c r="GK1367" s="1">
        <f t="shared" si="41"/>
        <v>100.062703583062</v>
      </c>
      <c r="GL1367" s="1">
        <v>100.062703583062</v>
      </c>
      <c r="GT1367" s="4">
        <v>234.273318872017</v>
      </c>
      <c r="GU1367" s="1">
        <v>19.92</v>
      </c>
      <c r="GZ1367" s="1">
        <f t="shared" si="45"/>
        <v>78.0130151843817</v>
      </c>
      <c r="HA1367" s="1">
        <v>78.0130151843817</v>
      </c>
      <c r="HX1367" s="4">
        <v>137.440347071583</v>
      </c>
      <c r="HY1367" s="1">
        <v>11.43</v>
      </c>
      <c r="ID1367" s="1">
        <f t="shared" si="42"/>
        <v>45.7676355748371</v>
      </c>
      <c r="IE1367" s="1">
        <v>45.7676355748371</v>
      </c>
      <c r="JB1367" s="4">
        <v>101.107491856677</v>
      </c>
      <c r="JC1367" s="1">
        <v>1.56</v>
      </c>
      <c r="JH1367" s="1">
        <f t="shared" si="43"/>
        <v>33.6687947882734</v>
      </c>
      <c r="JI1367" s="1">
        <v>33.6687947882734</v>
      </c>
    </row>
    <row r="1368" customHeight="1" spans="1:269">
      <c r="A1368" s="3">
        <v>43</v>
      </c>
      <c r="B1368" s="4" t="s">
        <v>1205</v>
      </c>
      <c r="C1368" s="5" t="s">
        <v>1206</v>
      </c>
      <c r="D1368" s="4" t="s">
        <v>300</v>
      </c>
      <c r="E1368" s="4" t="s">
        <v>1207</v>
      </c>
      <c r="H1368" s="4" t="s">
        <v>328</v>
      </c>
      <c r="I1368" s="4" t="s">
        <v>627</v>
      </c>
      <c r="J1368" s="4" t="s">
        <v>1208</v>
      </c>
      <c r="N1368" s="4" t="s">
        <v>567</v>
      </c>
      <c r="O1368" s="4" t="s">
        <v>502</v>
      </c>
      <c r="P1368" s="4">
        <v>5</v>
      </c>
      <c r="T1368" s="4">
        <v>90.12</v>
      </c>
      <c r="U1368" s="4">
        <v>0.13</v>
      </c>
      <c r="V1368" s="4">
        <v>5.65</v>
      </c>
      <c r="X1368" s="4">
        <v>0.791</v>
      </c>
      <c r="AA1368" s="4" t="s">
        <v>1209</v>
      </c>
      <c r="AB1368" s="4" t="s">
        <v>1210</v>
      </c>
      <c r="AD1368" s="4" t="s">
        <v>1211</v>
      </c>
      <c r="AE1368" s="4" t="s">
        <v>1212</v>
      </c>
      <c r="AF1368" s="4" t="s">
        <v>1213</v>
      </c>
      <c r="BI1368" s="4" t="s">
        <v>309</v>
      </c>
      <c r="BK1368" s="4">
        <v>30</v>
      </c>
      <c r="BN1368" s="4">
        <v>3.33</v>
      </c>
      <c r="BS1368" s="4">
        <v>5</v>
      </c>
      <c r="BU1368" s="4">
        <v>180</v>
      </c>
      <c r="BV1368" s="4">
        <v>1440</v>
      </c>
      <c r="BW1368" s="4">
        <v>25</v>
      </c>
      <c r="CB1368" s="4" t="s">
        <v>12</v>
      </c>
      <c r="CC1368" s="4">
        <v>1000</v>
      </c>
      <c r="CE1368" s="4" t="s">
        <v>14</v>
      </c>
      <c r="CF1368" s="4">
        <v>1000</v>
      </c>
      <c r="CH1368" s="4" t="s">
        <v>16</v>
      </c>
      <c r="CI1368" s="4">
        <v>1000</v>
      </c>
      <c r="CK1368" s="4" t="s">
        <v>11</v>
      </c>
      <c r="CL1368" s="4">
        <v>1000</v>
      </c>
      <c r="CN1368" s="4" t="s">
        <v>7</v>
      </c>
      <c r="CO1368" s="4">
        <v>1000</v>
      </c>
      <c r="CR1368" s="4" t="s">
        <v>536</v>
      </c>
      <c r="CU1368" s="4">
        <v>5</v>
      </c>
      <c r="DO1368" s="4">
        <v>3</v>
      </c>
      <c r="DP1368" s="4">
        <v>1000</v>
      </c>
      <c r="DW1368" s="4">
        <v>186.644951140065</v>
      </c>
      <c r="DX1368" s="1">
        <v>5.86</v>
      </c>
      <c r="EC1368" s="1">
        <f t="shared" si="44"/>
        <v>62.1527687296416</v>
      </c>
      <c r="ED1368" s="1">
        <v>62.1527687296416</v>
      </c>
      <c r="GE1368" s="4">
        <v>300.488599348534</v>
      </c>
      <c r="GF1368" s="1">
        <v>0</v>
      </c>
      <c r="GK1368" s="1">
        <f t="shared" si="41"/>
        <v>100.062703583062</v>
      </c>
      <c r="GL1368" s="1">
        <v>100.062703583062</v>
      </c>
      <c r="GT1368" s="4">
        <v>240.347071583514</v>
      </c>
      <c r="GU1368" s="1">
        <v>14.94</v>
      </c>
      <c r="GZ1368" s="1">
        <f t="shared" si="45"/>
        <v>80.0355748373102</v>
      </c>
      <c r="HA1368" s="1">
        <v>80.0355748373102</v>
      </c>
      <c r="HX1368" s="4">
        <v>147.852494577006</v>
      </c>
      <c r="HY1368" s="1">
        <v>0.99</v>
      </c>
      <c r="ID1368" s="1">
        <f t="shared" si="42"/>
        <v>49.234880694143</v>
      </c>
      <c r="IE1368" s="1">
        <v>49.234880694143</v>
      </c>
      <c r="JB1368" s="4">
        <v>96.9381107491856</v>
      </c>
      <c r="JC1368" s="1">
        <v>1.04</v>
      </c>
      <c r="JH1368" s="1">
        <f t="shared" si="43"/>
        <v>32.2803908794788</v>
      </c>
      <c r="JI1368" s="1">
        <v>32.2803908794788</v>
      </c>
    </row>
    <row r="1369" customHeight="1" spans="1:269">
      <c r="A1369" s="3">
        <v>43</v>
      </c>
      <c r="B1369" s="4" t="s">
        <v>1205</v>
      </c>
      <c r="C1369" s="5" t="s">
        <v>1206</v>
      </c>
      <c r="D1369" s="4" t="s">
        <v>300</v>
      </c>
      <c r="E1369" s="4" t="s">
        <v>1207</v>
      </c>
      <c r="H1369" s="4" t="s">
        <v>328</v>
      </c>
      <c r="I1369" s="4" t="s">
        <v>627</v>
      </c>
      <c r="J1369" s="4" t="s">
        <v>1208</v>
      </c>
      <c r="N1369" s="4" t="s">
        <v>567</v>
      </c>
      <c r="O1369" s="4" t="s">
        <v>502</v>
      </c>
      <c r="P1369" s="4">
        <v>5</v>
      </c>
      <c r="T1369" s="4">
        <v>90.12</v>
      </c>
      <c r="U1369" s="4">
        <v>0.13</v>
      </c>
      <c r="V1369" s="4">
        <v>5.65</v>
      </c>
      <c r="X1369" s="4">
        <v>0.791</v>
      </c>
      <c r="AA1369" s="4" t="s">
        <v>1209</v>
      </c>
      <c r="AB1369" s="4" t="s">
        <v>1210</v>
      </c>
      <c r="AD1369" s="4" t="s">
        <v>1211</v>
      </c>
      <c r="AE1369" s="4" t="s">
        <v>1212</v>
      </c>
      <c r="AF1369" s="4" t="s">
        <v>1213</v>
      </c>
      <c r="BI1369" s="4" t="s">
        <v>309</v>
      </c>
      <c r="BK1369" s="4">
        <v>30</v>
      </c>
      <c r="BN1369" s="4">
        <v>3.33</v>
      </c>
      <c r="BS1369" s="4">
        <v>5</v>
      </c>
      <c r="BU1369" s="4">
        <v>180</v>
      </c>
      <c r="BV1369" s="4">
        <v>1440</v>
      </c>
      <c r="BW1369" s="4">
        <v>25</v>
      </c>
      <c r="CB1369" s="4" t="s">
        <v>12</v>
      </c>
      <c r="CC1369" s="4">
        <v>1000</v>
      </c>
      <c r="CE1369" s="4" t="s">
        <v>14</v>
      </c>
      <c r="CF1369" s="4">
        <v>1000</v>
      </c>
      <c r="CH1369" s="4" t="s">
        <v>16</v>
      </c>
      <c r="CI1369" s="4">
        <v>1000</v>
      </c>
      <c r="CK1369" s="4" t="s">
        <v>11</v>
      </c>
      <c r="CL1369" s="4">
        <v>1000</v>
      </c>
      <c r="CN1369" s="4" t="s">
        <v>7</v>
      </c>
      <c r="CO1369" s="4">
        <v>1000</v>
      </c>
      <c r="CR1369" s="4" t="s">
        <v>536</v>
      </c>
      <c r="CU1369" s="4">
        <v>10</v>
      </c>
      <c r="DO1369" s="4">
        <v>3</v>
      </c>
      <c r="DP1369" s="4">
        <v>1000</v>
      </c>
      <c r="DW1369" s="4">
        <v>174.918566775244</v>
      </c>
      <c r="DX1369" s="1">
        <v>1.95</v>
      </c>
      <c r="EC1369" s="1">
        <f t="shared" si="44"/>
        <v>58.2478827361563</v>
      </c>
      <c r="ED1369" s="1">
        <v>58.2478827361563</v>
      </c>
      <c r="GE1369" s="4">
        <v>300.488599348534</v>
      </c>
      <c r="GF1369" s="1">
        <v>0</v>
      </c>
      <c r="GK1369" s="1">
        <f t="shared" si="41"/>
        <v>100.062703583062</v>
      </c>
      <c r="GL1369" s="1">
        <v>100.062703583062</v>
      </c>
      <c r="GT1369" s="4">
        <v>265.509761388286</v>
      </c>
      <c r="GU1369" s="1">
        <v>4.15</v>
      </c>
      <c r="GZ1369" s="1">
        <f t="shared" si="45"/>
        <v>88.4147505422992</v>
      </c>
      <c r="HA1369" s="1">
        <v>88.4147505422992</v>
      </c>
      <c r="HX1369" s="4">
        <v>146.811279826464</v>
      </c>
      <c r="HY1369" s="1">
        <v>3.48</v>
      </c>
      <c r="ID1369" s="1">
        <f t="shared" si="42"/>
        <v>48.8881561822125</v>
      </c>
      <c r="IE1369" s="1">
        <v>48.8881561822125</v>
      </c>
      <c r="JB1369" s="4">
        <v>102.671009771986</v>
      </c>
      <c r="JC1369" s="1">
        <v>0.52</v>
      </c>
      <c r="JH1369" s="1">
        <f t="shared" si="43"/>
        <v>34.1894462540713</v>
      </c>
      <c r="JI1369" s="1">
        <v>34.1894462540713</v>
      </c>
    </row>
    <row r="1370" customHeight="1" spans="1:269">
      <c r="A1370" s="3">
        <v>43</v>
      </c>
      <c r="B1370" s="4" t="s">
        <v>1205</v>
      </c>
      <c r="C1370" s="5" t="s">
        <v>1206</v>
      </c>
      <c r="D1370" s="4" t="s">
        <v>300</v>
      </c>
      <c r="E1370" s="4" t="s">
        <v>1207</v>
      </c>
      <c r="H1370" s="4" t="s">
        <v>328</v>
      </c>
      <c r="I1370" s="4" t="s">
        <v>627</v>
      </c>
      <c r="J1370" s="4" t="s">
        <v>1208</v>
      </c>
      <c r="N1370" s="4" t="s">
        <v>567</v>
      </c>
      <c r="O1370" s="4" t="s">
        <v>502</v>
      </c>
      <c r="P1370" s="4">
        <v>5</v>
      </c>
      <c r="T1370" s="4">
        <v>90.12</v>
      </c>
      <c r="U1370" s="4">
        <v>0.13</v>
      </c>
      <c r="V1370" s="4">
        <v>5.65</v>
      </c>
      <c r="X1370" s="4">
        <v>0.791</v>
      </c>
      <c r="AA1370" s="4" t="s">
        <v>1209</v>
      </c>
      <c r="AB1370" s="4" t="s">
        <v>1210</v>
      </c>
      <c r="AD1370" s="4" t="s">
        <v>1211</v>
      </c>
      <c r="AE1370" s="4" t="s">
        <v>1212</v>
      </c>
      <c r="AF1370" s="4" t="s">
        <v>1213</v>
      </c>
      <c r="AG1370" s="4" t="s">
        <v>1217</v>
      </c>
      <c r="AH1370" s="4" t="s">
        <v>1217</v>
      </c>
      <c r="AI1370" s="4" t="s">
        <v>1217</v>
      </c>
      <c r="AQ1370" s="4" t="s">
        <v>464</v>
      </c>
      <c r="AR1370" s="4">
        <v>20</v>
      </c>
      <c r="AS1370" s="4" t="s">
        <v>14</v>
      </c>
      <c r="AT1370" s="4">
        <v>25</v>
      </c>
      <c r="AU1370" s="4" t="s">
        <v>16</v>
      </c>
      <c r="AV1370" s="4">
        <v>4</v>
      </c>
      <c r="AW1370" s="4" t="s">
        <v>11</v>
      </c>
      <c r="AX1370" s="4">
        <v>8</v>
      </c>
      <c r="AY1370" s="4" t="s">
        <v>7</v>
      </c>
      <c r="AZ1370" s="4">
        <v>0.2</v>
      </c>
      <c r="BD1370" s="4" t="s">
        <v>1218</v>
      </c>
      <c r="BI1370" s="4" t="s">
        <v>383</v>
      </c>
      <c r="DO1370" s="4">
        <v>3</v>
      </c>
      <c r="DQ1370" s="4">
        <v>0.259</v>
      </c>
      <c r="DS1370" s="4">
        <v>0.259</v>
      </c>
      <c r="DW1370" s="4"/>
      <c r="EC1370" s="1">
        <f>(0.259-DS1370)/0.259*100</f>
        <v>0</v>
      </c>
      <c r="ED1370" s="1">
        <v>0</v>
      </c>
      <c r="GA1370" s="4">
        <v>0.29</v>
      </c>
      <c r="GE1370" s="4"/>
      <c r="GN1370" s="1">
        <v>1.11</v>
      </c>
      <c r="GP1370" s="19" t="s">
        <v>1219</v>
      </c>
      <c r="GT1370" s="4"/>
      <c r="GZ1370" s="1" t="e">
        <f>(GN1370-GP1370)/GN1370*100</f>
        <v>#VALUE!</v>
      </c>
      <c r="HA1370" s="1">
        <v>0</v>
      </c>
      <c r="HT1370" s="4">
        <v>1.11</v>
      </c>
      <c r="HX1370" s="4"/>
      <c r="IX1370" s="4">
        <v>19.875</v>
      </c>
      <c r="JB1370" s="4"/>
    </row>
    <row r="1371" customHeight="1" spans="1:269">
      <c r="A1371" s="3">
        <v>43</v>
      </c>
      <c r="B1371" s="4" t="s">
        <v>1205</v>
      </c>
      <c r="C1371" s="5" t="s">
        <v>1206</v>
      </c>
      <c r="D1371" s="4" t="s">
        <v>300</v>
      </c>
      <c r="E1371" s="4" t="s">
        <v>1207</v>
      </c>
      <c r="H1371" s="4" t="s">
        <v>328</v>
      </c>
      <c r="I1371" s="4" t="s">
        <v>627</v>
      </c>
      <c r="J1371" s="4" t="s">
        <v>1208</v>
      </c>
      <c r="N1371" s="4" t="s">
        <v>567</v>
      </c>
      <c r="O1371" s="4" t="s">
        <v>502</v>
      </c>
      <c r="P1371" s="4">
        <v>5</v>
      </c>
      <c r="T1371" s="4">
        <v>90.12</v>
      </c>
      <c r="U1371" s="4">
        <v>0.13</v>
      </c>
      <c r="V1371" s="4">
        <v>5.65</v>
      </c>
      <c r="X1371" s="4">
        <v>0.791</v>
      </c>
      <c r="AA1371" s="4" t="s">
        <v>1209</v>
      </c>
      <c r="AB1371" s="4" t="s">
        <v>1210</v>
      </c>
      <c r="AD1371" s="4" t="s">
        <v>1211</v>
      </c>
      <c r="AE1371" s="4" t="s">
        <v>1212</v>
      </c>
      <c r="AF1371" s="4" t="s">
        <v>1213</v>
      </c>
      <c r="AG1371" s="4" t="s">
        <v>1217</v>
      </c>
      <c r="AH1371" s="4" t="s">
        <v>1217</v>
      </c>
      <c r="AI1371" s="4" t="s">
        <v>1217</v>
      </c>
      <c r="AQ1371" s="4" t="s">
        <v>464</v>
      </c>
      <c r="AR1371" s="4">
        <v>20</v>
      </c>
      <c r="AS1371" s="4" t="s">
        <v>14</v>
      </c>
      <c r="AT1371" s="4">
        <v>25</v>
      </c>
      <c r="AU1371" s="4" t="s">
        <v>16</v>
      </c>
      <c r="AV1371" s="4">
        <v>4</v>
      </c>
      <c r="AW1371" s="4" t="s">
        <v>11</v>
      </c>
      <c r="AX1371" s="4">
        <v>8</v>
      </c>
      <c r="AY1371" s="4" t="s">
        <v>7</v>
      </c>
      <c r="AZ1371" s="4">
        <v>0.2</v>
      </c>
      <c r="BD1371" s="4" t="s">
        <v>1218</v>
      </c>
      <c r="BI1371" s="4" t="s">
        <v>383</v>
      </c>
      <c r="DO1371" s="4">
        <v>3</v>
      </c>
      <c r="DQ1371" s="4">
        <v>0.259</v>
      </c>
      <c r="DS1371" s="4">
        <v>0.057</v>
      </c>
      <c r="DW1371" s="4"/>
      <c r="EC1371" s="1">
        <f>(0.259-DS1371)/0.259*100</f>
        <v>77.992277992278</v>
      </c>
      <c r="ED1371" s="1">
        <v>77.992277992278</v>
      </c>
      <c r="GA1371" s="4">
        <v>0.17</v>
      </c>
      <c r="GE1371" s="4"/>
      <c r="GN1371" s="1">
        <v>1.11</v>
      </c>
      <c r="GP1371" s="19">
        <v>0.049</v>
      </c>
      <c r="GT1371" s="4"/>
      <c r="GZ1371" s="1">
        <f>(GN1371-GP1371)/GN1371*100</f>
        <v>95.5855855855856</v>
      </c>
      <c r="HA1371" s="1">
        <v>95.5855855855856</v>
      </c>
      <c r="HT1371" s="4">
        <v>0.049</v>
      </c>
      <c r="HX1371" s="4"/>
      <c r="IX1371" s="4">
        <v>0.44</v>
      </c>
      <c r="JB1371" s="4"/>
    </row>
    <row r="1372" customHeight="1" spans="1:269">
      <c r="A1372" s="3">
        <v>43</v>
      </c>
      <c r="B1372" s="4" t="s">
        <v>1205</v>
      </c>
      <c r="C1372" s="5" t="s">
        <v>1206</v>
      </c>
      <c r="D1372" s="4" t="s">
        <v>300</v>
      </c>
      <c r="E1372" s="4" t="s">
        <v>1207</v>
      </c>
      <c r="H1372" s="4" t="s">
        <v>328</v>
      </c>
      <c r="I1372" s="4" t="s">
        <v>627</v>
      </c>
      <c r="J1372" s="4" t="s">
        <v>1208</v>
      </c>
      <c r="N1372" s="4" t="s">
        <v>567</v>
      </c>
      <c r="O1372" s="4" t="s">
        <v>502</v>
      </c>
      <c r="P1372" s="4">
        <v>5</v>
      </c>
      <c r="T1372" s="4">
        <v>90.12</v>
      </c>
      <c r="U1372" s="4">
        <v>0.13</v>
      </c>
      <c r="V1372" s="4">
        <v>5.65</v>
      </c>
      <c r="X1372" s="4">
        <v>0.791</v>
      </c>
      <c r="AA1372" s="4" t="s">
        <v>1209</v>
      </c>
      <c r="AB1372" s="4" t="s">
        <v>1210</v>
      </c>
      <c r="AD1372" s="4" t="s">
        <v>1211</v>
      </c>
      <c r="AE1372" s="4" t="s">
        <v>1212</v>
      </c>
      <c r="AF1372" s="4" t="s">
        <v>1213</v>
      </c>
      <c r="AG1372" s="4" t="s">
        <v>1217</v>
      </c>
      <c r="AH1372" s="4" t="s">
        <v>1217</v>
      </c>
      <c r="AI1372" s="4" t="s">
        <v>1217</v>
      </c>
      <c r="AQ1372" s="4" t="s">
        <v>464</v>
      </c>
      <c r="AR1372" s="4">
        <v>20</v>
      </c>
      <c r="AS1372" s="4" t="s">
        <v>14</v>
      </c>
      <c r="AT1372" s="4">
        <v>25</v>
      </c>
      <c r="AU1372" s="4" t="s">
        <v>16</v>
      </c>
      <c r="AV1372" s="4">
        <v>4</v>
      </c>
      <c r="AW1372" s="4" t="s">
        <v>11</v>
      </c>
      <c r="AX1372" s="4">
        <v>8</v>
      </c>
      <c r="AY1372" s="4" t="s">
        <v>7</v>
      </c>
      <c r="AZ1372" s="4">
        <v>0.2</v>
      </c>
      <c r="BD1372" s="4" t="s">
        <v>1218</v>
      </c>
      <c r="BI1372" s="4" t="s">
        <v>383</v>
      </c>
      <c r="DO1372" s="4">
        <v>3</v>
      </c>
      <c r="DQ1372" s="4">
        <v>0.259</v>
      </c>
      <c r="DS1372" s="4">
        <v>0.026</v>
      </c>
      <c r="DW1372" s="4"/>
      <c r="EC1372" s="1">
        <f>(0.259-DS1372)/0.259*100</f>
        <v>89.96138996139</v>
      </c>
      <c r="ED1372" s="1">
        <v>89.96138996139</v>
      </c>
      <c r="GA1372" s="4">
        <v>0.03</v>
      </c>
      <c r="GE1372" s="4"/>
      <c r="GN1372" s="1">
        <v>1.11</v>
      </c>
      <c r="GP1372" s="19">
        <v>0.03</v>
      </c>
      <c r="GT1372" s="4"/>
      <c r="GZ1372" s="1">
        <f>(GN1372-GP1372)/GN1372*100</f>
        <v>97.2972972972973</v>
      </c>
      <c r="HA1372" s="1">
        <v>97.2972972972973</v>
      </c>
      <c r="HT1372" s="4">
        <v>0.03</v>
      </c>
      <c r="HX1372" s="4"/>
      <c r="IX1372" s="4">
        <v>0.31</v>
      </c>
      <c r="JB1372" s="4"/>
    </row>
    <row r="1373" customHeight="1" spans="1:269">
      <c r="A1373" s="3">
        <v>43</v>
      </c>
      <c r="B1373" s="4" t="s">
        <v>1205</v>
      </c>
      <c r="C1373" s="5" t="s">
        <v>1206</v>
      </c>
      <c r="D1373" s="4" t="s">
        <v>300</v>
      </c>
      <c r="E1373" s="4" t="s">
        <v>1207</v>
      </c>
      <c r="H1373" s="4" t="s">
        <v>328</v>
      </c>
      <c r="I1373" s="4" t="s">
        <v>627</v>
      </c>
      <c r="J1373" s="4" t="s">
        <v>1208</v>
      </c>
      <c r="N1373" s="4" t="s">
        <v>567</v>
      </c>
      <c r="O1373" s="4" t="s">
        <v>502</v>
      </c>
      <c r="P1373" s="4">
        <v>5</v>
      </c>
      <c r="T1373" s="4">
        <v>90.12</v>
      </c>
      <c r="U1373" s="4">
        <v>0.13</v>
      </c>
      <c r="V1373" s="4">
        <v>5.65</v>
      </c>
      <c r="X1373" s="4">
        <v>0.791</v>
      </c>
      <c r="AA1373" s="4" t="s">
        <v>1209</v>
      </c>
      <c r="AB1373" s="4" t="s">
        <v>1210</v>
      </c>
      <c r="AD1373" s="4" t="s">
        <v>1211</v>
      </c>
      <c r="AE1373" s="4" t="s">
        <v>1212</v>
      </c>
      <c r="AF1373" s="4" t="s">
        <v>1213</v>
      </c>
      <c r="AG1373" s="4" t="s">
        <v>1217</v>
      </c>
      <c r="AH1373" s="4" t="s">
        <v>1217</v>
      </c>
      <c r="AI1373" s="4" t="s">
        <v>1217</v>
      </c>
      <c r="AQ1373" s="4" t="s">
        <v>464</v>
      </c>
      <c r="AR1373" s="4">
        <v>20</v>
      </c>
      <c r="AS1373" s="4" t="s">
        <v>14</v>
      </c>
      <c r="AT1373" s="4">
        <v>25</v>
      </c>
      <c r="AU1373" s="4" t="s">
        <v>16</v>
      </c>
      <c r="AV1373" s="4">
        <v>4</v>
      </c>
      <c r="AW1373" s="4" t="s">
        <v>11</v>
      </c>
      <c r="AX1373" s="4">
        <v>8</v>
      </c>
      <c r="AY1373" s="4" t="s">
        <v>7</v>
      </c>
      <c r="AZ1373" s="4">
        <v>0.2</v>
      </c>
      <c r="BD1373" s="4" t="s">
        <v>1218</v>
      </c>
      <c r="BI1373" s="4" t="s">
        <v>383</v>
      </c>
      <c r="DO1373" s="4">
        <v>3</v>
      </c>
      <c r="DQ1373" s="4">
        <v>0.259</v>
      </c>
      <c r="DS1373" s="4">
        <v>0.022</v>
      </c>
      <c r="DW1373" s="4"/>
      <c r="EC1373" s="1">
        <f>(0.259-DS1373)/0.259*100</f>
        <v>91.5057915057915</v>
      </c>
      <c r="ED1373" s="1">
        <v>91.5057915057915</v>
      </c>
      <c r="GA1373" s="4">
        <v>0</v>
      </c>
      <c r="GE1373" s="4"/>
      <c r="GN1373" s="1">
        <v>1.11</v>
      </c>
      <c r="GP1373" s="19">
        <v>0.043</v>
      </c>
      <c r="GT1373" s="4"/>
      <c r="GZ1373" s="1">
        <f>(GN1373-GP1373)/GN1373*100</f>
        <v>96.1261261261261</v>
      </c>
      <c r="HA1373" s="1">
        <v>96.1261261261261</v>
      </c>
      <c r="HT1373" s="4">
        <v>0.043</v>
      </c>
      <c r="HX1373" s="4"/>
      <c r="IX1373" s="4">
        <v>0.25</v>
      </c>
      <c r="JB1373" s="4"/>
    </row>
    <row r="1374" customHeight="1" spans="1:269">
      <c r="A1374" s="3">
        <v>43</v>
      </c>
      <c r="B1374" s="4" t="s">
        <v>1205</v>
      </c>
      <c r="C1374" s="5" t="s">
        <v>1220</v>
      </c>
      <c r="D1374" s="4" t="s">
        <v>300</v>
      </c>
      <c r="E1374" s="4" t="s">
        <v>1221</v>
      </c>
      <c r="N1374" s="4" t="s">
        <v>567</v>
      </c>
      <c r="O1374" s="4" t="s">
        <v>502</v>
      </c>
      <c r="P1374" s="4">
        <v>5</v>
      </c>
      <c r="Q1374" s="4" t="s">
        <v>539</v>
      </c>
      <c r="T1374" s="4">
        <v>12.56</v>
      </c>
      <c r="U1374" s="4">
        <v>0.07</v>
      </c>
      <c r="V1374" s="4">
        <v>22.66</v>
      </c>
      <c r="X1374" s="4">
        <v>0.807</v>
      </c>
      <c r="AA1374" s="4" t="s">
        <v>1222</v>
      </c>
      <c r="AB1374" s="4" t="s">
        <v>1223</v>
      </c>
      <c r="AD1374" s="4" t="s">
        <v>1211</v>
      </c>
      <c r="AE1374" s="4" t="s">
        <v>1224</v>
      </c>
      <c r="AF1374" s="4" t="s">
        <v>1225</v>
      </c>
      <c r="BI1374" s="4" t="s">
        <v>309</v>
      </c>
      <c r="BK1374" s="4">
        <v>30</v>
      </c>
      <c r="BN1374" s="4">
        <v>3.33</v>
      </c>
      <c r="BS1374" s="4">
        <v>5</v>
      </c>
      <c r="BU1374" s="4">
        <v>180</v>
      </c>
      <c r="BV1374" s="4" t="s">
        <v>495</v>
      </c>
      <c r="BW1374" s="4">
        <v>25</v>
      </c>
      <c r="CB1374" s="4" t="s">
        <v>12</v>
      </c>
      <c r="CC1374" s="4">
        <v>1000</v>
      </c>
      <c r="CE1374" s="4" t="s">
        <v>14</v>
      </c>
      <c r="CF1374" s="4">
        <v>1000</v>
      </c>
      <c r="CH1374" s="4" t="s">
        <v>16</v>
      </c>
      <c r="CI1374" s="4">
        <v>1000</v>
      </c>
      <c r="CK1374" s="4" t="s">
        <v>11</v>
      </c>
      <c r="CL1374" s="4">
        <v>1000</v>
      </c>
      <c r="CN1374" s="4" t="s">
        <v>7</v>
      </c>
      <c r="CO1374" s="4">
        <v>1000</v>
      </c>
      <c r="DO1374" s="4">
        <v>3</v>
      </c>
      <c r="DW1374" s="4">
        <v>108.91</v>
      </c>
      <c r="DX1374" s="1">
        <v>9.03</v>
      </c>
      <c r="ED1374" s="1">
        <v>10.891</v>
      </c>
      <c r="GE1374" s="4">
        <v>287.58</v>
      </c>
      <c r="GF1374" s="1">
        <v>0</v>
      </c>
      <c r="GK1374" s="1">
        <f>GE1374*BN1374/CL1374*100</f>
        <v>95.76414</v>
      </c>
      <c r="GL1374" s="1">
        <v>95.76414</v>
      </c>
      <c r="GP1374" s="19"/>
      <c r="GT1374" s="4">
        <v>224.84</v>
      </c>
      <c r="GU1374" s="1">
        <v>11.54</v>
      </c>
      <c r="GZ1374" s="1">
        <f>GT1374*3.33/10</f>
        <v>74.87172</v>
      </c>
      <c r="HA1374" s="1">
        <v>74.87172</v>
      </c>
      <c r="HX1374" s="4">
        <v>129.49</v>
      </c>
      <c r="HY1374" s="1">
        <v>3.01</v>
      </c>
      <c r="ID1374" s="1">
        <f>HX1374/10*3.33</f>
        <v>43.12017</v>
      </c>
      <c r="IE1374" s="1">
        <v>43.12017</v>
      </c>
      <c r="JB1374" s="4">
        <v>100.38</v>
      </c>
      <c r="JC1374" s="1">
        <v>0</v>
      </c>
      <c r="JH1374" s="1">
        <f>JB1374*3.33/10</f>
        <v>33.42654</v>
      </c>
      <c r="JI1374" s="1">
        <v>33.42654</v>
      </c>
    </row>
    <row r="1375" customHeight="1" spans="1:269">
      <c r="A1375" s="3">
        <v>43</v>
      </c>
      <c r="B1375" s="4" t="s">
        <v>1205</v>
      </c>
      <c r="C1375" s="5" t="s">
        <v>1226</v>
      </c>
      <c r="D1375" s="4" t="s">
        <v>300</v>
      </c>
      <c r="E1375" s="4" t="s">
        <v>1227</v>
      </c>
      <c r="N1375" s="4" t="s">
        <v>567</v>
      </c>
      <c r="O1375" s="4" t="s">
        <v>502</v>
      </c>
      <c r="P1375" s="4">
        <v>5</v>
      </c>
      <c r="Q1375" s="4" t="s">
        <v>542</v>
      </c>
      <c r="X1375" s="4">
        <v>0.77</v>
      </c>
      <c r="AA1375" s="4" t="s">
        <v>1228</v>
      </c>
      <c r="AD1375" s="4" t="s">
        <v>1211</v>
      </c>
      <c r="AE1375" s="4" t="s">
        <v>1229</v>
      </c>
      <c r="AF1375" s="4" t="s">
        <v>1230</v>
      </c>
      <c r="DO1375" s="4">
        <v>3</v>
      </c>
    </row>
    <row r="1376" customHeight="1" spans="1:269">
      <c r="A1376" s="5">
        <v>44</v>
      </c>
      <c r="B1376" s="4" t="s">
        <v>1231</v>
      </c>
      <c r="C1376" s="40" t="s">
        <v>358</v>
      </c>
      <c r="D1376" s="4" t="s">
        <v>1232</v>
      </c>
      <c r="E1376" s="4" t="s">
        <v>1233</v>
      </c>
      <c r="N1376" s="4" t="s">
        <v>567</v>
      </c>
      <c r="O1376" s="4" t="s">
        <v>343</v>
      </c>
      <c r="P1376" s="4">
        <v>2.03</v>
      </c>
      <c r="Q1376" s="4" t="s">
        <v>540</v>
      </c>
      <c r="AB1376" s="4" t="s">
        <v>1234</v>
      </c>
      <c r="AC1376" s="4" t="s">
        <v>1235</v>
      </c>
      <c r="AE1376" s="4" t="s">
        <v>1236</v>
      </c>
      <c r="AF1376" s="4" t="s">
        <v>1237</v>
      </c>
      <c r="AH1376" s="4" t="s">
        <v>596</v>
      </c>
      <c r="AQ1376" s="4" t="s">
        <v>8</v>
      </c>
      <c r="AR1376" s="4">
        <v>0</v>
      </c>
      <c r="BD1376" s="4" t="s">
        <v>1238</v>
      </c>
      <c r="BI1376" s="4" t="s">
        <v>321</v>
      </c>
      <c r="BK1376" s="4">
        <v>5</v>
      </c>
      <c r="BL1376" s="4">
        <v>1</v>
      </c>
      <c r="BM1376" s="4">
        <v>0.01</v>
      </c>
      <c r="BS1376" s="4">
        <v>5.25</v>
      </c>
      <c r="BU1376" s="4">
        <v>30</v>
      </c>
      <c r="BV1376" s="4">
        <v>120</v>
      </c>
      <c r="CB1376" s="4" t="s">
        <v>8</v>
      </c>
      <c r="CC1376" s="4">
        <v>1000</v>
      </c>
      <c r="DO1376" s="4">
        <v>3</v>
      </c>
      <c r="EP1376" s="4">
        <v>8.09</v>
      </c>
      <c r="EQ1376" s="1">
        <v>0.42</v>
      </c>
      <c r="ES1376" s="4">
        <v>8.09</v>
      </c>
    </row>
    <row r="1377" customHeight="1" spans="1:149">
      <c r="A1377" s="5">
        <v>44</v>
      </c>
      <c r="B1377" s="4" t="s">
        <v>1231</v>
      </c>
      <c r="C1377" s="40" t="s">
        <v>358</v>
      </c>
      <c r="D1377" s="4" t="s">
        <v>1232</v>
      </c>
      <c r="E1377" s="4" t="s">
        <v>1233</v>
      </c>
      <c r="N1377" s="4" t="s">
        <v>567</v>
      </c>
      <c r="O1377" s="4" t="s">
        <v>343</v>
      </c>
      <c r="P1377" s="4">
        <v>2.03</v>
      </c>
      <c r="Q1377" s="4" t="s">
        <v>540</v>
      </c>
      <c r="AB1377" s="4" t="s">
        <v>1234</v>
      </c>
      <c r="AC1377" s="4" t="s">
        <v>1235</v>
      </c>
      <c r="AE1377" s="4" t="s">
        <v>1236</v>
      </c>
      <c r="AF1377" s="4" t="s">
        <v>1237</v>
      </c>
      <c r="AH1377" s="4" t="s">
        <v>596</v>
      </c>
      <c r="AQ1377" s="4" t="s">
        <v>8</v>
      </c>
      <c r="AR1377" s="4">
        <v>0</v>
      </c>
      <c r="BD1377" s="4" t="s">
        <v>1238</v>
      </c>
      <c r="BI1377" s="4" t="s">
        <v>321</v>
      </c>
      <c r="BK1377" s="4">
        <v>5</v>
      </c>
      <c r="BL1377" s="4">
        <v>1</v>
      </c>
      <c r="BM1377" s="4">
        <v>0.03</v>
      </c>
      <c r="BS1377" s="4">
        <v>5.25</v>
      </c>
      <c r="BU1377" s="4">
        <v>30</v>
      </c>
      <c r="BV1377" s="4">
        <v>120</v>
      </c>
      <c r="CB1377" s="4" t="s">
        <v>8</v>
      </c>
      <c r="CC1377" s="4">
        <v>1000</v>
      </c>
      <c r="DO1377" s="4">
        <v>3</v>
      </c>
      <c r="EP1377" s="4">
        <v>27.34</v>
      </c>
      <c r="EQ1377" s="1">
        <v>0.14</v>
      </c>
      <c r="ES1377" s="4">
        <v>27.34</v>
      </c>
    </row>
    <row r="1378" customHeight="1" spans="1:149">
      <c r="A1378" s="5">
        <v>44</v>
      </c>
      <c r="B1378" s="4" t="s">
        <v>1231</v>
      </c>
      <c r="C1378" s="40" t="s">
        <v>358</v>
      </c>
      <c r="D1378" s="4" t="s">
        <v>1232</v>
      </c>
      <c r="E1378" s="4" t="s">
        <v>1233</v>
      </c>
      <c r="N1378" s="4" t="s">
        <v>567</v>
      </c>
      <c r="O1378" s="4" t="s">
        <v>343</v>
      </c>
      <c r="P1378" s="4">
        <v>2.03</v>
      </c>
      <c r="Q1378" s="4" t="s">
        <v>540</v>
      </c>
      <c r="AB1378" s="4" t="s">
        <v>1234</v>
      </c>
      <c r="AC1378" s="4" t="s">
        <v>1235</v>
      </c>
      <c r="AE1378" s="4" t="s">
        <v>1236</v>
      </c>
      <c r="AF1378" s="4" t="s">
        <v>1237</v>
      </c>
      <c r="AH1378" s="4" t="s">
        <v>596</v>
      </c>
      <c r="AQ1378" s="4" t="s">
        <v>8</v>
      </c>
      <c r="AR1378" s="4">
        <v>0</v>
      </c>
      <c r="BD1378" s="4" t="s">
        <v>1238</v>
      </c>
      <c r="BI1378" s="4" t="s">
        <v>321</v>
      </c>
      <c r="BK1378" s="4">
        <v>5</v>
      </c>
      <c r="BL1378" s="4">
        <v>1</v>
      </c>
      <c r="BM1378" s="4">
        <v>0.05</v>
      </c>
      <c r="BS1378" s="4">
        <v>5.25</v>
      </c>
      <c r="BU1378" s="4">
        <v>30</v>
      </c>
      <c r="BV1378" s="4">
        <v>120</v>
      </c>
      <c r="CB1378" s="4" t="s">
        <v>8</v>
      </c>
      <c r="CC1378" s="4">
        <v>1000</v>
      </c>
      <c r="DO1378" s="4">
        <v>3</v>
      </c>
      <c r="EP1378" s="4">
        <v>32.5</v>
      </c>
      <c r="EQ1378" s="1">
        <v>1.53</v>
      </c>
      <c r="ES1378" s="4">
        <v>32.5</v>
      </c>
    </row>
    <row r="1379" customHeight="1" spans="1:149">
      <c r="A1379" s="5">
        <v>44</v>
      </c>
      <c r="B1379" s="4" t="s">
        <v>1231</v>
      </c>
      <c r="C1379" s="40" t="s">
        <v>358</v>
      </c>
      <c r="D1379" s="4" t="s">
        <v>1232</v>
      </c>
      <c r="E1379" s="4" t="s">
        <v>1233</v>
      </c>
      <c r="N1379" s="4" t="s">
        <v>567</v>
      </c>
      <c r="O1379" s="4" t="s">
        <v>343</v>
      </c>
      <c r="P1379" s="4">
        <v>2.03</v>
      </c>
      <c r="Q1379" s="4" t="s">
        <v>540</v>
      </c>
      <c r="AB1379" s="4" t="s">
        <v>1234</v>
      </c>
      <c r="AC1379" s="4" t="s">
        <v>1235</v>
      </c>
      <c r="AE1379" s="4" t="s">
        <v>1236</v>
      </c>
      <c r="AF1379" s="4" t="s">
        <v>1237</v>
      </c>
      <c r="AH1379" s="4" t="s">
        <v>596</v>
      </c>
      <c r="AQ1379" s="4" t="s">
        <v>8</v>
      </c>
      <c r="AR1379" s="4">
        <v>0</v>
      </c>
      <c r="BD1379" s="4" t="s">
        <v>1238</v>
      </c>
      <c r="BI1379" s="4" t="s">
        <v>321</v>
      </c>
      <c r="BK1379" s="4">
        <v>5</v>
      </c>
      <c r="BL1379" s="4">
        <v>1</v>
      </c>
      <c r="BM1379" s="4">
        <v>0.07</v>
      </c>
      <c r="BS1379" s="4">
        <v>5.25</v>
      </c>
      <c r="BU1379" s="4">
        <v>30</v>
      </c>
      <c r="BV1379" s="4">
        <v>120</v>
      </c>
      <c r="CB1379" s="4" t="s">
        <v>8</v>
      </c>
      <c r="CC1379" s="4">
        <v>1000</v>
      </c>
      <c r="DO1379" s="4">
        <v>3</v>
      </c>
      <c r="EP1379" s="4">
        <v>46.86</v>
      </c>
      <c r="EQ1379" s="1">
        <v>3.49</v>
      </c>
      <c r="ES1379" s="4">
        <v>46.86</v>
      </c>
    </row>
    <row r="1380" customHeight="1" spans="1:149">
      <c r="A1380" s="5">
        <v>44</v>
      </c>
      <c r="B1380" s="4" t="s">
        <v>1231</v>
      </c>
      <c r="C1380" s="40" t="s">
        <v>358</v>
      </c>
      <c r="D1380" s="4" t="s">
        <v>1232</v>
      </c>
      <c r="E1380" s="4" t="s">
        <v>1233</v>
      </c>
      <c r="N1380" s="4" t="s">
        <v>567</v>
      </c>
      <c r="O1380" s="4" t="s">
        <v>343</v>
      </c>
      <c r="P1380" s="4">
        <v>2.03</v>
      </c>
      <c r="Q1380" s="4" t="s">
        <v>540</v>
      </c>
      <c r="AB1380" s="4" t="s">
        <v>1234</v>
      </c>
      <c r="AC1380" s="4" t="s">
        <v>1235</v>
      </c>
      <c r="AE1380" s="4" t="s">
        <v>1236</v>
      </c>
      <c r="AF1380" s="4" t="s">
        <v>1237</v>
      </c>
      <c r="AH1380" s="4" t="s">
        <v>596</v>
      </c>
      <c r="AQ1380" s="4" t="s">
        <v>8</v>
      </c>
      <c r="AR1380" s="4">
        <v>0</v>
      </c>
      <c r="BD1380" s="4" t="s">
        <v>1238</v>
      </c>
      <c r="BI1380" s="4" t="s">
        <v>321</v>
      </c>
      <c r="BK1380" s="4">
        <v>5</v>
      </c>
      <c r="BL1380" s="4">
        <v>1</v>
      </c>
      <c r="BM1380" s="4">
        <v>0.07</v>
      </c>
      <c r="BN1380" s="4">
        <v>14</v>
      </c>
      <c r="BS1380" s="4">
        <v>5.25</v>
      </c>
      <c r="BV1380" s="4">
        <v>120</v>
      </c>
      <c r="CB1380" s="4" t="s">
        <v>8</v>
      </c>
      <c r="CC1380" s="4">
        <v>200</v>
      </c>
      <c r="DB1380" s="4" t="s">
        <v>430</v>
      </c>
      <c r="DC1380" s="4" t="s">
        <v>1239</v>
      </c>
      <c r="DO1380" s="4">
        <v>3</v>
      </c>
      <c r="EP1380" s="4">
        <v>58.4</v>
      </c>
      <c r="EQ1380" s="1">
        <v>8.41</v>
      </c>
      <c r="ES1380" s="4">
        <v>58.4</v>
      </c>
    </row>
    <row r="1381" customHeight="1" spans="1:149">
      <c r="A1381" s="5">
        <v>44</v>
      </c>
      <c r="B1381" s="4" t="s">
        <v>1231</v>
      </c>
      <c r="C1381" s="40" t="s">
        <v>358</v>
      </c>
      <c r="D1381" s="4" t="s">
        <v>1232</v>
      </c>
      <c r="E1381" s="4" t="s">
        <v>1233</v>
      </c>
      <c r="N1381" s="4" t="s">
        <v>567</v>
      </c>
      <c r="O1381" s="4" t="s">
        <v>343</v>
      </c>
      <c r="P1381" s="4">
        <v>2.03</v>
      </c>
      <c r="Q1381" s="4" t="s">
        <v>540</v>
      </c>
      <c r="AB1381" s="4" t="s">
        <v>1234</v>
      </c>
      <c r="AC1381" s="4" t="s">
        <v>1235</v>
      </c>
      <c r="AE1381" s="4" t="s">
        <v>1236</v>
      </c>
      <c r="AF1381" s="4" t="s">
        <v>1237</v>
      </c>
      <c r="AH1381" s="4" t="s">
        <v>596</v>
      </c>
      <c r="AQ1381" s="4" t="s">
        <v>8</v>
      </c>
      <c r="AR1381" s="4">
        <v>0</v>
      </c>
      <c r="BD1381" s="4" t="s">
        <v>1238</v>
      </c>
      <c r="BI1381" s="4" t="s">
        <v>321</v>
      </c>
      <c r="BK1381" s="4">
        <v>5</v>
      </c>
      <c r="BL1381" s="4">
        <v>1</v>
      </c>
      <c r="BM1381" s="4">
        <v>0.07</v>
      </c>
      <c r="BN1381" s="4">
        <v>14</v>
      </c>
      <c r="BS1381" s="4">
        <v>5.25</v>
      </c>
      <c r="BV1381" s="4">
        <v>120</v>
      </c>
      <c r="CB1381" s="4" t="s">
        <v>8</v>
      </c>
      <c r="CC1381" s="4">
        <v>400</v>
      </c>
      <c r="DB1381" s="4" t="s">
        <v>430</v>
      </c>
      <c r="DC1381" s="4" t="s">
        <v>1239</v>
      </c>
      <c r="DO1381" s="4">
        <v>3</v>
      </c>
      <c r="EP1381" s="4">
        <v>40.34</v>
      </c>
      <c r="EQ1381" s="1">
        <v>2.17</v>
      </c>
      <c r="ES1381" s="4">
        <v>40.34</v>
      </c>
    </row>
    <row r="1382" customHeight="1" spans="1:149">
      <c r="A1382" s="5">
        <v>44</v>
      </c>
      <c r="B1382" s="4" t="s">
        <v>1231</v>
      </c>
      <c r="C1382" s="40" t="s">
        <v>358</v>
      </c>
      <c r="D1382" s="4" t="s">
        <v>1232</v>
      </c>
      <c r="E1382" s="4" t="s">
        <v>1233</v>
      </c>
      <c r="N1382" s="4" t="s">
        <v>567</v>
      </c>
      <c r="O1382" s="4" t="s">
        <v>343</v>
      </c>
      <c r="P1382" s="4">
        <v>2.03</v>
      </c>
      <c r="Q1382" s="4" t="s">
        <v>540</v>
      </c>
      <c r="AB1382" s="4" t="s">
        <v>1234</v>
      </c>
      <c r="AC1382" s="4" t="s">
        <v>1235</v>
      </c>
      <c r="AE1382" s="4" t="s">
        <v>1236</v>
      </c>
      <c r="AF1382" s="4" t="s">
        <v>1237</v>
      </c>
      <c r="AH1382" s="4" t="s">
        <v>596</v>
      </c>
      <c r="AQ1382" s="4" t="s">
        <v>8</v>
      </c>
      <c r="AR1382" s="4">
        <v>0</v>
      </c>
      <c r="BD1382" s="4" t="s">
        <v>1238</v>
      </c>
      <c r="BI1382" s="4" t="s">
        <v>321</v>
      </c>
      <c r="BK1382" s="4">
        <v>5</v>
      </c>
      <c r="BL1382" s="4">
        <v>1</v>
      </c>
      <c r="BM1382" s="4">
        <v>0.07</v>
      </c>
      <c r="BN1382" s="4">
        <v>14</v>
      </c>
      <c r="BS1382" s="4">
        <v>5.25</v>
      </c>
      <c r="BV1382" s="4">
        <v>120</v>
      </c>
      <c r="CB1382" s="4" t="s">
        <v>8</v>
      </c>
      <c r="CC1382" s="4">
        <v>600</v>
      </c>
      <c r="DB1382" s="4" t="s">
        <v>430</v>
      </c>
      <c r="DC1382" s="4" t="s">
        <v>1239</v>
      </c>
      <c r="DO1382" s="4">
        <v>3</v>
      </c>
      <c r="EP1382" s="4">
        <v>32.52</v>
      </c>
      <c r="EQ1382" s="1">
        <v>2.17</v>
      </c>
      <c r="ES1382" s="4">
        <v>32.52</v>
      </c>
    </row>
    <row r="1383" customHeight="1" spans="1:149">
      <c r="A1383" s="5">
        <v>44</v>
      </c>
      <c r="B1383" s="4" t="s">
        <v>1231</v>
      </c>
      <c r="C1383" s="40" t="s">
        <v>358</v>
      </c>
      <c r="D1383" s="4" t="s">
        <v>1232</v>
      </c>
      <c r="E1383" s="4" t="s">
        <v>1233</v>
      </c>
      <c r="N1383" s="4" t="s">
        <v>567</v>
      </c>
      <c r="O1383" s="4" t="s">
        <v>343</v>
      </c>
      <c r="P1383" s="4">
        <v>2.03</v>
      </c>
      <c r="Q1383" s="4" t="s">
        <v>540</v>
      </c>
      <c r="AB1383" s="4" t="s">
        <v>1234</v>
      </c>
      <c r="AC1383" s="4" t="s">
        <v>1235</v>
      </c>
      <c r="AE1383" s="4" t="s">
        <v>1236</v>
      </c>
      <c r="AF1383" s="4" t="s">
        <v>1237</v>
      </c>
      <c r="AH1383" s="4" t="s">
        <v>596</v>
      </c>
      <c r="AQ1383" s="4" t="s">
        <v>8</v>
      </c>
      <c r="AR1383" s="4">
        <v>0</v>
      </c>
      <c r="BD1383" s="4" t="s">
        <v>1238</v>
      </c>
      <c r="BI1383" s="4" t="s">
        <v>321</v>
      </c>
      <c r="BK1383" s="4">
        <v>5</v>
      </c>
      <c r="BL1383" s="4">
        <v>1</v>
      </c>
      <c r="BM1383" s="4">
        <v>0.07</v>
      </c>
      <c r="BN1383" s="4">
        <v>14</v>
      </c>
      <c r="BS1383" s="4">
        <v>5.25</v>
      </c>
      <c r="BV1383" s="4">
        <v>120</v>
      </c>
      <c r="CB1383" s="4" t="s">
        <v>8</v>
      </c>
      <c r="CC1383" s="4">
        <v>1000</v>
      </c>
      <c r="DB1383" s="4" t="s">
        <v>430</v>
      </c>
      <c r="DC1383" s="4" t="s">
        <v>1239</v>
      </c>
      <c r="DO1383" s="4">
        <v>3</v>
      </c>
      <c r="EP1383" s="4">
        <v>26.83</v>
      </c>
      <c r="EQ1383" s="1">
        <v>3.26</v>
      </c>
      <c r="ES1383" s="4">
        <v>26.83</v>
      </c>
    </row>
    <row r="1384" customHeight="1" spans="1:149">
      <c r="A1384" s="5">
        <v>44</v>
      </c>
      <c r="B1384" s="4" t="s">
        <v>1231</v>
      </c>
      <c r="C1384" s="40" t="s">
        <v>358</v>
      </c>
      <c r="D1384" s="4" t="s">
        <v>1232</v>
      </c>
      <c r="E1384" s="4" t="s">
        <v>1233</v>
      </c>
      <c r="N1384" s="4" t="s">
        <v>567</v>
      </c>
      <c r="O1384" s="4" t="s">
        <v>343</v>
      </c>
      <c r="P1384" s="4">
        <v>2.03</v>
      </c>
      <c r="Q1384" s="4" t="s">
        <v>540</v>
      </c>
      <c r="AB1384" s="4" t="s">
        <v>1234</v>
      </c>
      <c r="AC1384" s="4" t="s">
        <v>1235</v>
      </c>
      <c r="AE1384" s="4" t="s">
        <v>1236</v>
      </c>
      <c r="AF1384" s="4" t="s">
        <v>1237</v>
      </c>
      <c r="AH1384" s="4" t="s">
        <v>596</v>
      </c>
      <c r="AQ1384" s="4" t="s">
        <v>8</v>
      </c>
      <c r="AR1384" s="4">
        <v>0</v>
      </c>
      <c r="BD1384" s="4" t="s">
        <v>1238</v>
      </c>
      <c r="BI1384" s="4" t="s">
        <v>321</v>
      </c>
      <c r="BK1384" s="4">
        <v>5</v>
      </c>
      <c r="BL1384" s="4">
        <v>1</v>
      </c>
      <c r="BM1384" s="4">
        <v>0.07</v>
      </c>
      <c r="BS1384" s="4">
        <v>3</v>
      </c>
      <c r="BV1384" s="4">
        <v>120</v>
      </c>
      <c r="CB1384" s="4" t="s">
        <v>8</v>
      </c>
      <c r="CC1384" s="4">
        <v>1000</v>
      </c>
      <c r="DO1384" s="4">
        <v>3</v>
      </c>
      <c r="EP1384" s="4">
        <v>36.64</v>
      </c>
      <c r="EQ1384" s="36">
        <v>1.17</v>
      </c>
      <c r="ER1384" s="36"/>
      <c r="ES1384" s="4">
        <v>36.64</v>
      </c>
    </row>
    <row r="1385" customHeight="1" spans="1:149">
      <c r="A1385" s="5">
        <v>44</v>
      </c>
      <c r="B1385" s="4" t="s">
        <v>1231</v>
      </c>
      <c r="C1385" s="40" t="s">
        <v>358</v>
      </c>
      <c r="D1385" s="4" t="s">
        <v>1232</v>
      </c>
      <c r="E1385" s="4" t="s">
        <v>1233</v>
      </c>
      <c r="N1385" s="4" t="s">
        <v>567</v>
      </c>
      <c r="O1385" s="4" t="s">
        <v>343</v>
      </c>
      <c r="P1385" s="4">
        <v>2.03</v>
      </c>
      <c r="Q1385" s="4" t="s">
        <v>540</v>
      </c>
      <c r="AB1385" s="4" t="s">
        <v>1234</v>
      </c>
      <c r="AC1385" s="4" t="s">
        <v>1235</v>
      </c>
      <c r="AE1385" s="4" t="s">
        <v>1236</v>
      </c>
      <c r="AF1385" s="4" t="s">
        <v>1237</v>
      </c>
      <c r="AH1385" s="4" t="s">
        <v>596</v>
      </c>
      <c r="AQ1385" s="4" t="s">
        <v>8</v>
      </c>
      <c r="AR1385" s="4">
        <v>0</v>
      </c>
      <c r="BD1385" s="4" t="s">
        <v>1238</v>
      </c>
      <c r="BI1385" s="4" t="s">
        <v>321</v>
      </c>
      <c r="BK1385" s="4">
        <v>5</v>
      </c>
      <c r="BL1385" s="4">
        <v>1</v>
      </c>
      <c r="BM1385" s="4">
        <v>0.07</v>
      </c>
      <c r="BS1385" s="4">
        <v>5</v>
      </c>
      <c r="BV1385" s="4">
        <v>120</v>
      </c>
      <c r="CB1385" s="4" t="s">
        <v>8</v>
      </c>
      <c r="CC1385" s="4">
        <v>1000</v>
      </c>
      <c r="DO1385" s="4">
        <v>3</v>
      </c>
      <c r="EP1385" s="4">
        <v>42.04</v>
      </c>
      <c r="EQ1385" s="36">
        <v>0.95</v>
      </c>
      <c r="ER1385" s="36"/>
      <c r="ES1385" s="4">
        <v>42.04</v>
      </c>
    </row>
    <row r="1386" customHeight="1" spans="1:149">
      <c r="A1386" s="5">
        <v>44</v>
      </c>
      <c r="B1386" s="4" t="s">
        <v>1231</v>
      </c>
      <c r="C1386" s="40" t="s">
        <v>358</v>
      </c>
      <c r="D1386" s="4" t="s">
        <v>1232</v>
      </c>
      <c r="E1386" s="4" t="s">
        <v>1233</v>
      </c>
      <c r="N1386" s="4" t="s">
        <v>567</v>
      </c>
      <c r="O1386" s="4" t="s">
        <v>343</v>
      </c>
      <c r="P1386" s="4">
        <v>2.03</v>
      </c>
      <c r="Q1386" s="4" t="s">
        <v>540</v>
      </c>
      <c r="AB1386" s="4" t="s">
        <v>1234</v>
      </c>
      <c r="AC1386" s="4" t="s">
        <v>1235</v>
      </c>
      <c r="AE1386" s="4" t="s">
        <v>1236</v>
      </c>
      <c r="AF1386" s="4" t="s">
        <v>1237</v>
      </c>
      <c r="AH1386" s="4" t="s">
        <v>596</v>
      </c>
      <c r="AQ1386" s="4" t="s">
        <v>8</v>
      </c>
      <c r="AR1386" s="4">
        <v>0</v>
      </c>
      <c r="BD1386" s="4" t="s">
        <v>1238</v>
      </c>
      <c r="BI1386" s="4" t="s">
        <v>321</v>
      </c>
      <c r="BK1386" s="4">
        <v>5</v>
      </c>
      <c r="BL1386" s="4">
        <v>1</v>
      </c>
      <c r="BM1386" s="4">
        <v>0.07</v>
      </c>
      <c r="BS1386" s="4">
        <v>7</v>
      </c>
      <c r="BV1386" s="4">
        <v>120</v>
      </c>
      <c r="CB1386" s="4" t="s">
        <v>8</v>
      </c>
      <c r="CC1386" s="4">
        <v>1000</v>
      </c>
      <c r="DO1386" s="4">
        <v>3</v>
      </c>
      <c r="EP1386" s="4">
        <v>47.76</v>
      </c>
      <c r="EQ1386" s="36">
        <v>2.44</v>
      </c>
      <c r="ER1386" s="36"/>
      <c r="ES1386" s="4">
        <v>47.76</v>
      </c>
    </row>
    <row r="1387" customHeight="1" spans="1:149">
      <c r="A1387" s="5">
        <v>44</v>
      </c>
      <c r="B1387" s="4" t="s">
        <v>1231</v>
      </c>
      <c r="C1387" s="40" t="s">
        <v>358</v>
      </c>
      <c r="D1387" s="4" t="s">
        <v>1232</v>
      </c>
      <c r="E1387" s="4" t="s">
        <v>1233</v>
      </c>
      <c r="N1387" s="4" t="s">
        <v>567</v>
      </c>
      <c r="O1387" s="4" t="s">
        <v>343</v>
      </c>
      <c r="P1387" s="4">
        <v>2.03</v>
      </c>
      <c r="Q1387" s="4" t="s">
        <v>540</v>
      </c>
      <c r="AB1387" s="4" t="s">
        <v>1234</v>
      </c>
      <c r="AC1387" s="4" t="s">
        <v>1235</v>
      </c>
      <c r="AE1387" s="4" t="s">
        <v>1236</v>
      </c>
      <c r="AF1387" s="4" t="s">
        <v>1237</v>
      </c>
      <c r="AH1387" s="4" t="s">
        <v>596</v>
      </c>
      <c r="AQ1387" s="4" t="s">
        <v>8</v>
      </c>
      <c r="AR1387" s="4">
        <v>0</v>
      </c>
      <c r="BD1387" s="4" t="s">
        <v>1238</v>
      </c>
      <c r="BI1387" s="4" t="s">
        <v>321</v>
      </c>
      <c r="BK1387" s="4">
        <v>5</v>
      </c>
      <c r="BL1387" s="4">
        <v>1</v>
      </c>
      <c r="BM1387" s="4">
        <v>0.07</v>
      </c>
      <c r="BS1387" s="4">
        <v>10</v>
      </c>
      <c r="BV1387" s="4">
        <v>120</v>
      </c>
      <c r="CB1387" s="4" t="s">
        <v>8</v>
      </c>
      <c r="CC1387" s="4">
        <v>1000</v>
      </c>
      <c r="DO1387" s="4">
        <v>3</v>
      </c>
      <c r="EP1387" s="4">
        <v>40.77</v>
      </c>
      <c r="EQ1387" s="36">
        <v>1.27</v>
      </c>
      <c r="ER1387" s="36"/>
      <c r="ES1387" s="4">
        <v>40.77</v>
      </c>
    </row>
    <row r="1388" customHeight="1" spans="1:149">
      <c r="A1388" s="5">
        <v>44</v>
      </c>
      <c r="B1388" s="4" t="s">
        <v>1231</v>
      </c>
      <c r="C1388" s="40" t="s">
        <v>358</v>
      </c>
      <c r="D1388" s="4" t="s">
        <v>1232</v>
      </c>
      <c r="E1388" s="4" t="s">
        <v>1233</v>
      </c>
      <c r="N1388" s="4" t="s">
        <v>567</v>
      </c>
      <c r="O1388" s="4" t="s">
        <v>343</v>
      </c>
      <c r="P1388" s="4">
        <v>2.03</v>
      </c>
      <c r="Q1388" s="4" t="s">
        <v>540</v>
      </c>
      <c r="AB1388" s="4" t="s">
        <v>1234</v>
      </c>
      <c r="AC1388" s="4" t="s">
        <v>1235</v>
      </c>
      <c r="AE1388" s="4" t="s">
        <v>1236</v>
      </c>
      <c r="AF1388" s="4" t="s">
        <v>1237</v>
      </c>
      <c r="AH1388" s="4" t="s">
        <v>596</v>
      </c>
      <c r="AQ1388" s="4" t="s">
        <v>8</v>
      </c>
      <c r="AR1388" s="4">
        <v>0</v>
      </c>
      <c r="BD1388" s="4" t="s">
        <v>1238</v>
      </c>
      <c r="BL1388" s="4">
        <v>1</v>
      </c>
      <c r="BW1388" s="4" t="s">
        <v>311</v>
      </c>
      <c r="CV1388" s="4">
        <v>90</v>
      </c>
      <c r="CX1388" s="4" t="s">
        <v>314</v>
      </c>
      <c r="DM1388" s="4">
        <v>10</v>
      </c>
      <c r="DO1388" s="4">
        <v>3</v>
      </c>
      <c r="EL1388" s="4">
        <v>4.89</v>
      </c>
      <c r="EP1388" s="4"/>
      <c r="ES1388" s="4"/>
    </row>
    <row r="1389" customHeight="1" spans="1:149">
      <c r="A1389" s="5">
        <v>44</v>
      </c>
      <c r="B1389" s="4" t="s">
        <v>1231</v>
      </c>
      <c r="C1389" s="40" t="s">
        <v>358</v>
      </c>
      <c r="D1389" s="4" t="s">
        <v>1232</v>
      </c>
      <c r="E1389" s="4" t="s">
        <v>1233</v>
      </c>
      <c r="N1389" s="4" t="s">
        <v>567</v>
      </c>
      <c r="O1389" s="4" t="s">
        <v>343</v>
      </c>
      <c r="P1389" s="4">
        <v>2.03</v>
      </c>
      <c r="Q1389" s="4" t="s">
        <v>540</v>
      </c>
      <c r="AB1389" s="4" t="s">
        <v>1234</v>
      </c>
      <c r="AC1389" s="4" t="s">
        <v>1235</v>
      </c>
      <c r="AE1389" s="4" t="s">
        <v>1236</v>
      </c>
      <c r="AF1389" s="4" t="s">
        <v>1237</v>
      </c>
      <c r="AH1389" s="4" t="s">
        <v>596</v>
      </c>
      <c r="AQ1389" s="4" t="s">
        <v>8</v>
      </c>
      <c r="AR1389" s="4">
        <v>0</v>
      </c>
      <c r="BD1389" s="4" t="s">
        <v>1238</v>
      </c>
      <c r="BI1389" s="4" t="s">
        <v>321</v>
      </c>
      <c r="BM1389" s="4">
        <v>0</v>
      </c>
      <c r="BS1389" s="4" t="s">
        <v>1240</v>
      </c>
      <c r="BU1389" s="41" t="s">
        <v>398</v>
      </c>
      <c r="CB1389" s="4" t="s">
        <v>8</v>
      </c>
      <c r="DO1389" s="4">
        <v>3</v>
      </c>
      <c r="EF1389" s="4">
        <v>41.23</v>
      </c>
      <c r="EH1389" s="4">
        <v>41.23</v>
      </c>
      <c r="EI1389" s="1">
        <v>0.74</v>
      </c>
      <c r="EP1389" s="4"/>
      <c r="ER1389" s="1">
        <f>(EF1389-EH1389)/EF1389*100</f>
        <v>0</v>
      </c>
      <c r="ES1389" s="4">
        <v>0</v>
      </c>
    </row>
    <row r="1390" customHeight="1" spans="1:149">
      <c r="A1390" s="5">
        <v>44</v>
      </c>
      <c r="B1390" s="4" t="s">
        <v>1231</v>
      </c>
      <c r="C1390" s="40" t="s">
        <v>358</v>
      </c>
      <c r="D1390" s="4" t="s">
        <v>1232</v>
      </c>
      <c r="E1390" s="4" t="s">
        <v>1233</v>
      </c>
      <c r="N1390" s="4" t="s">
        <v>567</v>
      </c>
      <c r="O1390" s="4" t="s">
        <v>343</v>
      </c>
      <c r="P1390" s="4">
        <v>2.03</v>
      </c>
      <c r="Q1390" s="4" t="s">
        <v>540</v>
      </c>
      <c r="AB1390" s="4" t="s">
        <v>1234</v>
      </c>
      <c r="AC1390" s="4" t="s">
        <v>1235</v>
      </c>
      <c r="AE1390" s="4" t="s">
        <v>1236</v>
      </c>
      <c r="AF1390" s="4" t="s">
        <v>1237</v>
      </c>
      <c r="AH1390" s="4" t="s">
        <v>596</v>
      </c>
      <c r="AQ1390" s="4" t="s">
        <v>8</v>
      </c>
      <c r="AR1390" s="4">
        <v>0</v>
      </c>
      <c r="BD1390" s="4" t="s">
        <v>1238</v>
      </c>
      <c r="BI1390" s="4" t="s">
        <v>321</v>
      </c>
      <c r="BM1390" s="4">
        <v>0.07</v>
      </c>
      <c r="BS1390" s="4" t="s">
        <v>1240</v>
      </c>
      <c r="BU1390" s="41" t="s">
        <v>398</v>
      </c>
      <c r="CB1390" s="4" t="s">
        <v>8</v>
      </c>
      <c r="DO1390" s="4">
        <v>3</v>
      </c>
      <c r="EF1390" s="4">
        <v>41.23</v>
      </c>
      <c r="EH1390" s="4">
        <v>5.63</v>
      </c>
      <c r="EI1390" s="1">
        <v>0.43</v>
      </c>
      <c r="EP1390" s="4"/>
      <c r="ER1390" s="1">
        <f>(EF1390-EH1390)/EF1390*100</f>
        <v>86.3448944943003</v>
      </c>
      <c r="ES1390" s="4">
        <v>86.3448944943003</v>
      </c>
    </row>
    <row r="1391" customHeight="1" spans="1:149">
      <c r="A1391" s="5">
        <v>44</v>
      </c>
      <c r="B1391" s="4" t="s">
        <v>1231</v>
      </c>
      <c r="C1391" s="40" t="s">
        <v>1241</v>
      </c>
      <c r="D1391" s="4" t="s">
        <v>1242</v>
      </c>
      <c r="E1391" s="4" t="s">
        <v>1243</v>
      </c>
      <c r="AB1391" s="4" t="s">
        <v>1244</v>
      </c>
      <c r="AC1391" s="4" t="s">
        <v>1245</v>
      </c>
      <c r="AE1391" s="4" t="s">
        <v>1246</v>
      </c>
      <c r="AF1391" s="4" t="s">
        <v>1247</v>
      </c>
      <c r="AH1391" s="4" t="s">
        <v>596</v>
      </c>
      <c r="AQ1391" s="4" t="s">
        <v>8</v>
      </c>
      <c r="AR1391" s="4">
        <v>0</v>
      </c>
      <c r="BD1391" s="4" t="s">
        <v>1238</v>
      </c>
      <c r="BI1391" s="4" t="s">
        <v>321</v>
      </c>
      <c r="BK1391" s="4">
        <v>5</v>
      </c>
      <c r="BL1391" s="4">
        <v>1</v>
      </c>
      <c r="BM1391" s="4">
        <v>0.01</v>
      </c>
      <c r="BS1391" s="4">
        <v>5.25</v>
      </c>
      <c r="BU1391" s="4">
        <v>30</v>
      </c>
      <c r="BV1391" s="4">
        <v>120</v>
      </c>
      <c r="CB1391" s="4" t="s">
        <v>8</v>
      </c>
      <c r="CC1391" s="4">
        <v>1000</v>
      </c>
      <c r="DO1391" s="4">
        <v>3</v>
      </c>
      <c r="EP1391" s="4">
        <v>64.32</v>
      </c>
      <c r="EQ1391" s="1">
        <v>0.28</v>
      </c>
      <c r="ES1391" s="4">
        <v>64.32</v>
      </c>
    </row>
    <row r="1392" customHeight="1" spans="1:149">
      <c r="A1392" s="5">
        <v>44</v>
      </c>
      <c r="B1392" s="4" t="s">
        <v>1231</v>
      </c>
      <c r="C1392" s="40" t="s">
        <v>1241</v>
      </c>
      <c r="D1392" s="4" t="s">
        <v>1242</v>
      </c>
      <c r="E1392" s="4" t="s">
        <v>1243</v>
      </c>
      <c r="AB1392" s="4" t="s">
        <v>1244</v>
      </c>
      <c r="AC1392" s="4" t="s">
        <v>1245</v>
      </c>
      <c r="AE1392" s="4" t="s">
        <v>1246</v>
      </c>
      <c r="AF1392" s="4" t="s">
        <v>1247</v>
      </c>
      <c r="AH1392" s="4" t="s">
        <v>596</v>
      </c>
      <c r="AQ1392" s="4" t="s">
        <v>8</v>
      </c>
      <c r="AR1392" s="4">
        <v>0</v>
      </c>
      <c r="BD1392" s="4" t="s">
        <v>1238</v>
      </c>
      <c r="BI1392" s="4" t="s">
        <v>321</v>
      </c>
      <c r="BK1392" s="4">
        <v>5</v>
      </c>
      <c r="BL1392" s="4">
        <v>1</v>
      </c>
      <c r="BM1392" s="4">
        <v>0.03</v>
      </c>
      <c r="BS1392" s="4">
        <v>5.25</v>
      </c>
      <c r="BU1392" s="4">
        <v>30</v>
      </c>
      <c r="BV1392" s="4">
        <v>120</v>
      </c>
      <c r="CB1392" s="4" t="s">
        <v>8</v>
      </c>
      <c r="CC1392" s="4">
        <v>1000</v>
      </c>
      <c r="DO1392" s="4">
        <v>3</v>
      </c>
      <c r="EP1392" s="4">
        <v>83.54</v>
      </c>
      <c r="EQ1392" s="1">
        <v>1.12</v>
      </c>
      <c r="ES1392" s="4">
        <v>83.54</v>
      </c>
    </row>
    <row r="1393" customHeight="1" spans="1:149">
      <c r="A1393" s="5">
        <v>44</v>
      </c>
      <c r="B1393" s="4" t="s">
        <v>1231</v>
      </c>
      <c r="C1393" s="40" t="s">
        <v>1241</v>
      </c>
      <c r="D1393" s="4" t="s">
        <v>1242</v>
      </c>
      <c r="E1393" s="4" t="s">
        <v>1243</v>
      </c>
      <c r="AB1393" s="4" t="s">
        <v>1244</v>
      </c>
      <c r="AC1393" s="4" t="s">
        <v>1245</v>
      </c>
      <c r="AE1393" s="4" t="s">
        <v>1246</v>
      </c>
      <c r="AF1393" s="4" t="s">
        <v>1247</v>
      </c>
      <c r="AH1393" s="4" t="s">
        <v>596</v>
      </c>
      <c r="AQ1393" s="4" t="s">
        <v>8</v>
      </c>
      <c r="AR1393" s="4">
        <v>0</v>
      </c>
      <c r="BD1393" s="4" t="s">
        <v>1238</v>
      </c>
      <c r="BI1393" s="4" t="s">
        <v>321</v>
      </c>
      <c r="BK1393" s="4">
        <v>5</v>
      </c>
      <c r="BL1393" s="4">
        <v>1</v>
      </c>
      <c r="BM1393" s="4">
        <v>0.05</v>
      </c>
      <c r="BS1393" s="4">
        <v>5.25</v>
      </c>
      <c r="BU1393" s="4">
        <v>30</v>
      </c>
      <c r="BV1393" s="4">
        <v>120</v>
      </c>
      <c r="CB1393" s="4" t="s">
        <v>8</v>
      </c>
      <c r="CC1393" s="4">
        <v>1000</v>
      </c>
      <c r="DO1393" s="4">
        <v>3</v>
      </c>
      <c r="EP1393" s="4">
        <v>91.91</v>
      </c>
      <c r="EQ1393" s="1">
        <v>1.12</v>
      </c>
      <c r="ES1393" s="4">
        <v>91.91</v>
      </c>
    </row>
    <row r="1394" customHeight="1" spans="1:149">
      <c r="A1394" s="5">
        <v>44</v>
      </c>
      <c r="B1394" s="4" t="s">
        <v>1231</v>
      </c>
      <c r="C1394" s="40" t="s">
        <v>1241</v>
      </c>
      <c r="D1394" s="4" t="s">
        <v>1242</v>
      </c>
      <c r="E1394" s="4" t="s">
        <v>1243</v>
      </c>
      <c r="AB1394" s="4" t="s">
        <v>1244</v>
      </c>
      <c r="AC1394" s="4" t="s">
        <v>1245</v>
      </c>
      <c r="AE1394" s="4" t="s">
        <v>1246</v>
      </c>
      <c r="AF1394" s="4" t="s">
        <v>1247</v>
      </c>
      <c r="AH1394" s="4" t="s">
        <v>596</v>
      </c>
      <c r="AQ1394" s="4" t="s">
        <v>8</v>
      </c>
      <c r="AR1394" s="4">
        <v>0</v>
      </c>
      <c r="BD1394" s="4" t="s">
        <v>1238</v>
      </c>
      <c r="BI1394" s="4" t="s">
        <v>321</v>
      </c>
      <c r="BK1394" s="4">
        <v>5</v>
      </c>
      <c r="BL1394" s="4">
        <v>1</v>
      </c>
      <c r="BM1394" s="4">
        <v>0.07</v>
      </c>
      <c r="BS1394" s="4">
        <v>5.25</v>
      </c>
      <c r="BU1394" s="4">
        <v>30</v>
      </c>
      <c r="BV1394" s="4">
        <v>120</v>
      </c>
      <c r="CB1394" s="4" t="s">
        <v>8</v>
      </c>
      <c r="CC1394" s="4">
        <v>1000</v>
      </c>
      <c r="DO1394" s="4">
        <v>3</v>
      </c>
      <c r="EP1394" s="4">
        <v>98.61</v>
      </c>
      <c r="EQ1394" s="1">
        <v>0.14</v>
      </c>
      <c r="ES1394" s="4">
        <v>98.61</v>
      </c>
    </row>
    <row r="1395" customHeight="1" spans="1:149">
      <c r="A1395" s="5">
        <v>44</v>
      </c>
      <c r="B1395" s="4" t="s">
        <v>1231</v>
      </c>
      <c r="C1395" s="40" t="s">
        <v>1241</v>
      </c>
      <c r="D1395" s="4" t="s">
        <v>1242</v>
      </c>
      <c r="E1395" s="4" t="s">
        <v>1243</v>
      </c>
      <c r="AB1395" s="4" t="s">
        <v>1244</v>
      </c>
      <c r="AC1395" s="4" t="s">
        <v>1245</v>
      </c>
      <c r="AE1395" s="4" t="s">
        <v>1246</v>
      </c>
      <c r="AF1395" s="4" t="s">
        <v>1247</v>
      </c>
      <c r="AH1395" s="4" t="s">
        <v>596</v>
      </c>
      <c r="AQ1395" s="4" t="s">
        <v>8</v>
      </c>
      <c r="AR1395" s="4">
        <v>0</v>
      </c>
      <c r="BD1395" s="4" t="s">
        <v>1238</v>
      </c>
      <c r="BI1395" s="4" t="s">
        <v>321</v>
      </c>
      <c r="BK1395" s="4">
        <v>5</v>
      </c>
      <c r="BL1395" s="4">
        <v>1</v>
      </c>
      <c r="BM1395" s="4">
        <v>0.03</v>
      </c>
      <c r="BS1395" s="4">
        <v>5.25</v>
      </c>
      <c r="BV1395" s="4">
        <v>120</v>
      </c>
      <c r="CB1395" s="4" t="s">
        <v>8</v>
      </c>
      <c r="CC1395" s="4">
        <v>200</v>
      </c>
      <c r="DB1395" s="4" t="s">
        <v>430</v>
      </c>
      <c r="DC1395" s="4" t="s">
        <v>1239</v>
      </c>
      <c r="DO1395" s="4">
        <v>3</v>
      </c>
      <c r="EP1395" s="4">
        <v>88.48</v>
      </c>
      <c r="EQ1395" s="1">
        <v>0.41</v>
      </c>
      <c r="ES1395" s="4">
        <v>88.48</v>
      </c>
    </row>
    <row r="1396" customHeight="1" spans="1:149">
      <c r="A1396" s="5">
        <v>44</v>
      </c>
      <c r="B1396" s="4" t="s">
        <v>1231</v>
      </c>
      <c r="C1396" s="40" t="s">
        <v>1241</v>
      </c>
      <c r="D1396" s="4" t="s">
        <v>1242</v>
      </c>
      <c r="E1396" s="4" t="s">
        <v>1243</v>
      </c>
      <c r="AB1396" s="4" t="s">
        <v>1244</v>
      </c>
      <c r="AC1396" s="4" t="s">
        <v>1245</v>
      </c>
      <c r="AE1396" s="4" t="s">
        <v>1246</v>
      </c>
      <c r="AF1396" s="4" t="s">
        <v>1247</v>
      </c>
      <c r="AH1396" s="4" t="s">
        <v>596</v>
      </c>
      <c r="AQ1396" s="4" t="s">
        <v>8</v>
      </c>
      <c r="AR1396" s="4">
        <v>0</v>
      </c>
      <c r="BD1396" s="4" t="s">
        <v>1238</v>
      </c>
      <c r="BI1396" s="4" t="s">
        <v>321</v>
      </c>
      <c r="BK1396" s="4">
        <v>5</v>
      </c>
      <c r="BL1396" s="4">
        <v>1</v>
      </c>
      <c r="BM1396" s="4">
        <v>0.03</v>
      </c>
      <c r="BS1396" s="4">
        <v>5.25</v>
      </c>
      <c r="BV1396" s="4">
        <v>120</v>
      </c>
      <c r="CB1396" s="4" t="s">
        <v>8</v>
      </c>
      <c r="CC1396" s="4">
        <v>400</v>
      </c>
      <c r="DB1396" s="4" t="s">
        <v>430</v>
      </c>
      <c r="DC1396" s="4" t="s">
        <v>1239</v>
      </c>
      <c r="DO1396" s="4">
        <v>3</v>
      </c>
      <c r="EP1396" s="4">
        <v>76.96</v>
      </c>
      <c r="EQ1396" s="1">
        <v>1.09</v>
      </c>
      <c r="ES1396" s="4">
        <v>76.96</v>
      </c>
    </row>
    <row r="1397" customHeight="1" spans="1:149">
      <c r="A1397" s="5">
        <v>44</v>
      </c>
      <c r="B1397" s="4" t="s">
        <v>1231</v>
      </c>
      <c r="C1397" s="40" t="s">
        <v>1241</v>
      </c>
      <c r="D1397" s="4" t="s">
        <v>1242</v>
      </c>
      <c r="E1397" s="4" t="s">
        <v>1243</v>
      </c>
      <c r="AB1397" s="4" t="s">
        <v>1244</v>
      </c>
      <c r="AC1397" s="4" t="s">
        <v>1245</v>
      </c>
      <c r="AE1397" s="4" t="s">
        <v>1246</v>
      </c>
      <c r="AF1397" s="4" t="s">
        <v>1247</v>
      </c>
      <c r="AH1397" s="4" t="s">
        <v>596</v>
      </c>
      <c r="AQ1397" s="4" t="s">
        <v>8</v>
      </c>
      <c r="AR1397" s="4">
        <v>0</v>
      </c>
      <c r="BD1397" s="4" t="s">
        <v>1238</v>
      </c>
      <c r="BI1397" s="4" t="s">
        <v>321</v>
      </c>
      <c r="BK1397" s="4">
        <v>5</v>
      </c>
      <c r="BL1397" s="4">
        <v>1</v>
      </c>
      <c r="BM1397" s="4">
        <v>0.03</v>
      </c>
      <c r="BS1397" s="4">
        <v>5.25</v>
      </c>
      <c r="BV1397" s="4">
        <v>120</v>
      </c>
      <c r="CB1397" s="4" t="s">
        <v>8</v>
      </c>
      <c r="CC1397" s="4">
        <v>600</v>
      </c>
      <c r="DB1397" s="4" t="s">
        <v>430</v>
      </c>
      <c r="DC1397" s="4" t="s">
        <v>1239</v>
      </c>
      <c r="DO1397" s="4">
        <v>3</v>
      </c>
      <c r="EP1397" s="4">
        <v>69.24</v>
      </c>
      <c r="EQ1397" s="1">
        <v>0.14</v>
      </c>
      <c r="ES1397" s="4">
        <v>69.24</v>
      </c>
    </row>
    <row r="1398" customHeight="1" spans="1:149">
      <c r="A1398" s="5">
        <v>44</v>
      </c>
      <c r="B1398" s="4" t="s">
        <v>1231</v>
      </c>
      <c r="C1398" s="40" t="s">
        <v>1241</v>
      </c>
      <c r="D1398" s="4" t="s">
        <v>1242</v>
      </c>
      <c r="E1398" s="4" t="s">
        <v>1243</v>
      </c>
      <c r="AB1398" s="4" t="s">
        <v>1244</v>
      </c>
      <c r="AC1398" s="4" t="s">
        <v>1245</v>
      </c>
      <c r="AE1398" s="4" t="s">
        <v>1246</v>
      </c>
      <c r="AF1398" s="4" t="s">
        <v>1247</v>
      </c>
      <c r="AH1398" s="4" t="s">
        <v>596</v>
      </c>
      <c r="AQ1398" s="4" t="s">
        <v>8</v>
      </c>
      <c r="AR1398" s="4">
        <v>0</v>
      </c>
      <c r="BD1398" s="4" t="s">
        <v>1238</v>
      </c>
      <c r="BI1398" s="4" t="s">
        <v>321</v>
      </c>
      <c r="BK1398" s="4">
        <v>5</v>
      </c>
      <c r="BL1398" s="4">
        <v>1</v>
      </c>
      <c r="BM1398" s="4">
        <v>0.03</v>
      </c>
      <c r="BS1398" s="4">
        <v>5.25</v>
      </c>
      <c r="BV1398" s="4">
        <v>120</v>
      </c>
      <c r="CB1398" s="4" t="s">
        <v>8</v>
      </c>
      <c r="CC1398" s="4">
        <v>1000</v>
      </c>
      <c r="DB1398" s="4" t="s">
        <v>430</v>
      </c>
      <c r="DC1398" s="4" t="s">
        <v>1239</v>
      </c>
      <c r="DO1398" s="4">
        <v>3</v>
      </c>
      <c r="EP1398" s="4">
        <v>64.33</v>
      </c>
      <c r="EQ1398" s="1">
        <v>0.14</v>
      </c>
      <c r="ES1398" s="4">
        <v>64.33</v>
      </c>
    </row>
    <row r="1399" customHeight="1" spans="1:149">
      <c r="A1399" s="5">
        <v>44</v>
      </c>
      <c r="B1399" s="4" t="s">
        <v>1231</v>
      </c>
      <c r="C1399" s="40" t="s">
        <v>1241</v>
      </c>
      <c r="D1399" s="4" t="s">
        <v>1242</v>
      </c>
      <c r="E1399" s="4" t="s">
        <v>1243</v>
      </c>
      <c r="AB1399" s="4" t="s">
        <v>1244</v>
      </c>
      <c r="AC1399" s="4" t="s">
        <v>1245</v>
      </c>
      <c r="AE1399" s="4" t="s">
        <v>1246</v>
      </c>
      <c r="AF1399" s="4" t="s">
        <v>1247</v>
      </c>
      <c r="AH1399" s="4" t="s">
        <v>596</v>
      </c>
      <c r="AQ1399" s="4" t="s">
        <v>8</v>
      </c>
      <c r="AR1399" s="4">
        <v>0</v>
      </c>
      <c r="BD1399" s="4" t="s">
        <v>1238</v>
      </c>
      <c r="BI1399" s="4" t="s">
        <v>321</v>
      </c>
      <c r="BK1399" s="4">
        <v>5</v>
      </c>
      <c r="BL1399" s="4">
        <v>1</v>
      </c>
      <c r="BM1399" s="4">
        <v>0.5</v>
      </c>
      <c r="BS1399" s="4">
        <v>3</v>
      </c>
      <c r="BV1399" s="4">
        <v>120</v>
      </c>
      <c r="CB1399" s="4" t="s">
        <v>8</v>
      </c>
      <c r="CC1399" s="4">
        <v>1000</v>
      </c>
      <c r="DO1399" s="4">
        <v>3</v>
      </c>
      <c r="EP1399" s="4">
        <v>90.15</v>
      </c>
      <c r="EQ1399" s="1">
        <v>1.49</v>
      </c>
      <c r="ES1399" s="4">
        <v>90.15</v>
      </c>
    </row>
    <row r="1400" customHeight="1" spans="1:149">
      <c r="A1400" s="5">
        <v>44</v>
      </c>
      <c r="B1400" s="4" t="s">
        <v>1231</v>
      </c>
      <c r="C1400" s="40" t="s">
        <v>1241</v>
      </c>
      <c r="D1400" s="4" t="s">
        <v>1242</v>
      </c>
      <c r="E1400" s="4" t="s">
        <v>1243</v>
      </c>
      <c r="AB1400" s="4" t="s">
        <v>1244</v>
      </c>
      <c r="AC1400" s="4" t="s">
        <v>1245</v>
      </c>
      <c r="AE1400" s="4" t="s">
        <v>1246</v>
      </c>
      <c r="AF1400" s="4" t="s">
        <v>1247</v>
      </c>
      <c r="AH1400" s="4" t="s">
        <v>596</v>
      </c>
      <c r="AQ1400" s="4" t="s">
        <v>8</v>
      </c>
      <c r="AR1400" s="4">
        <v>0</v>
      </c>
      <c r="BD1400" s="4" t="s">
        <v>1238</v>
      </c>
      <c r="BI1400" s="4" t="s">
        <v>321</v>
      </c>
      <c r="BK1400" s="4">
        <v>5</v>
      </c>
      <c r="BL1400" s="4">
        <v>1</v>
      </c>
      <c r="BM1400" s="4">
        <v>0.5</v>
      </c>
      <c r="BS1400" s="4">
        <v>5</v>
      </c>
      <c r="BV1400" s="4">
        <v>120</v>
      </c>
      <c r="CB1400" s="4" t="s">
        <v>8</v>
      </c>
      <c r="CC1400" s="4">
        <v>1000</v>
      </c>
      <c r="DO1400" s="4">
        <v>3</v>
      </c>
      <c r="EP1400" s="4">
        <v>83.47</v>
      </c>
      <c r="EQ1400" s="1">
        <v>0.53</v>
      </c>
      <c r="ES1400" s="4">
        <v>83.47</v>
      </c>
    </row>
    <row r="1401" customHeight="1" spans="1:149">
      <c r="A1401" s="5">
        <v>44</v>
      </c>
      <c r="B1401" s="4" t="s">
        <v>1231</v>
      </c>
      <c r="C1401" s="40" t="s">
        <v>1241</v>
      </c>
      <c r="D1401" s="4" t="s">
        <v>1242</v>
      </c>
      <c r="E1401" s="4" t="s">
        <v>1243</v>
      </c>
      <c r="AB1401" s="4" t="s">
        <v>1244</v>
      </c>
      <c r="AC1401" s="4" t="s">
        <v>1245</v>
      </c>
      <c r="AE1401" s="4" t="s">
        <v>1246</v>
      </c>
      <c r="AF1401" s="4" t="s">
        <v>1247</v>
      </c>
      <c r="AH1401" s="4" t="s">
        <v>596</v>
      </c>
      <c r="AQ1401" s="4" t="s">
        <v>8</v>
      </c>
      <c r="AR1401" s="4">
        <v>0</v>
      </c>
      <c r="BD1401" s="4" t="s">
        <v>1238</v>
      </c>
      <c r="BI1401" s="4" t="s">
        <v>321</v>
      </c>
      <c r="BK1401" s="4">
        <v>5</v>
      </c>
      <c r="BL1401" s="4">
        <v>1</v>
      </c>
      <c r="BM1401" s="4">
        <v>0.5</v>
      </c>
      <c r="BS1401" s="4">
        <v>7</v>
      </c>
      <c r="BV1401" s="4">
        <v>120</v>
      </c>
      <c r="CB1401" s="4" t="s">
        <v>8</v>
      </c>
      <c r="CC1401" s="4">
        <v>1000</v>
      </c>
      <c r="DO1401" s="4">
        <v>3</v>
      </c>
      <c r="EP1401" s="4">
        <v>96.33</v>
      </c>
      <c r="EQ1401" s="1">
        <v>0.11</v>
      </c>
      <c r="ES1401" s="4">
        <v>96.33</v>
      </c>
    </row>
    <row r="1402" customHeight="1" spans="1:149">
      <c r="A1402" s="5">
        <v>44</v>
      </c>
      <c r="B1402" s="4" t="s">
        <v>1231</v>
      </c>
      <c r="C1402" s="40" t="s">
        <v>1241</v>
      </c>
      <c r="D1402" s="4" t="s">
        <v>1242</v>
      </c>
      <c r="E1402" s="4" t="s">
        <v>1243</v>
      </c>
      <c r="AB1402" s="4" t="s">
        <v>1244</v>
      </c>
      <c r="AC1402" s="4" t="s">
        <v>1245</v>
      </c>
      <c r="AE1402" s="4" t="s">
        <v>1246</v>
      </c>
      <c r="AF1402" s="4" t="s">
        <v>1247</v>
      </c>
      <c r="AH1402" s="4" t="s">
        <v>596</v>
      </c>
      <c r="AQ1402" s="4" t="s">
        <v>8</v>
      </c>
      <c r="AR1402" s="4">
        <v>0</v>
      </c>
      <c r="BD1402" s="4" t="s">
        <v>1238</v>
      </c>
      <c r="BI1402" s="4" t="s">
        <v>321</v>
      </c>
      <c r="BK1402" s="4">
        <v>5</v>
      </c>
      <c r="BL1402" s="4">
        <v>1</v>
      </c>
      <c r="BM1402" s="4">
        <v>0.5</v>
      </c>
      <c r="BS1402" s="4">
        <v>10</v>
      </c>
      <c r="BV1402" s="4">
        <v>120</v>
      </c>
      <c r="CB1402" s="4" t="s">
        <v>8</v>
      </c>
      <c r="CC1402" s="4">
        <v>1000</v>
      </c>
      <c r="DO1402" s="4">
        <v>3</v>
      </c>
      <c r="EP1402" s="4">
        <v>83.15</v>
      </c>
      <c r="EQ1402" s="1">
        <v>1.59</v>
      </c>
      <c r="ES1402" s="4">
        <v>83.15</v>
      </c>
    </row>
    <row r="1403" customHeight="1" spans="1:149">
      <c r="A1403" s="5">
        <v>44</v>
      </c>
      <c r="B1403" s="4" t="s">
        <v>1231</v>
      </c>
      <c r="C1403" s="40" t="s">
        <v>1241</v>
      </c>
      <c r="D1403" s="4" t="s">
        <v>1242</v>
      </c>
      <c r="E1403" s="4" t="s">
        <v>1243</v>
      </c>
      <c r="AB1403" s="4" t="s">
        <v>1244</v>
      </c>
      <c r="AC1403" s="4" t="s">
        <v>1245</v>
      </c>
      <c r="AE1403" s="4" t="s">
        <v>1246</v>
      </c>
      <c r="AF1403" s="4" t="s">
        <v>1247</v>
      </c>
      <c r="AH1403" s="4" t="s">
        <v>596</v>
      </c>
      <c r="AQ1403" s="4" t="s">
        <v>8</v>
      </c>
      <c r="AR1403" s="4">
        <v>0</v>
      </c>
      <c r="BD1403" s="4" t="s">
        <v>1238</v>
      </c>
      <c r="BL1403" s="4">
        <v>1</v>
      </c>
      <c r="BW1403" s="4" t="s">
        <v>311</v>
      </c>
      <c r="CV1403" s="4">
        <v>90</v>
      </c>
      <c r="CX1403" s="4" t="s">
        <v>314</v>
      </c>
      <c r="DM1403" s="4">
        <v>10</v>
      </c>
      <c r="DO1403" s="4">
        <v>3</v>
      </c>
      <c r="EL1403" s="4">
        <v>50.79</v>
      </c>
      <c r="EP1403" s="4"/>
      <c r="ES1403" s="4"/>
    </row>
    <row r="1404" customHeight="1" spans="1:149">
      <c r="A1404" s="5">
        <v>44</v>
      </c>
      <c r="B1404" s="4" t="s">
        <v>1231</v>
      </c>
      <c r="C1404" s="40" t="s">
        <v>1241</v>
      </c>
      <c r="D1404" s="4" t="s">
        <v>1242</v>
      </c>
      <c r="E1404" s="4" t="s">
        <v>1243</v>
      </c>
      <c r="AB1404" s="4" t="s">
        <v>1244</v>
      </c>
      <c r="AC1404" s="4" t="s">
        <v>1245</v>
      </c>
      <c r="AE1404" s="4" t="s">
        <v>1246</v>
      </c>
      <c r="AF1404" s="4" t="s">
        <v>1247</v>
      </c>
      <c r="AH1404" s="4" t="s">
        <v>596</v>
      </c>
      <c r="AQ1404" s="4" t="s">
        <v>8</v>
      </c>
      <c r="AR1404" s="4">
        <v>0</v>
      </c>
      <c r="BD1404" s="4" t="s">
        <v>1238</v>
      </c>
      <c r="BI1404" s="4" t="s">
        <v>321</v>
      </c>
      <c r="BM1404" s="4">
        <v>0</v>
      </c>
      <c r="BS1404" s="4" t="s">
        <v>1240</v>
      </c>
      <c r="BU1404" s="41" t="s">
        <v>398</v>
      </c>
      <c r="CB1404" s="4" t="s">
        <v>8</v>
      </c>
      <c r="DO1404" s="4">
        <v>3</v>
      </c>
      <c r="EF1404" s="4">
        <v>41.23</v>
      </c>
      <c r="EH1404" s="4">
        <v>41.23</v>
      </c>
      <c r="EI1404" s="1">
        <v>0.74</v>
      </c>
      <c r="EP1404" s="4"/>
      <c r="ER1404" s="1">
        <f>(EF1404-EH1404)/EF1404*100</f>
        <v>0</v>
      </c>
      <c r="ES1404" s="4">
        <v>0</v>
      </c>
    </row>
    <row r="1405" customHeight="1" spans="1:149">
      <c r="A1405" s="5">
        <v>44</v>
      </c>
      <c r="B1405" s="4" t="s">
        <v>1231</v>
      </c>
      <c r="C1405" s="40" t="s">
        <v>1241</v>
      </c>
      <c r="D1405" s="4" t="s">
        <v>1242</v>
      </c>
      <c r="E1405" s="4" t="s">
        <v>1243</v>
      </c>
      <c r="AB1405" s="4" t="s">
        <v>1244</v>
      </c>
      <c r="AC1405" s="4" t="s">
        <v>1245</v>
      </c>
      <c r="AE1405" s="4" t="s">
        <v>1246</v>
      </c>
      <c r="AF1405" s="4" t="s">
        <v>1247</v>
      </c>
      <c r="AH1405" s="4" t="s">
        <v>596</v>
      </c>
      <c r="AQ1405" s="4" t="s">
        <v>8</v>
      </c>
      <c r="AR1405" s="4">
        <v>0</v>
      </c>
      <c r="BD1405" s="4" t="s">
        <v>1238</v>
      </c>
      <c r="BI1405" s="4" t="s">
        <v>321</v>
      </c>
      <c r="BM1405" s="4">
        <v>0.07</v>
      </c>
      <c r="BS1405" s="4" t="s">
        <v>1240</v>
      </c>
      <c r="BU1405" s="41" t="s">
        <v>398</v>
      </c>
      <c r="CB1405" s="4" t="s">
        <v>8</v>
      </c>
      <c r="DO1405" s="4">
        <v>3</v>
      </c>
      <c r="EF1405" s="4">
        <v>41.23</v>
      </c>
      <c r="EH1405" s="4">
        <v>10.15</v>
      </c>
      <c r="EI1405" s="1">
        <v>0.62</v>
      </c>
      <c r="EP1405" s="4"/>
      <c r="ER1405" s="1">
        <f>(EF1405-EH1405)/EF1405*100</f>
        <v>75.3820033955857</v>
      </c>
      <c r="ES1405" s="4">
        <v>75.3820033955857</v>
      </c>
    </row>
    <row r="1406" customHeight="1" spans="1:149">
      <c r="A1406" s="5">
        <v>44</v>
      </c>
      <c r="B1406" s="4" t="s">
        <v>1231</v>
      </c>
      <c r="C1406" s="40" t="s">
        <v>1241</v>
      </c>
      <c r="D1406" s="4" t="s">
        <v>1242</v>
      </c>
      <c r="E1406" s="4" t="s">
        <v>1243</v>
      </c>
      <c r="AB1406" s="4" t="s">
        <v>1244</v>
      </c>
      <c r="AC1406" s="4" t="s">
        <v>1245</v>
      </c>
      <c r="AE1406" s="4" t="s">
        <v>1246</v>
      </c>
      <c r="AF1406" s="4" t="s">
        <v>1247</v>
      </c>
      <c r="AH1406" s="4" t="s">
        <v>596</v>
      </c>
      <c r="AQ1406" s="4" t="s">
        <v>8</v>
      </c>
      <c r="AR1406" s="4">
        <v>0</v>
      </c>
      <c r="BD1406" s="4" t="s">
        <v>1238</v>
      </c>
      <c r="DO1406" s="4">
        <v>3</v>
      </c>
      <c r="EP1406" s="4"/>
      <c r="ES1406" s="4"/>
    </row>
    <row r="1407" customHeight="1" spans="1:149">
      <c r="A1407" s="5">
        <v>44</v>
      </c>
      <c r="B1407" s="4" t="s">
        <v>1231</v>
      </c>
      <c r="C1407" s="40" t="s">
        <v>1241</v>
      </c>
      <c r="D1407" s="4" t="s">
        <v>1242</v>
      </c>
      <c r="E1407" s="4" t="s">
        <v>1243</v>
      </c>
      <c r="AB1407" s="4" t="s">
        <v>1244</v>
      </c>
      <c r="AC1407" s="4" t="s">
        <v>1245</v>
      </c>
      <c r="AE1407" s="4" t="s">
        <v>1246</v>
      </c>
      <c r="AF1407" s="4" t="s">
        <v>1247</v>
      </c>
      <c r="AH1407" s="4" t="s">
        <v>596</v>
      </c>
      <c r="AQ1407" s="4" t="s">
        <v>8</v>
      </c>
      <c r="AR1407" s="4">
        <v>0</v>
      </c>
      <c r="BD1407" s="4" t="s">
        <v>1238</v>
      </c>
      <c r="DO1407" s="4">
        <v>3</v>
      </c>
      <c r="EP1407" s="4"/>
      <c r="ES1407" s="4"/>
    </row>
    <row r="1408" customHeight="1" spans="1:149">
      <c r="A1408" s="5">
        <v>44</v>
      </c>
      <c r="B1408" s="4" t="s">
        <v>1231</v>
      </c>
      <c r="C1408" s="40" t="s">
        <v>1241</v>
      </c>
      <c r="D1408" s="4" t="s">
        <v>1242</v>
      </c>
      <c r="E1408" s="4" t="s">
        <v>1243</v>
      </c>
      <c r="AB1408" s="4" t="s">
        <v>1244</v>
      </c>
      <c r="AC1408" s="4" t="s">
        <v>1245</v>
      </c>
      <c r="AE1408" s="4" t="s">
        <v>1246</v>
      </c>
      <c r="AF1408" s="4" t="s">
        <v>1247</v>
      </c>
      <c r="AH1408" s="4" t="s">
        <v>596</v>
      </c>
      <c r="AQ1408" s="4" t="s">
        <v>8</v>
      </c>
      <c r="AR1408" s="4">
        <v>0</v>
      </c>
      <c r="BD1408" s="4" t="s">
        <v>1238</v>
      </c>
      <c r="DO1408" s="4">
        <v>3</v>
      </c>
      <c r="EP1408" s="4"/>
      <c r="ES1408" s="4"/>
    </row>
    <row r="1409" customHeight="1" spans="1:149">
      <c r="A1409" s="5">
        <v>44</v>
      </c>
      <c r="B1409" s="4" t="s">
        <v>1231</v>
      </c>
      <c r="C1409" s="40" t="s">
        <v>341</v>
      </c>
      <c r="D1409" s="4" t="s">
        <v>1176</v>
      </c>
      <c r="E1409" s="4" t="s">
        <v>1248</v>
      </c>
      <c r="N1409" s="4" t="s">
        <v>536</v>
      </c>
      <c r="O1409" s="4" t="s">
        <v>343</v>
      </c>
      <c r="P1409" s="4">
        <v>1.94</v>
      </c>
      <c r="Q1409" s="4" t="s">
        <v>540</v>
      </c>
      <c r="AB1409" s="4" t="s">
        <v>1249</v>
      </c>
      <c r="AC1409" s="4" t="s">
        <v>1250</v>
      </c>
      <c r="AE1409" s="4" t="s">
        <v>1251</v>
      </c>
      <c r="AF1409" s="4" t="s">
        <v>1252</v>
      </c>
      <c r="AH1409" s="4" t="s">
        <v>596</v>
      </c>
      <c r="AQ1409" s="4" t="s">
        <v>8</v>
      </c>
      <c r="AR1409" s="4">
        <v>0</v>
      </c>
      <c r="BD1409" s="4" t="s">
        <v>1238</v>
      </c>
      <c r="BI1409" s="4" t="s">
        <v>321</v>
      </c>
      <c r="BK1409" s="4">
        <v>5</v>
      </c>
      <c r="BL1409" s="4">
        <v>1</v>
      </c>
      <c r="BM1409" s="4">
        <v>0.01</v>
      </c>
      <c r="BS1409" s="4">
        <v>5.25</v>
      </c>
      <c r="BU1409" s="4">
        <v>30</v>
      </c>
      <c r="BV1409" s="4">
        <v>120</v>
      </c>
      <c r="CB1409" s="4" t="s">
        <v>8</v>
      </c>
      <c r="CC1409" s="4">
        <v>1000</v>
      </c>
      <c r="DO1409" s="4">
        <v>3</v>
      </c>
      <c r="EP1409" s="4">
        <v>5.16</v>
      </c>
      <c r="EQ1409" s="1">
        <v>0.41</v>
      </c>
      <c r="ES1409" s="4">
        <v>5.16</v>
      </c>
    </row>
    <row r="1410" customHeight="1" spans="1:149">
      <c r="A1410" s="5">
        <v>44</v>
      </c>
      <c r="B1410" s="4" t="s">
        <v>1231</v>
      </c>
      <c r="C1410" s="40" t="s">
        <v>341</v>
      </c>
      <c r="D1410" s="4" t="s">
        <v>1176</v>
      </c>
      <c r="E1410" s="4" t="s">
        <v>1248</v>
      </c>
      <c r="N1410" s="4" t="s">
        <v>536</v>
      </c>
      <c r="O1410" s="4" t="s">
        <v>343</v>
      </c>
      <c r="P1410" s="4">
        <v>1.94</v>
      </c>
      <c r="Q1410" s="4" t="s">
        <v>540</v>
      </c>
      <c r="AB1410" s="4" t="s">
        <v>1249</v>
      </c>
      <c r="AC1410" s="4" t="s">
        <v>1250</v>
      </c>
      <c r="AE1410" s="4" t="s">
        <v>1251</v>
      </c>
      <c r="AF1410" s="4" t="s">
        <v>1252</v>
      </c>
      <c r="AH1410" s="4" t="s">
        <v>596</v>
      </c>
      <c r="AQ1410" s="4" t="s">
        <v>8</v>
      </c>
      <c r="AR1410" s="4">
        <v>0</v>
      </c>
      <c r="BD1410" s="4" t="s">
        <v>1238</v>
      </c>
      <c r="BI1410" s="4" t="s">
        <v>321</v>
      </c>
      <c r="BK1410" s="4">
        <v>5</v>
      </c>
      <c r="BL1410" s="4">
        <v>1</v>
      </c>
      <c r="BM1410" s="4">
        <v>0.03</v>
      </c>
      <c r="BS1410" s="4">
        <v>5.25</v>
      </c>
      <c r="BU1410" s="4">
        <v>30</v>
      </c>
      <c r="BV1410" s="4">
        <v>120</v>
      </c>
      <c r="CB1410" s="4" t="s">
        <v>8</v>
      </c>
      <c r="CC1410" s="4">
        <v>1000</v>
      </c>
      <c r="DO1410" s="4">
        <v>3</v>
      </c>
      <c r="EP1410" s="4">
        <v>73.05</v>
      </c>
      <c r="EQ1410" s="1">
        <v>0.82</v>
      </c>
      <c r="ES1410" s="4">
        <v>73.05</v>
      </c>
    </row>
    <row r="1411" customHeight="1" spans="1:149">
      <c r="A1411" s="5">
        <v>44</v>
      </c>
      <c r="B1411" s="4" t="s">
        <v>1231</v>
      </c>
      <c r="C1411" s="40" t="s">
        <v>341</v>
      </c>
      <c r="D1411" s="4" t="s">
        <v>1176</v>
      </c>
      <c r="E1411" s="4" t="s">
        <v>1248</v>
      </c>
      <c r="N1411" s="4" t="s">
        <v>536</v>
      </c>
      <c r="O1411" s="4" t="s">
        <v>343</v>
      </c>
      <c r="P1411" s="4">
        <v>1.94</v>
      </c>
      <c r="Q1411" s="4" t="s">
        <v>540</v>
      </c>
      <c r="AB1411" s="4" t="s">
        <v>1249</v>
      </c>
      <c r="AC1411" s="4" t="s">
        <v>1250</v>
      </c>
      <c r="AE1411" s="4" t="s">
        <v>1251</v>
      </c>
      <c r="AF1411" s="4" t="s">
        <v>1252</v>
      </c>
      <c r="AH1411" s="4" t="s">
        <v>596</v>
      </c>
      <c r="AQ1411" s="4" t="s">
        <v>8</v>
      </c>
      <c r="AR1411" s="4">
        <v>0</v>
      </c>
      <c r="BD1411" s="4" t="s">
        <v>1238</v>
      </c>
      <c r="BI1411" s="4" t="s">
        <v>321</v>
      </c>
      <c r="BK1411" s="4">
        <v>5</v>
      </c>
      <c r="BL1411" s="4">
        <v>1</v>
      </c>
      <c r="BM1411" s="4">
        <v>0.05</v>
      </c>
      <c r="BS1411" s="4">
        <v>5.25</v>
      </c>
      <c r="BU1411" s="4">
        <v>30</v>
      </c>
      <c r="BV1411" s="4">
        <v>120</v>
      </c>
      <c r="CB1411" s="4" t="s">
        <v>8</v>
      </c>
      <c r="CC1411" s="4">
        <v>1000</v>
      </c>
      <c r="DO1411" s="4">
        <v>3</v>
      </c>
      <c r="EP1411" s="4">
        <v>99.18</v>
      </c>
      <c r="EQ1411" s="1">
        <v>0.41</v>
      </c>
      <c r="ES1411" s="4">
        <v>99.18</v>
      </c>
    </row>
    <row r="1412" customHeight="1" spans="1:149">
      <c r="A1412" s="5">
        <v>44</v>
      </c>
      <c r="B1412" s="4" t="s">
        <v>1231</v>
      </c>
      <c r="C1412" s="40" t="s">
        <v>341</v>
      </c>
      <c r="D1412" s="4" t="s">
        <v>1176</v>
      </c>
      <c r="E1412" s="4" t="s">
        <v>1248</v>
      </c>
      <c r="N1412" s="4" t="s">
        <v>536</v>
      </c>
      <c r="O1412" s="4" t="s">
        <v>343</v>
      </c>
      <c r="P1412" s="4">
        <v>1.94</v>
      </c>
      <c r="Q1412" s="4" t="s">
        <v>540</v>
      </c>
      <c r="AB1412" s="4" t="s">
        <v>1249</v>
      </c>
      <c r="AC1412" s="4" t="s">
        <v>1250</v>
      </c>
      <c r="AE1412" s="4" t="s">
        <v>1251</v>
      </c>
      <c r="AF1412" s="4" t="s">
        <v>1252</v>
      </c>
      <c r="AH1412" s="4" t="s">
        <v>596</v>
      </c>
      <c r="AQ1412" s="4" t="s">
        <v>8</v>
      </c>
      <c r="AR1412" s="4">
        <v>0</v>
      </c>
      <c r="BD1412" s="4" t="s">
        <v>1238</v>
      </c>
      <c r="BI1412" s="4" t="s">
        <v>321</v>
      </c>
      <c r="BK1412" s="4">
        <v>5</v>
      </c>
      <c r="BL1412" s="4">
        <v>1</v>
      </c>
      <c r="BM1412" s="4">
        <v>0.07</v>
      </c>
      <c r="BS1412" s="4">
        <v>5.25</v>
      </c>
      <c r="BU1412" s="4">
        <v>30</v>
      </c>
      <c r="BV1412" s="4">
        <v>120</v>
      </c>
      <c r="CB1412" s="4" t="s">
        <v>8</v>
      </c>
      <c r="CC1412" s="4">
        <v>1000</v>
      </c>
      <c r="DO1412" s="4">
        <v>3</v>
      </c>
      <c r="EP1412" s="4">
        <v>99.31</v>
      </c>
      <c r="EQ1412" s="1">
        <v>0</v>
      </c>
      <c r="ES1412" s="4">
        <v>99.31</v>
      </c>
    </row>
    <row r="1413" customHeight="1" spans="1:149">
      <c r="A1413" s="5">
        <v>44</v>
      </c>
      <c r="B1413" s="4" t="s">
        <v>1231</v>
      </c>
      <c r="C1413" s="40" t="s">
        <v>341</v>
      </c>
      <c r="D1413" s="4" t="s">
        <v>1176</v>
      </c>
      <c r="E1413" s="4" t="s">
        <v>1248</v>
      </c>
      <c r="N1413" s="4" t="s">
        <v>536</v>
      </c>
      <c r="O1413" s="4" t="s">
        <v>343</v>
      </c>
      <c r="P1413" s="4">
        <v>1.94</v>
      </c>
      <c r="Q1413" s="4" t="s">
        <v>540</v>
      </c>
      <c r="AB1413" s="4" t="s">
        <v>1249</v>
      </c>
      <c r="AC1413" s="4" t="s">
        <v>1250</v>
      </c>
      <c r="AE1413" s="4" t="s">
        <v>1251</v>
      </c>
      <c r="AF1413" s="4" t="s">
        <v>1252</v>
      </c>
      <c r="AH1413" s="4" t="s">
        <v>596</v>
      </c>
      <c r="AQ1413" s="4" t="s">
        <v>8</v>
      </c>
      <c r="AR1413" s="4">
        <v>0</v>
      </c>
      <c r="BD1413" s="4" t="s">
        <v>1238</v>
      </c>
      <c r="BI1413" s="4" t="s">
        <v>321</v>
      </c>
      <c r="BK1413" s="4">
        <v>5</v>
      </c>
      <c r="BL1413" s="4">
        <v>1</v>
      </c>
      <c r="BM1413" s="4">
        <v>0.01</v>
      </c>
      <c r="BS1413" s="4">
        <v>5.25</v>
      </c>
      <c r="BV1413" s="4">
        <v>120</v>
      </c>
      <c r="CB1413" s="4" t="s">
        <v>8</v>
      </c>
      <c r="CC1413" s="4">
        <v>200</v>
      </c>
      <c r="DB1413" s="4" t="s">
        <v>430</v>
      </c>
      <c r="DC1413" s="4" t="s">
        <v>1239</v>
      </c>
      <c r="DO1413" s="4">
        <v>3</v>
      </c>
      <c r="EP1413" s="4">
        <v>99.21</v>
      </c>
      <c r="EQ1413" s="1">
        <v>0.26</v>
      </c>
      <c r="ES1413" s="4">
        <v>99.21</v>
      </c>
    </row>
    <row r="1414" customHeight="1" spans="1:149">
      <c r="A1414" s="5">
        <v>44</v>
      </c>
      <c r="B1414" s="4" t="s">
        <v>1231</v>
      </c>
      <c r="C1414" s="40" t="s">
        <v>341</v>
      </c>
      <c r="D1414" s="4" t="s">
        <v>1176</v>
      </c>
      <c r="E1414" s="4" t="s">
        <v>1248</v>
      </c>
      <c r="N1414" s="4" t="s">
        <v>536</v>
      </c>
      <c r="O1414" s="4" t="s">
        <v>343</v>
      </c>
      <c r="P1414" s="4">
        <v>1.94</v>
      </c>
      <c r="Q1414" s="4" t="s">
        <v>540</v>
      </c>
      <c r="AB1414" s="4" t="s">
        <v>1249</v>
      </c>
      <c r="AC1414" s="4" t="s">
        <v>1250</v>
      </c>
      <c r="AE1414" s="4" t="s">
        <v>1251</v>
      </c>
      <c r="AF1414" s="4" t="s">
        <v>1252</v>
      </c>
      <c r="AH1414" s="4" t="s">
        <v>596</v>
      </c>
      <c r="AQ1414" s="4" t="s">
        <v>8</v>
      </c>
      <c r="AR1414" s="4">
        <v>0</v>
      </c>
      <c r="BD1414" s="4" t="s">
        <v>1238</v>
      </c>
      <c r="BI1414" s="4" t="s">
        <v>321</v>
      </c>
      <c r="BK1414" s="4">
        <v>5</v>
      </c>
      <c r="BL1414" s="4">
        <v>1</v>
      </c>
      <c r="BM1414" s="4">
        <v>0.01</v>
      </c>
      <c r="BS1414" s="4">
        <v>5.25</v>
      </c>
      <c r="BV1414" s="4">
        <v>120</v>
      </c>
      <c r="CB1414" s="4" t="s">
        <v>8</v>
      </c>
      <c r="CC1414" s="4">
        <v>400</v>
      </c>
      <c r="DB1414" s="4" t="s">
        <v>430</v>
      </c>
      <c r="DC1414" s="4" t="s">
        <v>1239</v>
      </c>
      <c r="DO1414" s="4">
        <v>3</v>
      </c>
      <c r="EP1414" s="4">
        <v>94.65</v>
      </c>
      <c r="EQ1414" s="1">
        <v>0.13</v>
      </c>
      <c r="ES1414" s="4">
        <v>94.65</v>
      </c>
    </row>
    <row r="1415" customHeight="1" spans="1:149">
      <c r="A1415" s="5">
        <v>44</v>
      </c>
      <c r="B1415" s="4" t="s">
        <v>1231</v>
      </c>
      <c r="C1415" s="40" t="s">
        <v>341</v>
      </c>
      <c r="D1415" s="4" t="s">
        <v>1176</v>
      </c>
      <c r="E1415" s="4" t="s">
        <v>1248</v>
      </c>
      <c r="N1415" s="4" t="s">
        <v>536</v>
      </c>
      <c r="O1415" s="4" t="s">
        <v>343</v>
      </c>
      <c r="P1415" s="4">
        <v>1.94</v>
      </c>
      <c r="Q1415" s="4" t="s">
        <v>540</v>
      </c>
      <c r="AB1415" s="4" t="s">
        <v>1249</v>
      </c>
      <c r="AC1415" s="4" t="s">
        <v>1250</v>
      </c>
      <c r="AE1415" s="4" t="s">
        <v>1251</v>
      </c>
      <c r="AF1415" s="4" t="s">
        <v>1252</v>
      </c>
      <c r="AH1415" s="4" t="s">
        <v>596</v>
      </c>
      <c r="AQ1415" s="4" t="s">
        <v>8</v>
      </c>
      <c r="AR1415" s="4">
        <v>0</v>
      </c>
      <c r="BD1415" s="4" t="s">
        <v>1238</v>
      </c>
      <c r="BI1415" s="4" t="s">
        <v>321</v>
      </c>
      <c r="BK1415" s="4">
        <v>5</v>
      </c>
      <c r="BL1415" s="4">
        <v>1</v>
      </c>
      <c r="BM1415" s="4">
        <v>0.01</v>
      </c>
      <c r="BS1415" s="4">
        <v>5.25</v>
      </c>
      <c r="BV1415" s="4">
        <v>120</v>
      </c>
      <c r="CB1415" s="4" t="s">
        <v>8</v>
      </c>
      <c r="CC1415" s="4">
        <v>600</v>
      </c>
      <c r="DB1415" s="4" t="s">
        <v>430</v>
      </c>
      <c r="DC1415" s="4" t="s">
        <v>1239</v>
      </c>
      <c r="DO1415" s="4">
        <v>3</v>
      </c>
      <c r="EP1415" s="4">
        <v>90.67</v>
      </c>
      <c r="EQ1415" s="1">
        <v>0.13</v>
      </c>
      <c r="ES1415" s="4">
        <v>90.67</v>
      </c>
    </row>
    <row r="1416" customHeight="1" spans="1:149">
      <c r="A1416" s="5">
        <v>44</v>
      </c>
      <c r="B1416" s="4" t="s">
        <v>1231</v>
      </c>
      <c r="C1416" s="40" t="s">
        <v>341</v>
      </c>
      <c r="D1416" s="4" t="s">
        <v>1176</v>
      </c>
      <c r="E1416" s="4" t="s">
        <v>1248</v>
      </c>
      <c r="N1416" s="4" t="s">
        <v>536</v>
      </c>
      <c r="O1416" s="4" t="s">
        <v>343</v>
      </c>
      <c r="P1416" s="4">
        <v>1.94</v>
      </c>
      <c r="Q1416" s="4" t="s">
        <v>540</v>
      </c>
      <c r="AB1416" s="4" t="s">
        <v>1249</v>
      </c>
      <c r="AC1416" s="4" t="s">
        <v>1250</v>
      </c>
      <c r="AE1416" s="4" t="s">
        <v>1251</v>
      </c>
      <c r="AF1416" s="4" t="s">
        <v>1252</v>
      </c>
      <c r="AH1416" s="4" t="s">
        <v>596</v>
      </c>
      <c r="AQ1416" s="4" t="s">
        <v>8</v>
      </c>
      <c r="AR1416" s="4">
        <v>0</v>
      </c>
      <c r="BD1416" s="4" t="s">
        <v>1238</v>
      </c>
      <c r="BI1416" s="4" t="s">
        <v>321</v>
      </c>
      <c r="BK1416" s="4">
        <v>5</v>
      </c>
      <c r="BL1416" s="4">
        <v>1</v>
      </c>
      <c r="BM1416" s="4">
        <v>0.01</v>
      </c>
      <c r="BS1416" s="4">
        <v>5.25</v>
      </c>
      <c r="BV1416" s="4">
        <v>120</v>
      </c>
      <c r="CB1416" s="4" t="s">
        <v>8</v>
      </c>
      <c r="CC1416" s="4">
        <v>1000</v>
      </c>
      <c r="DB1416" s="4" t="s">
        <v>430</v>
      </c>
      <c r="DC1416" s="4" t="s">
        <v>1239</v>
      </c>
      <c r="DO1416" s="4">
        <v>3</v>
      </c>
      <c r="EP1416" s="4">
        <v>73.06</v>
      </c>
      <c r="EQ1416" s="1">
        <v>0.92</v>
      </c>
      <c r="ES1416" s="4">
        <v>73.06</v>
      </c>
    </row>
    <row r="1417" customHeight="1" spans="1:149">
      <c r="A1417" s="5">
        <v>44</v>
      </c>
      <c r="B1417" s="4" t="s">
        <v>1231</v>
      </c>
      <c r="C1417" s="40" t="s">
        <v>341</v>
      </c>
      <c r="D1417" s="4" t="s">
        <v>1176</v>
      </c>
      <c r="E1417" s="4" t="s">
        <v>1248</v>
      </c>
      <c r="N1417" s="4" t="s">
        <v>536</v>
      </c>
      <c r="O1417" s="4" t="s">
        <v>343</v>
      </c>
      <c r="P1417" s="4">
        <v>1.94</v>
      </c>
      <c r="Q1417" s="4" t="s">
        <v>540</v>
      </c>
      <c r="AB1417" s="4" t="s">
        <v>1249</v>
      </c>
      <c r="AC1417" s="4" t="s">
        <v>1250</v>
      </c>
      <c r="AE1417" s="4" t="s">
        <v>1251</v>
      </c>
      <c r="AF1417" s="4" t="s">
        <v>1252</v>
      </c>
      <c r="AH1417" s="4" t="s">
        <v>596</v>
      </c>
      <c r="AQ1417" s="4" t="s">
        <v>8</v>
      </c>
      <c r="AR1417" s="4">
        <v>0</v>
      </c>
      <c r="BD1417" s="4" t="s">
        <v>1238</v>
      </c>
      <c r="BI1417" s="4" t="s">
        <v>321</v>
      </c>
      <c r="BK1417" s="4">
        <v>5</v>
      </c>
      <c r="BL1417" s="4">
        <v>1</v>
      </c>
      <c r="BM1417" s="4">
        <v>0.5</v>
      </c>
      <c r="BS1417" s="4">
        <v>3</v>
      </c>
      <c r="BV1417" s="4">
        <v>120</v>
      </c>
      <c r="CB1417" s="4" t="s">
        <v>8</v>
      </c>
      <c r="CC1417" s="4">
        <v>1000</v>
      </c>
      <c r="DO1417" s="4">
        <v>3</v>
      </c>
      <c r="EP1417" s="4">
        <v>99.23</v>
      </c>
      <c r="EQ1417" s="1">
        <v>0</v>
      </c>
      <c r="ES1417" s="4">
        <v>99.23</v>
      </c>
    </row>
    <row r="1418" customHeight="1" spans="1:149">
      <c r="A1418" s="5">
        <v>44</v>
      </c>
      <c r="B1418" s="4" t="s">
        <v>1231</v>
      </c>
      <c r="C1418" s="40" t="s">
        <v>341</v>
      </c>
      <c r="D1418" s="4" t="s">
        <v>1176</v>
      </c>
      <c r="E1418" s="4" t="s">
        <v>1248</v>
      </c>
      <c r="N1418" s="4" t="s">
        <v>536</v>
      </c>
      <c r="O1418" s="4" t="s">
        <v>343</v>
      </c>
      <c r="P1418" s="4">
        <v>1.94</v>
      </c>
      <c r="Q1418" s="4" t="s">
        <v>540</v>
      </c>
      <c r="AB1418" s="4" t="s">
        <v>1249</v>
      </c>
      <c r="AC1418" s="4" t="s">
        <v>1250</v>
      </c>
      <c r="AE1418" s="4" t="s">
        <v>1251</v>
      </c>
      <c r="AF1418" s="4" t="s">
        <v>1252</v>
      </c>
      <c r="AH1418" s="4" t="s">
        <v>596</v>
      </c>
      <c r="AQ1418" s="4" t="s">
        <v>8</v>
      </c>
      <c r="AR1418" s="4">
        <v>0</v>
      </c>
      <c r="BD1418" s="4" t="s">
        <v>1238</v>
      </c>
      <c r="BI1418" s="4" t="s">
        <v>321</v>
      </c>
      <c r="BK1418" s="4">
        <v>5</v>
      </c>
      <c r="BL1418" s="4">
        <v>1</v>
      </c>
      <c r="BM1418" s="4">
        <v>0.5</v>
      </c>
      <c r="BS1418" s="4">
        <v>5</v>
      </c>
      <c r="BV1418" s="4">
        <v>120</v>
      </c>
      <c r="CB1418" s="4" t="s">
        <v>8</v>
      </c>
      <c r="CC1418" s="4">
        <v>1000</v>
      </c>
      <c r="DO1418" s="4">
        <v>3</v>
      </c>
      <c r="EP1418" s="4">
        <v>99.56</v>
      </c>
      <c r="EQ1418" s="1">
        <v>0</v>
      </c>
      <c r="ES1418" s="4">
        <v>99.56</v>
      </c>
    </row>
    <row r="1419" customHeight="1" spans="1:149">
      <c r="A1419" s="5">
        <v>44</v>
      </c>
      <c r="B1419" s="4" t="s">
        <v>1231</v>
      </c>
      <c r="C1419" s="40" t="s">
        <v>341</v>
      </c>
      <c r="D1419" s="4" t="s">
        <v>1176</v>
      </c>
      <c r="E1419" s="4" t="s">
        <v>1248</v>
      </c>
      <c r="N1419" s="4" t="s">
        <v>536</v>
      </c>
      <c r="O1419" s="4" t="s">
        <v>343</v>
      </c>
      <c r="P1419" s="4">
        <v>1.94</v>
      </c>
      <c r="Q1419" s="4" t="s">
        <v>540</v>
      </c>
      <c r="AB1419" s="4" t="s">
        <v>1249</v>
      </c>
      <c r="AC1419" s="4" t="s">
        <v>1250</v>
      </c>
      <c r="AE1419" s="4" t="s">
        <v>1251</v>
      </c>
      <c r="AF1419" s="4" t="s">
        <v>1252</v>
      </c>
      <c r="AH1419" s="4" t="s">
        <v>596</v>
      </c>
      <c r="AQ1419" s="4" t="s">
        <v>8</v>
      </c>
      <c r="AR1419" s="4">
        <v>0</v>
      </c>
      <c r="BD1419" s="4" t="s">
        <v>1238</v>
      </c>
      <c r="BI1419" s="4" t="s">
        <v>321</v>
      </c>
      <c r="BK1419" s="4">
        <v>5</v>
      </c>
      <c r="BL1419" s="4">
        <v>1</v>
      </c>
      <c r="BM1419" s="4">
        <v>0.5</v>
      </c>
      <c r="BS1419" s="4">
        <v>7</v>
      </c>
      <c r="BV1419" s="4">
        <v>120</v>
      </c>
      <c r="CB1419" s="4" t="s">
        <v>8</v>
      </c>
      <c r="CC1419" s="4">
        <v>1000</v>
      </c>
      <c r="DO1419" s="4">
        <v>3</v>
      </c>
      <c r="EP1419" s="4">
        <v>99.64</v>
      </c>
      <c r="EQ1419" s="1">
        <v>0</v>
      </c>
      <c r="ES1419" s="4">
        <v>99.64</v>
      </c>
    </row>
    <row r="1420" customHeight="1" spans="1:149">
      <c r="A1420" s="5">
        <v>44</v>
      </c>
      <c r="B1420" s="4" t="s">
        <v>1231</v>
      </c>
      <c r="C1420" s="40" t="s">
        <v>341</v>
      </c>
      <c r="D1420" s="4" t="s">
        <v>1176</v>
      </c>
      <c r="E1420" s="4" t="s">
        <v>1248</v>
      </c>
      <c r="N1420" s="4" t="s">
        <v>536</v>
      </c>
      <c r="O1420" s="4" t="s">
        <v>343</v>
      </c>
      <c r="P1420" s="4">
        <v>1.94</v>
      </c>
      <c r="Q1420" s="4" t="s">
        <v>540</v>
      </c>
      <c r="AB1420" s="4" t="s">
        <v>1249</v>
      </c>
      <c r="AC1420" s="4" t="s">
        <v>1250</v>
      </c>
      <c r="AE1420" s="4" t="s">
        <v>1251</v>
      </c>
      <c r="AF1420" s="4" t="s">
        <v>1252</v>
      </c>
      <c r="AH1420" s="4" t="s">
        <v>596</v>
      </c>
      <c r="AQ1420" s="4" t="s">
        <v>8</v>
      </c>
      <c r="AR1420" s="4">
        <v>0</v>
      </c>
      <c r="BD1420" s="4" t="s">
        <v>1238</v>
      </c>
      <c r="BI1420" s="4" t="s">
        <v>321</v>
      </c>
      <c r="BK1420" s="4">
        <v>5</v>
      </c>
      <c r="BL1420" s="4">
        <v>1</v>
      </c>
      <c r="BM1420" s="4">
        <v>0.5</v>
      </c>
      <c r="BS1420" s="4">
        <v>10</v>
      </c>
      <c r="BV1420" s="4">
        <v>120</v>
      </c>
      <c r="CB1420" s="4" t="s">
        <v>8</v>
      </c>
      <c r="CC1420" s="4">
        <v>1000</v>
      </c>
      <c r="DO1420" s="4">
        <v>3</v>
      </c>
      <c r="EP1420" s="4">
        <v>99.34</v>
      </c>
      <c r="EQ1420" s="1">
        <v>0</v>
      </c>
      <c r="ES1420" s="4">
        <v>99.34</v>
      </c>
    </row>
    <row r="1421" customHeight="1" spans="1:149">
      <c r="A1421" s="5">
        <v>44</v>
      </c>
      <c r="B1421" s="4" t="s">
        <v>1231</v>
      </c>
      <c r="C1421" s="40" t="s">
        <v>341</v>
      </c>
      <c r="D1421" s="4" t="s">
        <v>1176</v>
      </c>
      <c r="E1421" s="4" t="s">
        <v>1248</v>
      </c>
      <c r="N1421" s="4" t="s">
        <v>536</v>
      </c>
      <c r="O1421" s="4" t="s">
        <v>343</v>
      </c>
      <c r="P1421" s="4">
        <v>1.94</v>
      </c>
      <c r="Q1421" s="4" t="s">
        <v>540</v>
      </c>
      <c r="AB1421" s="4" t="s">
        <v>1249</v>
      </c>
      <c r="AC1421" s="4" t="s">
        <v>1250</v>
      </c>
      <c r="AE1421" s="4" t="s">
        <v>1251</v>
      </c>
      <c r="AF1421" s="4" t="s">
        <v>1252</v>
      </c>
      <c r="AH1421" s="4" t="s">
        <v>596</v>
      </c>
      <c r="AQ1421" s="4" t="s">
        <v>8</v>
      </c>
      <c r="AR1421" s="4">
        <v>0</v>
      </c>
      <c r="BD1421" s="4" t="s">
        <v>1238</v>
      </c>
      <c r="BL1421" s="4">
        <v>1</v>
      </c>
      <c r="BW1421" s="4" t="s">
        <v>311</v>
      </c>
      <c r="CV1421" s="4">
        <v>90</v>
      </c>
      <c r="CX1421" s="4" t="s">
        <v>314</v>
      </c>
      <c r="DM1421" s="4">
        <v>10</v>
      </c>
      <c r="DO1421" s="4">
        <v>3</v>
      </c>
      <c r="EL1421" s="4">
        <v>13.02</v>
      </c>
      <c r="EP1421" s="4"/>
      <c r="ES1421" s="4"/>
    </row>
    <row r="1422" customHeight="1" spans="1:149">
      <c r="A1422" s="5">
        <v>44</v>
      </c>
      <c r="B1422" s="4" t="s">
        <v>1231</v>
      </c>
      <c r="C1422" s="40" t="s">
        <v>341</v>
      </c>
      <c r="D1422" s="4" t="s">
        <v>1176</v>
      </c>
      <c r="E1422" s="4" t="s">
        <v>1248</v>
      </c>
      <c r="N1422" s="4" t="s">
        <v>536</v>
      </c>
      <c r="O1422" s="4" t="s">
        <v>343</v>
      </c>
      <c r="P1422" s="4">
        <v>1.94</v>
      </c>
      <c r="Q1422" s="4" t="s">
        <v>540</v>
      </c>
      <c r="AB1422" s="4" t="s">
        <v>1249</v>
      </c>
      <c r="AC1422" s="4" t="s">
        <v>1250</v>
      </c>
      <c r="AE1422" s="4" t="s">
        <v>1251</v>
      </c>
      <c r="AF1422" s="4" t="s">
        <v>1252</v>
      </c>
      <c r="AH1422" s="4" t="s">
        <v>596</v>
      </c>
      <c r="AQ1422" s="4" t="s">
        <v>8</v>
      </c>
      <c r="AR1422" s="4">
        <v>0</v>
      </c>
      <c r="BD1422" s="4" t="s">
        <v>1238</v>
      </c>
      <c r="BI1422" s="4" t="s">
        <v>321</v>
      </c>
      <c r="BM1422" s="4">
        <v>0</v>
      </c>
      <c r="BS1422" s="4" t="s">
        <v>1240</v>
      </c>
      <c r="BU1422" s="41" t="s">
        <v>398</v>
      </c>
      <c r="CB1422" s="4" t="s">
        <v>8</v>
      </c>
      <c r="DO1422" s="4">
        <v>3</v>
      </c>
      <c r="EF1422" s="4">
        <v>41.23</v>
      </c>
      <c r="EH1422" s="4">
        <v>41.23</v>
      </c>
      <c r="EI1422" s="1">
        <v>0.62</v>
      </c>
      <c r="EP1422" s="4"/>
      <c r="ER1422" s="1">
        <f>(EF1422-EH1422)/EF1422*100</f>
        <v>0</v>
      </c>
      <c r="ES1422" s="4">
        <v>0</v>
      </c>
    </row>
    <row r="1423" customHeight="1" spans="1:149">
      <c r="A1423" s="5">
        <v>44</v>
      </c>
      <c r="B1423" s="4" t="s">
        <v>1231</v>
      </c>
      <c r="C1423" s="40" t="s">
        <v>341</v>
      </c>
      <c r="D1423" s="4" t="s">
        <v>1176</v>
      </c>
      <c r="E1423" s="4" t="s">
        <v>1248</v>
      </c>
      <c r="N1423" s="4" t="s">
        <v>536</v>
      </c>
      <c r="O1423" s="4" t="s">
        <v>343</v>
      </c>
      <c r="P1423" s="4">
        <v>1.94</v>
      </c>
      <c r="Q1423" s="4" t="s">
        <v>540</v>
      </c>
      <c r="AB1423" s="4" t="s">
        <v>1249</v>
      </c>
      <c r="AC1423" s="4" t="s">
        <v>1250</v>
      </c>
      <c r="AE1423" s="4" t="s">
        <v>1251</v>
      </c>
      <c r="AF1423" s="4" t="s">
        <v>1252</v>
      </c>
      <c r="AH1423" s="4" t="s">
        <v>596</v>
      </c>
      <c r="AQ1423" s="4" t="s">
        <v>8</v>
      </c>
      <c r="AR1423" s="4">
        <v>0</v>
      </c>
      <c r="BD1423" s="4" t="s">
        <v>1238</v>
      </c>
      <c r="BI1423" s="4" t="s">
        <v>321</v>
      </c>
      <c r="BM1423" s="4">
        <v>0.07</v>
      </c>
      <c r="BS1423" s="4" t="s">
        <v>1240</v>
      </c>
      <c r="BU1423" s="41" t="s">
        <v>398</v>
      </c>
      <c r="CB1423" s="4" t="s">
        <v>8</v>
      </c>
      <c r="DO1423" s="4">
        <v>3</v>
      </c>
      <c r="EF1423" s="4">
        <v>41.23</v>
      </c>
      <c r="EH1423" s="4">
        <v>11.4</v>
      </c>
      <c r="EI1423" s="1">
        <v>0.93</v>
      </c>
      <c r="EP1423" s="4"/>
      <c r="ER1423" s="1">
        <f>(EF1423-EH1423)/EF1423*100</f>
        <v>72.3502304147465</v>
      </c>
      <c r="ES1423" s="4">
        <v>72.3502304147465</v>
      </c>
    </row>
    <row r="1424" customHeight="1" spans="1:149">
      <c r="A1424" s="5">
        <v>44</v>
      </c>
      <c r="B1424" s="4" t="s">
        <v>1231</v>
      </c>
      <c r="C1424" s="40" t="s">
        <v>1253</v>
      </c>
      <c r="D1424" s="4" t="s">
        <v>1242</v>
      </c>
      <c r="E1424" s="4" t="s">
        <v>1254</v>
      </c>
      <c r="AB1424" s="4" t="s">
        <v>1255</v>
      </c>
      <c r="AC1424" s="4" t="s">
        <v>1245</v>
      </c>
      <c r="AE1424" s="4">
        <v>1622</v>
      </c>
      <c r="AF1424" s="4" t="s">
        <v>1256</v>
      </c>
      <c r="AH1424" s="4" t="s">
        <v>596</v>
      </c>
      <c r="AQ1424" s="4" t="s">
        <v>8</v>
      </c>
      <c r="AR1424" s="4">
        <v>0</v>
      </c>
      <c r="BD1424" s="4" t="s">
        <v>1238</v>
      </c>
      <c r="BI1424" s="4" t="s">
        <v>321</v>
      </c>
      <c r="BK1424" s="4">
        <v>5</v>
      </c>
      <c r="BL1424" s="4">
        <v>1</v>
      </c>
      <c r="BM1424" s="4">
        <v>0.01</v>
      </c>
      <c r="BS1424" s="4">
        <v>5.25</v>
      </c>
      <c r="BU1424" s="4">
        <v>30</v>
      </c>
      <c r="BV1424" s="4">
        <v>120</v>
      </c>
      <c r="CB1424" s="4" t="s">
        <v>8</v>
      </c>
      <c r="CC1424" s="4">
        <v>1000</v>
      </c>
      <c r="DO1424" s="4">
        <v>3</v>
      </c>
      <c r="EP1424" s="4">
        <v>28.1</v>
      </c>
      <c r="EQ1424" s="1">
        <v>0.14</v>
      </c>
      <c r="ES1424" s="4">
        <v>28.1</v>
      </c>
    </row>
    <row r="1425" customHeight="1" spans="1:313">
      <c r="A1425" s="5">
        <v>44</v>
      </c>
      <c r="B1425" s="4" t="s">
        <v>1231</v>
      </c>
      <c r="C1425" s="40" t="s">
        <v>1253</v>
      </c>
      <c r="D1425" s="4" t="s">
        <v>1242</v>
      </c>
      <c r="E1425" s="4" t="s">
        <v>1254</v>
      </c>
      <c r="AB1425" s="4" t="s">
        <v>1255</v>
      </c>
      <c r="AC1425" s="4" t="s">
        <v>1245</v>
      </c>
      <c r="AE1425" s="4">
        <v>1622</v>
      </c>
      <c r="AF1425" s="4" t="s">
        <v>1256</v>
      </c>
      <c r="AH1425" s="4" t="s">
        <v>596</v>
      </c>
      <c r="AQ1425" s="4" t="s">
        <v>8</v>
      </c>
      <c r="AR1425" s="4">
        <v>0</v>
      </c>
      <c r="BD1425" s="4" t="s">
        <v>1238</v>
      </c>
      <c r="BI1425" s="4" t="s">
        <v>321</v>
      </c>
      <c r="BK1425" s="4">
        <v>5</v>
      </c>
      <c r="BL1425" s="4">
        <v>1</v>
      </c>
      <c r="BM1425" s="4">
        <v>0.03</v>
      </c>
      <c r="BS1425" s="4">
        <v>5.25</v>
      </c>
      <c r="BU1425" s="4">
        <v>30</v>
      </c>
      <c r="BV1425" s="4">
        <v>120</v>
      </c>
      <c r="CB1425" s="4" t="s">
        <v>8</v>
      </c>
      <c r="CC1425" s="4">
        <v>1000</v>
      </c>
      <c r="DO1425" s="4">
        <v>3</v>
      </c>
      <c r="EP1425" s="4">
        <v>74.97</v>
      </c>
      <c r="EQ1425" s="1">
        <v>0</v>
      </c>
      <c r="ES1425" s="4">
        <v>74.97</v>
      </c>
    </row>
    <row r="1426" customHeight="1" spans="1:313">
      <c r="A1426" s="5">
        <v>44</v>
      </c>
      <c r="B1426" s="4" t="s">
        <v>1231</v>
      </c>
      <c r="C1426" s="40" t="s">
        <v>1253</v>
      </c>
      <c r="D1426" s="4" t="s">
        <v>1242</v>
      </c>
      <c r="E1426" s="4" t="s">
        <v>1254</v>
      </c>
      <c r="AB1426" s="4" t="s">
        <v>1255</v>
      </c>
      <c r="AC1426" s="4" t="s">
        <v>1245</v>
      </c>
      <c r="AE1426" s="4">
        <v>1622</v>
      </c>
      <c r="AF1426" s="4" t="s">
        <v>1256</v>
      </c>
      <c r="AH1426" s="4" t="s">
        <v>596</v>
      </c>
      <c r="AQ1426" s="4" t="s">
        <v>8</v>
      </c>
      <c r="AR1426" s="4">
        <v>0</v>
      </c>
      <c r="BD1426" s="4" t="s">
        <v>1238</v>
      </c>
      <c r="BI1426" s="4" t="s">
        <v>321</v>
      </c>
      <c r="BK1426" s="4">
        <v>5</v>
      </c>
      <c r="BL1426" s="4">
        <v>1</v>
      </c>
      <c r="BM1426" s="4">
        <v>0.05</v>
      </c>
      <c r="BS1426" s="4">
        <v>5.25</v>
      </c>
      <c r="BU1426" s="4">
        <v>30</v>
      </c>
      <c r="BV1426" s="4">
        <v>120</v>
      </c>
      <c r="CB1426" s="4" t="s">
        <v>8</v>
      </c>
      <c r="CC1426" s="4">
        <v>1000</v>
      </c>
      <c r="DO1426" s="4">
        <v>3</v>
      </c>
      <c r="EP1426" s="4">
        <v>98.5</v>
      </c>
      <c r="EQ1426" s="1">
        <v>0</v>
      </c>
      <c r="ES1426" s="4">
        <v>98.5</v>
      </c>
    </row>
    <row r="1427" customHeight="1" spans="1:313">
      <c r="A1427" s="5">
        <v>44</v>
      </c>
      <c r="B1427" s="4" t="s">
        <v>1231</v>
      </c>
      <c r="C1427" s="40" t="s">
        <v>1253</v>
      </c>
      <c r="D1427" s="4" t="s">
        <v>1242</v>
      </c>
      <c r="E1427" s="4" t="s">
        <v>1254</v>
      </c>
      <c r="AB1427" s="4" t="s">
        <v>1255</v>
      </c>
      <c r="AC1427" s="4" t="s">
        <v>1245</v>
      </c>
      <c r="AE1427" s="4">
        <v>1622</v>
      </c>
      <c r="AF1427" s="4" t="s">
        <v>1256</v>
      </c>
      <c r="AH1427" s="4" t="s">
        <v>596</v>
      </c>
      <c r="AQ1427" s="4" t="s">
        <v>8</v>
      </c>
      <c r="AR1427" s="4">
        <v>0</v>
      </c>
      <c r="BD1427" s="4" t="s">
        <v>1238</v>
      </c>
      <c r="BI1427" s="4" t="s">
        <v>321</v>
      </c>
      <c r="BK1427" s="4">
        <v>5</v>
      </c>
      <c r="BL1427" s="4">
        <v>1</v>
      </c>
      <c r="BM1427" s="4">
        <v>0.07</v>
      </c>
      <c r="BS1427" s="4">
        <v>5.25</v>
      </c>
      <c r="BU1427" s="4">
        <v>30</v>
      </c>
      <c r="BV1427" s="4">
        <v>120</v>
      </c>
      <c r="CB1427" s="4" t="s">
        <v>8</v>
      </c>
      <c r="CC1427" s="4">
        <v>1000</v>
      </c>
      <c r="DO1427" s="4">
        <v>3</v>
      </c>
      <c r="EP1427" s="4">
        <v>99.31</v>
      </c>
      <c r="EQ1427" s="1">
        <v>0</v>
      </c>
      <c r="ES1427" s="4">
        <v>99.31</v>
      </c>
    </row>
    <row r="1428" customHeight="1" spans="1:313">
      <c r="A1428" s="5">
        <v>44</v>
      </c>
      <c r="B1428" s="4" t="s">
        <v>1231</v>
      </c>
      <c r="C1428" s="40" t="s">
        <v>1253</v>
      </c>
      <c r="D1428" s="4" t="s">
        <v>1242</v>
      </c>
      <c r="E1428" s="4" t="s">
        <v>1254</v>
      </c>
      <c r="AB1428" s="4" t="s">
        <v>1255</v>
      </c>
      <c r="AC1428" s="4" t="s">
        <v>1245</v>
      </c>
      <c r="AE1428" s="4">
        <v>1622</v>
      </c>
      <c r="AF1428" s="4" t="s">
        <v>1256</v>
      </c>
      <c r="AH1428" s="4" t="s">
        <v>596</v>
      </c>
      <c r="AQ1428" s="4" t="s">
        <v>8</v>
      </c>
      <c r="AR1428" s="4">
        <v>0</v>
      </c>
      <c r="BD1428" s="4" t="s">
        <v>1238</v>
      </c>
      <c r="BI1428" s="4" t="s">
        <v>321</v>
      </c>
      <c r="BK1428" s="4">
        <v>5</v>
      </c>
      <c r="BL1428" s="4">
        <v>1</v>
      </c>
      <c r="BM1428" s="4">
        <v>0.01</v>
      </c>
      <c r="BS1428" s="4">
        <v>5.25</v>
      </c>
      <c r="BV1428" s="4">
        <v>120</v>
      </c>
      <c r="CB1428" s="4" t="s">
        <v>8</v>
      </c>
      <c r="CC1428" s="4">
        <v>200</v>
      </c>
      <c r="DB1428" s="4" t="s">
        <v>430</v>
      </c>
      <c r="DC1428" s="4" t="s">
        <v>1239</v>
      </c>
      <c r="DO1428" s="4">
        <v>3</v>
      </c>
      <c r="EP1428" s="4">
        <v>98.42</v>
      </c>
      <c r="EQ1428" s="1">
        <v>0.13</v>
      </c>
      <c r="ES1428" s="4">
        <v>98.42</v>
      </c>
    </row>
    <row r="1429" customHeight="1" spans="1:313">
      <c r="A1429" s="5">
        <v>44</v>
      </c>
      <c r="B1429" s="4" t="s">
        <v>1231</v>
      </c>
      <c r="C1429" s="40" t="s">
        <v>1253</v>
      </c>
      <c r="D1429" s="4" t="s">
        <v>1242</v>
      </c>
      <c r="E1429" s="4" t="s">
        <v>1254</v>
      </c>
      <c r="AB1429" s="4" t="s">
        <v>1255</v>
      </c>
      <c r="AC1429" s="4" t="s">
        <v>1245</v>
      </c>
      <c r="AE1429" s="4">
        <v>1622</v>
      </c>
      <c r="AF1429" s="4" t="s">
        <v>1256</v>
      </c>
      <c r="AH1429" s="4" t="s">
        <v>596</v>
      </c>
      <c r="AQ1429" s="4" t="s">
        <v>8</v>
      </c>
      <c r="AR1429" s="4">
        <v>0</v>
      </c>
      <c r="BD1429" s="4" t="s">
        <v>1238</v>
      </c>
      <c r="BI1429" s="4" t="s">
        <v>321</v>
      </c>
      <c r="BK1429" s="4">
        <v>5</v>
      </c>
      <c r="BL1429" s="4">
        <v>1</v>
      </c>
      <c r="BM1429" s="4">
        <v>0.01</v>
      </c>
      <c r="BS1429" s="4">
        <v>5.25</v>
      </c>
      <c r="BV1429" s="4">
        <v>120</v>
      </c>
      <c r="CB1429" s="4" t="s">
        <v>8</v>
      </c>
      <c r="CC1429" s="4">
        <v>400</v>
      </c>
      <c r="DB1429" s="4" t="s">
        <v>430</v>
      </c>
      <c r="DC1429" s="4" t="s">
        <v>1239</v>
      </c>
      <c r="DO1429" s="4">
        <v>3</v>
      </c>
      <c r="EP1429" s="4">
        <v>95.69</v>
      </c>
      <c r="EQ1429" s="1">
        <v>0.26</v>
      </c>
      <c r="ES1429" s="4">
        <v>95.69</v>
      </c>
    </row>
    <row r="1430" customHeight="1" spans="1:313">
      <c r="A1430" s="5">
        <v>44</v>
      </c>
      <c r="B1430" s="4" t="s">
        <v>1231</v>
      </c>
      <c r="C1430" s="40" t="s">
        <v>1253</v>
      </c>
      <c r="D1430" s="4" t="s">
        <v>1242</v>
      </c>
      <c r="E1430" s="4" t="s">
        <v>1254</v>
      </c>
      <c r="AB1430" s="4" t="s">
        <v>1255</v>
      </c>
      <c r="AC1430" s="4" t="s">
        <v>1245</v>
      </c>
      <c r="AE1430" s="4">
        <v>1622</v>
      </c>
      <c r="AF1430" s="4" t="s">
        <v>1256</v>
      </c>
      <c r="AH1430" s="4" t="s">
        <v>596</v>
      </c>
      <c r="AQ1430" s="4" t="s">
        <v>8</v>
      </c>
      <c r="AR1430" s="4">
        <v>0</v>
      </c>
      <c r="BD1430" s="4" t="s">
        <v>1238</v>
      </c>
      <c r="BI1430" s="4" t="s">
        <v>321</v>
      </c>
      <c r="BK1430" s="4">
        <v>5</v>
      </c>
      <c r="BL1430" s="4">
        <v>1</v>
      </c>
      <c r="BM1430" s="4">
        <v>0.01</v>
      </c>
      <c r="BS1430" s="4">
        <v>5.25</v>
      </c>
      <c r="BV1430" s="4">
        <v>120</v>
      </c>
      <c r="CB1430" s="4" t="s">
        <v>8</v>
      </c>
      <c r="CC1430" s="4">
        <v>600</v>
      </c>
      <c r="DB1430" s="4" t="s">
        <v>430</v>
      </c>
      <c r="DC1430" s="4" t="s">
        <v>1239</v>
      </c>
      <c r="DO1430" s="4">
        <v>3</v>
      </c>
      <c r="EP1430" s="4">
        <v>83.97</v>
      </c>
      <c r="EQ1430" s="1">
        <v>1.45</v>
      </c>
      <c r="ES1430" s="4">
        <v>83.97</v>
      </c>
    </row>
    <row r="1431" customHeight="1" spans="1:313">
      <c r="A1431" s="5">
        <v>44</v>
      </c>
      <c r="B1431" s="4" t="s">
        <v>1231</v>
      </c>
      <c r="C1431" s="40" t="s">
        <v>1253</v>
      </c>
      <c r="D1431" s="4" t="s">
        <v>1242</v>
      </c>
      <c r="E1431" s="4" t="s">
        <v>1254</v>
      </c>
      <c r="AB1431" s="4" t="s">
        <v>1255</v>
      </c>
      <c r="AC1431" s="4" t="s">
        <v>1245</v>
      </c>
      <c r="AE1431" s="4">
        <v>1622</v>
      </c>
      <c r="AF1431" s="4" t="s">
        <v>1256</v>
      </c>
      <c r="AH1431" s="4" t="s">
        <v>596</v>
      </c>
      <c r="AQ1431" s="4" t="s">
        <v>8</v>
      </c>
      <c r="AR1431" s="4">
        <v>0</v>
      </c>
      <c r="BD1431" s="4" t="s">
        <v>1238</v>
      </c>
      <c r="BI1431" s="4" t="s">
        <v>321</v>
      </c>
      <c r="BK1431" s="4">
        <v>5</v>
      </c>
      <c r="BL1431" s="4">
        <v>1</v>
      </c>
      <c r="BM1431" s="4">
        <v>0.01</v>
      </c>
      <c r="BS1431" s="4">
        <v>5.25</v>
      </c>
      <c r="BV1431" s="4">
        <v>120</v>
      </c>
      <c r="CB1431" s="4" t="s">
        <v>8</v>
      </c>
      <c r="CC1431" s="4">
        <v>1000</v>
      </c>
      <c r="DB1431" s="4" t="s">
        <v>430</v>
      </c>
      <c r="DC1431" s="4" t="s">
        <v>1239</v>
      </c>
      <c r="DO1431" s="4">
        <v>3</v>
      </c>
      <c r="EP1431" s="4">
        <v>28.25</v>
      </c>
      <c r="EQ1431" s="1">
        <v>0.13</v>
      </c>
      <c r="ES1431" s="4">
        <v>28.25</v>
      </c>
    </row>
    <row r="1432" customHeight="1" spans="1:313">
      <c r="A1432" s="5">
        <v>44</v>
      </c>
      <c r="B1432" s="4" t="s">
        <v>1231</v>
      </c>
      <c r="C1432" s="40" t="s">
        <v>1253</v>
      </c>
      <c r="D1432" s="4" t="s">
        <v>1242</v>
      </c>
      <c r="E1432" s="4" t="s">
        <v>1254</v>
      </c>
      <c r="AB1432" s="4" t="s">
        <v>1255</v>
      </c>
      <c r="AC1432" s="4" t="s">
        <v>1245</v>
      </c>
      <c r="AE1432" s="4">
        <v>1622</v>
      </c>
      <c r="AF1432" s="4" t="s">
        <v>1256</v>
      </c>
      <c r="AH1432" s="4" t="s">
        <v>596</v>
      </c>
      <c r="AQ1432" s="4" t="s">
        <v>8</v>
      </c>
      <c r="AR1432" s="4">
        <v>0</v>
      </c>
      <c r="BD1432" s="4" t="s">
        <v>1238</v>
      </c>
      <c r="BI1432" s="4" t="s">
        <v>321</v>
      </c>
      <c r="BK1432" s="4">
        <v>5</v>
      </c>
      <c r="BL1432" s="4">
        <v>1</v>
      </c>
      <c r="BM1432" s="4">
        <v>0.5</v>
      </c>
      <c r="BS1432" s="4">
        <v>3</v>
      </c>
      <c r="BV1432" s="4">
        <v>120</v>
      </c>
      <c r="CB1432" s="4" t="s">
        <v>8</v>
      </c>
      <c r="CC1432" s="4">
        <v>1000</v>
      </c>
      <c r="DO1432" s="4">
        <v>3</v>
      </c>
      <c r="EP1432" s="4">
        <v>99.01</v>
      </c>
      <c r="EQ1432" s="1">
        <v>0.33</v>
      </c>
      <c r="ES1432" s="4">
        <v>99.01</v>
      </c>
    </row>
    <row r="1433" customHeight="1" spans="1:313">
      <c r="A1433" s="5">
        <v>44</v>
      </c>
      <c r="B1433" s="4" t="s">
        <v>1231</v>
      </c>
      <c r="C1433" s="40" t="s">
        <v>1253</v>
      </c>
      <c r="D1433" s="4" t="s">
        <v>1242</v>
      </c>
      <c r="E1433" s="4" t="s">
        <v>1254</v>
      </c>
      <c r="AB1433" s="4" t="s">
        <v>1255</v>
      </c>
      <c r="AC1433" s="4" t="s">
        <v>1245</v>
      </c>
      <c r="AE1433" s="4">
        <v>1622</v>
      </c>
      <c r="AF1433" s="4" t="s">
        <v>1256</v>
      </c>
      <c r="AH1433" s="4" t="s">
        <v>596</v>
      </c>
      <c r="AQ1433" s="4" t="s">
        <v>8</v>
      </c>
      <c r="AR1433" s="4">
        <v>0</v>
      </c>
      <c r="BD1433" s="4" t="s">
        <v>1238</v>
      </c>
      <c r="BI1433" s="4" t="s">
        <v>321</v>
      </c>
      <c r="BK1433" s="4">
        <v>5</v>
      </c>
      <c r="BL1433" s="4">
        <v>1</v>
      </c>
      <c r="BM1433" s="4">
        <v>0.5</v>
      </c>
      <c r="BS1433" s="4">
        <v>5</v>
      </c>
      <c r="BV1433" s="4">
        <v>120</v>
      </c>
      <c r="CB1433" s="4" t="s">
        <v>8</v>
      </c>
      <c r="CC1433" s="4">
        <v>1000</v>
      </c>
      <c r="DO1433" s="4">
        <v>3</v>
      </c>
      <c r="EP1433" s="4">
        <v>99.56</v>
      </c>
      <c r="EQ1433" s="1">
        <v>0</v>
      </c>
      <c r="ES1433" s="4">
        <v>99.56</v>
      </c>
    </row>
    <row r="1434" customHeight="1" spans="1:313">
      <c r="A1434" s="5">
        <v>44</v>
      </c>
      <c r="B1434" s="4" t="s">
        <v>1231</v>
      </c>
      <c r="C1434" s="40" t="s">
        <v>1253</v>
      </c>
      <c r="D1434" s="4" t="s">
        <v>1242</v>
      </c>
      <c r="E1434" s="4" t="s">
        <v>1254</v>
      </c>
      <c r="AB1434" s="4" t="s">
        <v>1255</v>
      </c>
      <c r="AC1434" s="4" t="s">
        <v>1245</v>
      </c>
      <c r="AE1434" s="4">
        <v>1622</v>
      </c>
      <c r="AF1434" s="4" t="s">
        <v>1256</v>
      </c>
      <c r="AH1434" s="4" t="s">
        <v>596</v>
      </c>
      <c r="AQ1434" s="4" t="s">
        <v>8</v>
      </c>
      <c r="AR1434" s="4">
        <v>0</v>
      </c>
      <c r="BD1434" s="4" t="s">
        <v>1238</v>
      </c>
      <c r="BI1434" s="4" t="s">
        <v>321</v>
      </c>
      <c r="BK1434" s="4">
        <v>5</v>
      </c>
      <c r="BL1434" s="4">
        <v>1</v>
      </c>
      <c r="BM1434" s="4">
        <v>0.5</v>
      </c>
      <c r="BS1434" s="4">
        <v>7</v>
      </c>
      <c r="BV1434" s="4">
        <v>120</v>
      </c>
      <c r="CB1434" s="4" t="s">
        <v>8</v>
      </c>
      <c r="CC1434" s="4">
        <v>1000</v>
      </c>
      <c r="DO1434" s="4">
        <v>3</v>
      </c>
      <c r="EP1434" s="4">
        <v>99.12</v>
      </c>
      <c r="EQ1434" s="1">
        <v>0.11</v>
      </c>
      <c r="ES1434" s="4">
        <v>99.12</v>
      </c>
    </row>
    <row r="1435" customHeight="1" spans="1:313">
      <c r="A1435" s="5">
        <v>44</v>
      </c>
      <c r="B1435" s="4" t="s">
        <v>1231</v>
      </c>
      <c r="C1435" s="40" t="s">
        <v>1253</v>
      </c>
      <c r="D1435" s="4" t="s">
        <v>1242</v>
      </c>
      <c r="E1435" s="4" t="s">
        <v>1254</v>
      </c>
      <c r="AB1435" s="4" t="s">
        <v>1255</v>
      </c>
      <c r="AC1435" s="4" t="s">
        <v>1245</v>
      </c>
      <c r="AE1435" s="4">
        <v>1622</v>
      </c>
      <c r="AF1435" s="4" t="s">
        <v>1256</v>
      </c>
      <c r="AH1435" s="4" t="s">
        <v>596</v>
      </c>
      <c r="AQ1435" s="4" t="s">
        <v>8</v>
      </c>
      <c r="AR1435" s="4">
        <v>0</v>
      </c>
      <c r="BD1435" s="4" t="s">
        <v>1238</v>
      </c>
      <c r="BI1435" s="4" t="s">
        <v>321</v>
      </c>
      <c r="BK1435" s="4">
        <v>5</v>
      </c>
      <c r="BL1435" s="4">
        <v>1</v>
      </c>
      <c r="BM1435" s="4">
        <v>0.5</v>
      </c>
      <c r="BS1435" s="4">
        <v>10</v>
      </c>
      <c r="BV1435" s="4">
        <v>120</v>
      </c>
      <c r="CB1435" s="4" t="s">
        <v>8</v>
      </c>
      <c r="CC1435" s="4">
        <v>1000</v>
      </c>
      <c r="DO1435" s="4">
        <v>3</v>
      </c>
      <c r="EP1435" s="4">
        <v>99.34</v>
      </c>
      <c r="EQ1435" s="1">
        <v>0</v>
      </c>
      <c r="ES1435" s="4">
        <v>99.34</v>
      </c>
    </row>
    <row r="1436" customHeight="1" spans="1:313">
      <c r="A1436" s="5">
        <v>44</v>
      </c>
      <c r="B1436" s="4" t="s">
        <v>1231</v>
      </c>
      <c r="C1436" s="40" t="s">
        <v>1253</v>
      </c>
      <c r="D1436" s="4" t="s">
        <v>1242</v>
      </c>
      <c r="E1436" s="4" t="s">
        <v>1254</v>
      </c>
      <c r="AB1436" s="4" t="s">
        <v>1255</v>
      </c>
      <c r="AC1436" s="4" t="s">
        <v>1245</v>
      </c>
      <c r="AE1436" s="4">
        <v>1622</v>
      </c>
      <c r="AF1436" s="4" t="s">
        <v>1256</v>
      </c>
      <c r="AH1436" s="4" t="s">
        <v>596</v>
      </c>
      <c r="AQ1436" s="4" t="s">
        <v>8</v>
      </c>
      <c r="AR1436" s="4">
        <v>0</v>
      </c>
      <c r="BD1436" s="4" t="s">
        <v>1238</v>
      </c>
      <c r="BL1436" s="4">
        <v>1</v>
      </c>
      <c r="BW1436" s="4" t="s">
        <v>311</v>
      </c>
      <c r="CV1436" s="4">
        <v>90</v>
      </c>
      <c r="CX1436" s="4" t="s">
        <v>314</v>
      </c>
      <c r="DM1436" s="4">
        <v>10</v>
      </c>
      <c r="DO1436" s="4">
        <v>3</v>
      </c>
      <c r="EL1436" s="4">
        <v>53.8</v>
      </c>
    </row>
    <row r="1437" customHeight="1" spans="1:313">
      <c r="A1437" s="5">
        <v>44</v>
      </c>
      <c r="B1437" s="4" t="s">
        <v>1231</v>
      </c>
      <c r="C1437" s="40" t="s">
        <v>1253</v>
      </c>
      <c r="D1437" s="4" t="s">
        <v>1242</v>
      </c>
      <c r="E1437" s="4" t="s">
        <v>1254</v>
      </c>
      <c r="AB1437" s="4" t="s">
        <v>1255</v>
      </c>
      <c r="AC1437" s="4" t="s">
        <v>1245</v>
      </c>
      <c r="AE1437" s="4">
        <v>1622</v>
      </c>
      <c r="AF1437" s="4" t="s">
        <v>1256</v>
      </c>
      <c r="AH1437" s="4" t="s">
        <v>596</v>
      </c>
      <c r="AQ1437" s="4" t="s">
        <v>8</v>
      </c>
      <c r="AR1437" s="4">
        <v>0</v>
      </c>
      <c r="BD1437" s="4" t="s">
        <v>1238</v>
      </c>
      <c r="BI1437" s="4" t="s">
        <v>321</v>
      </c>
      <c r="BM1437" s="4">
        <v>0</v>
      </c>
      <c r="BS1437" s="4" t="s">
        <v>1240</v>
      </c>
      <c r="BU1437" s="41" t="s">
        <v>398</v>
      </c>
      <c r="CB1437" s="4" t="s">
        <v>8</v>
      </c>
      <c r="DO1437" s="4">
        <v>3</v>
      </c>
      <c r="EF1437" s="4">
        <v>41.23</v>
      </c>
      <c r="EH1437" s="4">
        <v>41.23</v>
      </c>
      <c r="EI1437" s="1">
        <v>0.68</v>
      </c>
      <c r="ER1437" s="1">
        <f>(EF1437-EH1437)/EF1437*100</f>
        <v>0</v>
      </c>
      <c r="ES1437" s="1">
        <v>0</v>
      </c>
    </row>
    <row r="1438" customHeight="1" spans="1:313">
      <c r="A1438" s="5">
        <v>44</v>
      </c>
      <c r="B1438" s="4" t="s">
        <v>1231</v>
      </c>
      <c r="C1438" s="40" t="s">
        <v>1253</v>
      </c>
      <c r="D1438" s="4" t="s">
        <v>1242</v>
      </c>
      <c r="E1438" s="4" t="s">
        <v>1254</v>
      </c>
      <c r="AB1438" s="4" t="s">
        <v>1255</v>
      </c>
      <c r="AC1438" s="4" t="s">
        <v>1245</v>
      </c>
      <c r="AE1438" s="4">
        <v>1622</v>
      </c>
      <c r="AF1438" s="4" t="s">
        <v>1256</v>
      </c>
      <c r="AH1438" s="4" t="s">
        <v>596</v>
      </c>
      <c r="AQ1438" s="4" t="s">
        <v>8</v>
      </c>
      <c r="AR1438" s="4">
        <v>0</v>
      </c>
      <c r="BD1438" s="4" t="s">
        <v>1238</v>
      </c>
      <c r="BI1438" s="4" t="s">
        <v>321</v>
      </c>
      <c r="BM1438" s="4">
        <v>0.07</v>
      </c>
      <c r="BS1438" s="4" t="s">
        <v>1240</v>
      </c>
      <c r="BU1438" s="41" t="s">
        <v>398</v>
      </c>
      <c r="CB1438" s="4" t="s">
        <v>8</v>
      </c>
      <c r="DO1438" s="4">
        <v>3</v>
      </c>
      <c r="EF1438" s="4">
        <v>41.23</v>
      </c>
      <c r="EH1438" s="4">
        <v>9.91</v>
      </c>
      <c r="EI1438" s="1">
        <v>1.36</v>
      </c>
      <c r="ER1438" s="1">
        <f>(EF1438-EH1438)/EF1438*100</f>
        <v>75.9641038079069</v>
      </c>
      <c r="ES1438" s="1">
        <v>75.9641038079069</v>
      </c>
    </row>
    <row r="1439" customHeight="1" spans="1:313">
      <c r="A1439" s="3">
        <v>45</v>
      </c>
      <c r="B1439" s="4" t="s">
        <v>1257</v>
      </c>
      <c r="C1439" s="5" t="s">
        <v>1258</v>
      </c>
      <c r="T1439" s="4">
        <v>17.59</v>
      </c>
      <c r="U1439" s="4">
        <v>0.006</v>
      </c>
      <c r="V1439" s="4">
        <v>3.427</v>
      </c>
      <c r="AC1439" s="4" t="s">
        <v>1259</v>
      </c>
      <c r="AD1439" s="4" t="s">
        <v>1260</v>
      </c>
      <c r="AE1439" s="4" t="s">
        <v>1261</v>
      </c>
      <c r="AF1439" s="4" t="s">
        <v>1262</v>
      </c>
      <c r="AH1439" s="4" t="s">
        <v>371</v>
      </c>
      <c r="AM1439" s="4" t="s">
        <v>1059</v>
      </c>
      <c r="AQ1439" s="4" t="s">
        <v>464</v>
      </c>
      <c r="AR1439" s="4" t="s">
        <v>1263</v>
      </c>
      <c r="AS1439" s="4" t="s">
        <v>465</v>
      </c>
      <c r="AT1439" s="4" t="s">
        <v>1264</v>
      </c>
      <c r="BD1439" s="4" t="s">
        <v>1265</v>
      </c>
      <c r="BI1439" s="4" t="s">
        <v>321</v>
      </c>
      <c r="BK1439" s="4">
        <v>5</v>
      </c>
      <c r="BL1439" s="4">
        <v>1</v>
      </c>
      <c r="BM1439" s="4">
        <v>0.02</v>
      </c>
      <c r="BV1439" s="4">
        <v>240</v>
      </c>
      <c r="CB1439" s="4" t="s">
        <v>12</v>
      </c>
      <c r="CD1439" s="4" t="s">
        <v>1266</v>
      </c>
      <c r="CE1439" s="4" t="s">
        <v>11</v>
      </c>
      <c r="CG1439" s="4" t="s">
        <v>1266</v>
      </c>
      <c r="DB1439" s="4" t="s">
        <v>430</v>
      </c>
      <c r="DO1439" s="4">
        <v>3</v>
      </c>
      <c r="GE1439" s="4"/>
      <c r="GI1439" s="4"/>
      <c r="GL1439" s="4"/>
      <c r="GT1439" s="4"/>
      <c r="GX1439" s="4"/>
      <c r="HA1439" s="4"/>
      <c r="KZ1439" s="1" t="s">
        <v>12</v>
      </c>
      <c r="LA1439" s="1" t="s">
        <v>1267</v>
      </c>
    </row>
    <row r="1440" customHeight="1" spans="1:313">
      <c r="A1440" s="3">
        <v>45</v>
      </c>
      <c r="B1440" s="4" t="s">
        <v>1257</v>
      </c>
      <c r="C1440" s="5" t="s">
        <v>1258</v>
      </c>
      <c r="T1440" s="4">
        <v>17.59</v>
      </c>
      <c r="U1440" s="4">
        <v>0.006</v>
      </c>
      <c r="V1440" s="4">
        <v>3.427</v>
      </c>
      <c r="AC1440" s="4" t="s">
        <v>1259</v>
      </c>
      <c r="AD1440" s="4" t="s">
        <v>1260</v>
      </c>
      <c r="AE1440" s="4" t="s">
        <v>1261</v>
      </c>
      <c r="AF1440" s="4" t="s">
        <v>1262</v>
      </c>
      <c r="AH1440" s="4" t="s">
        <v>371</v>
      </c>
      <c r="AM1440" s="4" t="s">
        <v>1059</v>
      </c>
      <c r="AQ1440" s="4" t="s">
        <v>464</v>
      </c>
      <c r="AR1440" s="4" t="s">
        <v>1263</v>
      </c>
      <c r="AS1440" s="4" t="s">
        <v>465</v>
      </c>
      <c r="AT1440" s="4" t="s">
        <v>1264</v>
      </c>
      <c r="BD1440" s="4" t="s">
        <v>1265</v>
      </c>
      <c r="BI1440" s="4" t="s">
        <v>321</v>
      </c>
      <c r="BK1440" s="4">
        <v>25</v>
      </c>
      <c r="BL1440" s="4">
        <v>1</v>
      </c>
      <c r="BM1440" s="4">
        <v>0.02</v>
      </c>
      <c r="BV1440" s="4" t="s">
        <v>1268</v>
      </c>
      <c r="BW1440" s="4">
        <v>25</v>
      </c>
      <c r="CB1440" s="4" t="s">
        <v>12</v>
      </c>
      <c r="CD1440" s="4">
        <v>320</v>
      </c>
      <c r="CE1440" s="4" t="s">
        <v>11</v>
      </c>
      <c r="CG1440" s="4">
        <v>320</v>
      </c>
      <c r="CV1440" s="4">
        <v>60</v>
      </c>
      <c r="CX1440" s="4" t="s">
        <v>314</v>
      </c>
      <c r="DM1440" s="4">
        <v>240</v>
      </c>
      <c r="DO1440" s="4">
        <v>3</v>
      </c>
      <c r="GE1440" s="4">
        <v>285.78</v>
      </c>
      <c r="GF1440" s="1">
        <v>7.34</v>
      </c>
      <c r="GI1440" s="4"/>
      <c r="GK1440" s="1">
        <f t="shared" ref="GK1440:GK1443" si="46">GE1440/320*100</f>
        <v>89.30625</v>
      </c>
      <c r="GL1440" s="4">
        <v>89.30625</v>
      </c>
      <c r="GT1440" s="4">
        <v>359.06</v>
      </c>
      <c r="GU1440" s="1">
        <v>10</v>
      </c>
      <c r="GX1440" s="4"/>
      <c r="GZ1440" s="1">
        <f>GT1440/3.2</f>
        <v>112.20625</v>
      </c>
      <c r="HA1440" s="4">
        <v>112.20625</v>
      </c>
      <c r="KZ1440" s="1" t="s">
        <v>11</v>
      </c>
      <c r="LA1440" s="1" t="s">
        <v>1269</v>
      </c>
    </row>
    <row r="1441" customHeight="1" spans="1:313">
      <c r="A1441" s="3">
        <v>45</v>
      </c>
      <c r="B1441" s="4" t="s">
        <v>1270</v>
      </c>
      <c r="C1441" s="5" t="s">
        <v>1271</v>
      </c>
      <c r="D1441" s="4" t="s">
        <v>478</v>
      </c>
      <c r="E1441" s="4" t="s">
        <v>1272</v>
      </c>
      <c r="N1441" s="4" t="s">
        <v>567</v>
      </c>
      <c r="O1441" s="4" t="s">
        <v>343</v>
      </c>
      <c r="P1441" s="4">
        <v>2</v>
      </c>
      <c r="AH1441" s="4" t="s">
        <v>371</v>
      </c>
      <c r="AM1441" s="4" t="s">
        <v>1059</v>
      </c>
      <c r="AQ1441" s="4" t="s">
        <v>464</v>
      </c>
      <c r="AR1441" s="4" t="s">
        <v>1263</v>
      </c>
      <c r="AS1441" s="4" t="s">
        <v>465</v>
      </c>
      <c r="AT1441" s="4" t="s">
        <v>1264</v>
      </c>
      <c r="BD1441" s="4" t="s">
        <v>1265</v>
      </c>
      <c r="BI1441" s="4" t="s">
        <v>321</v>
      </c>
      <c r="BK1441" s="4">
        <v>5</v>
      </c>
      <c r="BL1441" s="4">
        <v>1</v>
      </c>
      <c r="BM1441" s="4">
        <v>0.02</v>
      </c>
      <c r="BV1441" s="4">
        <v>240</v>
      </c>
      <c r="CB1441" s="4" t="s">
        <v>12</v>
      </c>
      <c r="CD1441" s="4" t="s">
        <v>1266</v>
      </c>
      <c r="CE1441" s="4" t="s">
        <v>11</v>
      </c>
      <c r="CG1441" s="4" t="s">
        <v>1266</v>
      </c>
      <c r="DB1441" s="4" t="s">
        <v>430</v>
      </c>
      <c r="DO1441" s="4">
        <v>3</v>
      </c>
      <c r="GE1441" s="4"/>
      <c r="GI1441" s="4"/>
      <c r="GL1441" s="4"/>
      <c r="GT1441" s="4"/>
      <c r="GX1441" s="4"/>
      <c r="HA1441" s="4"/>
      <c r="KZ1441" s="1" t="s">
        <v>12</v>
      </c>
      <c r="LA1441" s="1" t="s">
        <v>1267</v>
      </c>
    </row>
    <row r="1442" customHeight="1" spans="1:313">
      <c r="A1442" s="3">
        <v>45</v>
      </c>
      <c r="B1442" s="4" t="s">
        <v>1270</v>
      </c>
      <c r="C1442" s="5" t="s">
        <v>1271</v>
      </c>
      <c r="D1442" s="4" t="s">
        <v>478</v>
      </c>
      <c r="E1442" s="4" t="s">
        <v>1272</v>
      </c>
      <c r="N1442" s="4" t="s">
        <v>567</v>
      </c>
      <c r="O1442" s="4" t="s">
        <v>343</v>
      </c>
      <c r="P1442" s="4">
        <v>2</v>
      </c>
      <c r="AH1442" s="4" t="s">
        <v>371</v>
      </c>
      <c r="AM1442" s="4" t="s">
        <v>1059</v>
      </c>
      <c r="AQ1442" s="4" t="s">
        <v>464</v>
      </c>
      <c r="AR1442" s="4" t="s">
        <v>1263</v>
      </c>
      <c r="AS1442" s="4" t="s">
        <v>465</v>
      </c>
      <c r="AT1442" s="4" t="s">
        <v>1264</v>
      </c>
      <c r="BD1442" s="4" t="s">
        <v>1265</v>
      </c>
      <c r="BI1442" s="4" t="s">
        <v>321</v>
      </c>
      <c r="BK1442" s="4">
        <v>25</v>
      </c>
      <c r="BL1442" s="4">
        <v>1</v>
      </c>
      <c r="BM1442" s="4">
        <v>0.02</v>
      </c>
      <c r="BV1442" s="4" t="s">
        <v>1268</v>
      </c>
      <c r="BW1442" s="4">
        <v>25</v>
      </c>
      <c r="CB1442" s="4" t="s">
        <v>12</v>
      </c>
      <c r="CD1442" s="4">
        <v>320</v>
      </c>
      <c r="CE1442" s="4" t="s">
        <v>11</v>
      </c>
      <c r="CG1442" s="4">
        <v>320</v>
      </c>
      <c r="CV1442" s="4">
        <v>60</v>
      </c>
      <c r="CX1442" s="4" t="s">
        <v>314</v>
      </c>
      <c r="DM1442" s="4">
        <v>240</v>
      </c>
      <c r="DO1442" s="4">
        <v>3</v>
      </c>
      <c r="GE1442" s="4">
        <v>236.76</v>
      </c>
      <c r="GF1442" s="1">
        <v>9.79</v>
      </c>
      <c r="GI1442" s="4"/>
      <c r="GK1442" s="1">
        <f t="shared" si="46"/>
        <v>73.9875</v>
      </c>
      <c r="GL1442" s="4">
        <v>73.9875</v>
      </c>
      <c r="GT1442" s="4">
        <v>338.58</v>
      </c>
      <c r="GU1442" s="1">
        <v>12.11</v>
      </c>
      <c r="GX1442" s="4"/>
      <c r="GZ1442" s="1">
        <f>GT1442/3.2</f>
        <v>105.80625</v>
      </c>
      <c r="HA1442" s="4">
        <v>105.80625</v>
      </c>
      <c r="KZ1442" s="1" t="s">
        <v>11</v>
      </c>
      <c r="LA1442" s="1" t="s">
        <v>1269</v>
      </c>
    </row>
    <row r="1443" customHeight="1" spans="1:313">
      <c r="A1443" s="3">
        <v>45</v>
      </c>
      <c r="B1443" s="4" t="s">
        <v>1270</v>
      </c>
      <c r="C1443" s="5" t="s">
        <v>1273</v>
      </c>
      <c r="D1443" s="4" t="s">
        <v>478</v>
      </c>
      <c r="T1443" s="4">
        <v>58.6</v>
      </c>
      <c r="U1443" s="4">
        <v>0.064</v>
      </c>
      <c r="V1443" s="4">
        <v>3.082</v>
      </c>
      <c r="AC1443" s="4" t="s">
        <v>1274</v>
      </c>
      <c r="AD1443" s="4" t="s">
        <v>1275</v>
      </c>
      <c r="AE1443" s="4" t="s">
        <v>1276</v>
      </c>
      <c r="AF1443" s="4" t="s">
        <v>1277</v>
      </c>
      <c r="AH1443" s="4" t="s">
        <v>371</v>
      </c>
      <c r="AM1443" s="4" t="s">
        <v>1059</v>
      </c>
      <c r="AQ1443" s="4" t="s">
        <v>464</v>
      </c>
      <c r="AR1443" s="4" t="s">
        <v>1263</v>
      </c>
      <c r="AS1443" s="4" t="s">
        <v>465</v>
      </c>
      <c r="AT1443" s="4" t="s">
        <v>1264</v>
      </c>
      <c r="BD1443" s="4" t="s">
        <v>1265</v>
      </c>
      <c r="BI1443" s="4" t="s">
        <v>321</v>
      </c>
      <c r="DO1443" s="4">
        <v>3</v>
      </c>
      <c r="GE1443" s="4">
        <v>130.82</v>
      </c>
      <c r="GI1443" s="4"/>
      <c r="GK1443" s="1">
        <f t="shared" si="46"/>
        <v>40.88125</v>
      </c>
      <c r="GL1443" s="4">
        <v>40.88125</v>
      </c>
      <c r="GT1443" s="4">
        <v>128.57</v>
      </c>
      <c r="GX1443" s="4"/>
      <c r="HA1443" s="4"/>
      <c r="KZ1443" s="1" t="s">
        <v>12</v>
      </c>
      <c r="LA1443" s="1" t="s">
        <v>1267</v>
      </c>
    </row>
    <row r="1444" customHeight="1" spans="1:313">
      <c r="A1444" s="3">
        <v>45</v>
      </c>
      <c r="B1444" s="4" t="s">
        <v>1270</v>
      </c>
      <c r="C1444" s="5" t="s">
        <v>1273</v>
      </c>
      <c r="D1444" s="4" t="s">
        <v>478</v>
      </c>
      <c r="T1444" s="4">
        <v>58.6</v>
      </c>
      <c r="U1444" s="4">
        <v>0.064</v>
      </c>
      <c r="V1444" s="4">
        <v>3.082</v>
      </c>
      <c r="AC1444" s="4" t="s">
        <v>1274</v>
      </c>
      <c r="AD1444" s="4" t="s">
        <v>1275</v>
      </c>
      <c r="AE1444" s="4" t="s">
        <v>1276</v>
      </c>
      <c r="AF1444" s="4" t="s">
        <v>1277</v>
      </c>
      <c r="AH1444" s="4" t="s">
        <v>371</v>
      </c>
      <c r="AM1444" s="4" t="s">
        <v>1059</v>
      </c>
      <c r="AQ1444" s="4" t="s">
        <v>464</v>
      </c>
      <c r="AR1444" s="4" t="s">
        <v>1263</v>
      </c>
      <c r="AS1444" s="4" t="s">
        <v>465</v>
      </c>
      <c r="AT1444" s="4" t="s">
        <v>1264</v>
      </c>
      <c r="BD1444" s="4" t="s">
        <v>1265</v>
      </c>
      <c r="BI1444" s="4" t="s">
        <v>321</v>
      </c>
      <c r="BK1444" s="4">
        <v>5</v>
      </c>
      <c r="BL1444" s="4">
        <v>1</v>
      </c>
      <c r="BM1444" s="4">
        <v>0.02</v>
      </c>
      <c r="BV1444" s="4">
        <v>240</v>
      </c>
      <c r="CB1444" s="4" t="s">
        <v>12</v>
      </c>
      <c r="CD1444" s="4" t="s">
        <v>1266</v>
      </c>
      <c r="CE1444" s="4" t="s">
        <v>11</v>
      </c>
      <c r="CG1444" s="4" t="s">
        <v>1266</v>
      </c>
      <c r="DB1444" s="4" t="s">
        <v>430</v>
      </c>
      <c r="DO1444" s="4">
        <v>3</v>
      </c>
      <c r="GE1444" s="4"/>
      <c r="GI1444" s="4"/>
      <c r="GL1444" s="4"/>
      <c r="GT1444" s="4"/>
      <c r="GX1444" s="4"/>
      <c r="HA1444" s="4"/>
      <c r="KZ1444" s="1" t="s">
        <v>11</v>
      </c>
      <c r="LA1444" s="1" t="s">
        <v>1269</v>
      </c>
    </row>
    <row r="1445" customHeight="1" spans="1:313">
      <c r="A1445" s="3">
        <v>45</v>
      </c>
      <c r="B1445" s="4" t="s">
        <v>1270</v>
      </c>
      <c r="C1445" s="5" t="s">
        <v>1273</v>
      </c>
      <c r="D1445" s="4" t="s">
        <v>478</v>
      </c>
      <c r="T1445" s="4">
        <v>58.6</v>
      </c>
      <c r="U1445" s="4">
        <v>0.064</v>
      </c>
      <c r="V1445" s="4">
        <v>3.082</v>
      </c>
      <c r="AC1445" s="4" t="s">
        <v>1274</v>
      </c>
      <c r="AD1445" s="4" t="s">
        <v>1275</v>
      </c>
      <c r="AE1445" s="4" t="s">
        <v>1276</v>
      </c>
      <c r="AF1445" s="4" t="s">
        <v>1277</v>
      </c>
      <c r="AH1445" s="4" t="s">
        <v>371</v>
      </c>
      <c r="AM1445" s="4" t="s">
        <v>1059</v>
      </c>
      <c r="AQ1445" s="4" t="s">
        <v>464</v>
      </c>
      <c r="AR1445" s="4" t="s">
        <v>1263</v>
      </c>
      <c r="AS1445" s="4" t="s">
        <v>465</v>
      </c>
      <c r="AT1445" s="4" t="s">
        <v>1264</v>
      </c>
      <c r="BD1445" s="4" t="s">
        <v>1265</v>
      </c>
      <c r="BI1445" s="4" t="s">
        <v>321</v>
      </c>
      <c r="BK1445" s="4">
        <v>5</v>
      </c>
      <c r="BL1445" s="4">
        <v>1</v>
      </c>
      <c r="BM1445" s="4">
        <v>0.02</v>
      </c>
      <c r="BS1445" s="4">
        <v>3</v>
      </c>
      <c r="BV1445" s="4">
        <v>240</v>
      </c>
      <c r="CB1445" s="4" t="s">
        <v>12</v>
      </c>
      <c r="CD1445" s="4">
        <v>320</v>
      </c>
      <c r="CE1445" s="4" t="s">
        <v>11</v>
      </c>
      <c r="CG1445" s="4">
        <v>320</v>
      </c>
      <c r="DO1445" s="4">
        <v>3</v>
      </c>
      <c r="GE1445" s="4"/>
      <c r="GI1445" s="4">
        <v>52.53</v>
      </c>
      <c r="GL1445" s="4">
        <v>52.53</v>
      </c>
      <c r="GT1445" s="4"/>
      <c r="GX1445" s="4">
        <v>44.48</v>
      </c>
      <c r="HA1445" s="4">
        <v>44.48</v>
      </c>
    </row>
    <row r="1446" customHeight="1" spans="1:313">
      <c r="A1446" s="3">
        <v>45</v>
      </c>
      <c r="B1446" s="4" t="s">
        <v>1270</v>
      </c>
      <c r="C1446" s="5" t="s">
        <v>1273</v>
      </c>
      <c r="D1446" s="4" t="s">
        <v>478</v>
      </c>
      <c r="T1446" s="4">
        <v>58.6</v>
      </c>
      <c r="U1446" s="4">
        <v>0.064</v>
      </c>
      <c r="V1446" s="4">
        <v>3.082</v>
      </c>
      <c r="AC1446" s="4" t="s">
        <v>1274</v>
      </c>
      <c r="AD1446" s="4" t="s">
        <v>1275</v>
      </c>
      <c r="AE1446" s="4" t="s">
        <v>1276</v>
      </c>
      <c r="AF1446" s="4" t="s">
        <v>1277</v>
      </c>
      <c r="AH1446" s="4" t="s">
        <v>371</v>
      </c>
      <c r="AM1446" s="4" t="s">
        <v>1059</v>
      </c>
      <c r="AQ1446" s="4" t="s">
        <v>464</v>
      </c>
      <c r="AR1446" s="4" t="s">
        <v>1263</v>
      </c>
      <c r="AS1446" s="4" t="s">
        <v>465</v>
      </c>
      <c r="AT1446" s="4" t="s">
        <v>1264</v>
      </c>
      <c r="BD1446" s="4" t="s">
        <v>1265</v>
      </c>
      <c r="BI1446" s="4" t="s">
        <v>321</v>
      </c>
      <c r="BK1446" s="4">
        <v>5</v>
      </c>
      <c r="BL1446" s="4">
        <v>1</v>
      </c>
      <c r="BM1446" s="4">
        <v>0.02</v>
      </c>
      <c r="BS1446" s="4">
        <v>5</v>
      </c>
      <c r="BV1446" s="4">
        <v>240</v>
      </c>
      <c r="CB1446" s="4" t="s">
        <v>12</v>
      </c>
      <c r="CD1446" s="4">
        <v>320</v>
      </c>
      <c r="CE1446" s="4" t="s">
        <v>11</v>
      </c>
      <c r="CG1446" s="4">
        <v>320</v>
      </c>
      <c r="DO1446" s="4">
        <v>3</v>
      </c>
      <c r="GE1446" s="4"/>
      <c r="GI1446" s="4">
        <v>70.34</v>
      </c>
      <c r="GL1446" s="4">
        <v>70.34</v>
      </c>
      <c r="GT1446" s="4"/>
      <c r="GX1446" s="4">
        <v>76.32</v>
      </c>
      <c r="HA1446" s="4">
        <v>76.32</v>
      </c>
    </row>
    <row r="1447" customHeight="1" spans="1:313">
      <c r="A1447" s="3">
        <v>45</v>
      </c>
      <c r="B1447" s="4" t="s">
        <v>1270</v>
      </c>
      <c r="C1447" s="5" t="s">
        <v>1273</v>
      </c>
      <c r="D1447" s="4" t="s">
        <v>478</v>
      </c>
      <c r="T1447" s="4">
        <v>58.6</v>
      </c>
      <c r="U1447" s="4">
        <v>0.064</v>
      </c>
      <c r="V1447" s="4">
        <v>3.082</v>
      </c>
      <c r="AC1447" s="4" t="s">
        <v>1274</v>
      </c>
      <c r="AD1447" s="4" t="s">
        <v>1275</v>
      </c>
      <c r="AE1447" s="4" t="s">
        <v>1276</v>
      </c>
      <c r="AF1447" s="4" t="s">
        <v>1277</v>
      </c>
      <c r="AH1447" s="4" t="s">
        <v>371</v>
      </c>
      <c r="AM1447" s="4" t="s">
        <v>1059</v>
      </c>
      <c r="AQ1447" s="4" t="s">
        <v>464</v>
      </c>
      <c r="AR1447" s="4" t="s">
        <v>1263</v>
      </c>
      <c r="AS1447" s="4" t="s">
        <v>465</v>
      </c>
      <c r="AT1447" s="4" t="s">
        <v>1264</v>
      </c>
      <c r="BD1447" s="4" t="s">
        <v>1265</v>
      </c>
      <c r="BI1447" s="4" t="s">
        <v>321</v>
      </c>
      <c r="BK1447" s="4">
        <v>5</v>
      </c>
      <c r="BL1447" s="4">
        <v>1</v>
      </c>
      <c r="BM1447" s="4">
        <v>0.02</v>
      </c>
      <c r="BS1447" s="4">
        <v>7</v>
      </c>
      <c r="BV1447" s="4">
        <v>240</v>
      </c>
      <c r="CB1447" s="4" t="s">
        <v>12</v>
      </c>
      <c r="CD1447" s="4">
        <v>320</v>
      </c>
      <c r="CE1447" s="4" t="s">
        <v>11</v>
      </c>
      <c r="CG1447" s="4">
        <v>320</v>
      </c>
      <c r="DO1447" s="4">
        <v>3</v>
      </c>
      <c r="GE1447" s="4"/>
      <c r="GI1447" s="4">
        <v>82.07</v>
      </c>
      <c r="GL1447" s="4">
        <v>82.07</v>
      </c>
      <c r="GT1447" s="4"/>
      <c r="GX1447" s="4">
        <v>92.76</v>
      </c>
      <c r="HA1447" s="4">
        <v>92.76</v>
      </c>
    </row>
    <row r="1448" customHeight="1" spans="1:313">
      <c r="A1448" s="3">
        <v>45</v>
      </c>
      <c r="B1448" s="4" t="s">
        <v>1270</v>
      </c>
      <c r="C1448" s="5" t="s">
        <v>1273</v>
      </c>
      <c r="D1448" s="4" t="s">
        <v>478</v>
      </c>
      <c r="T1448" s="4">
        <v>58.6</v>
      </c>
      <c r="U1448" s="4">
        <v>0.064</v>
      </c>
      <c r="V1448" s="4">
        <v>3.082</v>
      </c>
      <c r="AC1448" s="4" t="s">
        <v>1274</v>
      </c>
      <c r="AD1448" s="4" t="s">
        <v>1275</v>
      </c>
      <c r="AE1448" s="4" t="s">
        <v>1276</v>
      </c>
      <c r="AF1448" s="4" t="s">
        <v>1277</v>
      </c>
      <c r="AH1448" s="4" t="s">
        <v>371</v>
      </c>
      <c r="AM1448" s="4" t="s">
        <v>1059</v>
      </c>
      <c r="AQ1448" s="4" t="s">
        <v>464</v>
      </c>
      <c r="AR1448" s="4" t="s">
        <v>1263</v>
      </c>
      <c r="AS1448" s="4" t="s">
        <v>465</v>
      </c>
      <c r="AT1448" s="4" t="s">
        <v>1264</v>
      </c>
      <c r="BD1448" s="4" t="s">
        <v>1265</v>
      </c>
      <c r="BI1448" s="4" t="s">
        <v>321</v>
      </c>
      <c r="BK1448" s="4">
        <v>25</v>
      </c>
      <c r="BL1448" s="4">
        <v>1</v>
      </c>
      <c r="BM1448" s="4">
        <v>0.02</v>
      </c>
      <c r="BV1448" s="4" t="s">
        <v>1268</v>
      </c>
      <c r="BW1448" s="4">
        <v>25</v>
      </c>
      <c r="CB1448" s="4" t="s">
        <v>12</v>
      </c>
      <c r="CD1448" s="4">
        <v>320</v>
      </c>
      <c r="CE1448" s="4" t="s">
        <v>11</v>
      </c>
      <c r="CG1448" s="4">
        <v>320</v>
      </c>
      <c r="CV1448" s="4">
        <v>60</v>
      </c>
      <c r="CX1448" s="4" t="s">
        <v>314</v>
      </c>
      <c r="DM1448" s="4">
        <v>240</v>
      </c>
      <c r="DO1448" s="4">
        <v>3</v>
      </c>
      <c r="GE1448" s="4">
        <v>329.41</v>
      </c>
      <c r="GF1448" s="1">
        <v>8.32</v>
      </c>
      <c r="GI1448" s="4"/>
      <c r="GK1448" s="1">
        <f>GE1448/320*100</f>
        <v>102.940625</v>
      </c>
      <c r="GL1448" s="4">
        <v>102.940625</v>
      </c>
      <c r="GT1448" s="4">
        <v>381.1</v>
      </c>
      <c r="GU1448" s="1">
        <v>9.47</v>
      </c>
      <c r="GX1448" s="4"/>
      <c r="GZ1448" s="1">
        <f>GT1448/3.2</f>
        <v>119.09375</v>
      </c>
      <c r="HA1448" s="4">
        <v>119.09375</v>
      </c>
    </row>
    <row r="1449" customHeight="1" spans="1:313">
      <c r="A1449" s="3">
        <v>45</v>
      </c>
      <c r="B1449" s="4" t="s">
        <v>1270</v>
      </c>
      <c r="C1449" s="5" t="s">
        <v>1273</v>
      </c>
      <c r="D1449" s="4" t="s">
        <v>478</v>
      </c>
      <c r="T1449" s="4">
        <v>58.6</v>
      </c>
      <c r="U1449" s="4">
        <v>0.064</v>
      </c>
      <c r="V1449" s="4">
        <v>3.082</v>
      </c>
      <c r="AC1449" s="4" t="s">
        <v>1274</v>
      </c>
      <c r="AD1449" s="4" t="s">
        <v>1275</v>
      </c>
      <c r="AE1449" s="4" t="s">
        <v>1276</v>
      </c>
      <c r="AF1449" s="4" t="s">
        <v>1277</v>
      </c>
      <c r="AH1449" s="4" t="s">
        <v>371</v>
      </c>
      <c r="AM1449" s="4" t="s">
        <v>1059</v>
      </c>
      <c r="AQ1449" s="4" t="s">
        <v>464</v>
      </c>
      <c r="AR1449" s="4" t="s">
        <v>1263</v>
      </c>
      <c r="AS1449" s="4" t="s">
        <v>465</v>
      </c>
      <c r="AT1449" s="4" t="s">
        <v>1264</v>
      </c>
      <c r="BD1449" s="4" t="s">
        <v>1265</v>
      </c>
      <c r="BI1449" s="4" t="s">
        <v>321</v>
      </c>
      <c r="DO1449" s="4">
        <v>3</v>
      </c>
      <c r="GE1449" s="4"/>
      <c r="GI1449" s="4"/>
      <c r="GL1449" s="4"/>
      <c r="GT1449" s="4"/>
      <c r="GX1449" s="4"/>
      <c r="HA1449" s="4"/>
    </row>
    <row r="1450" customHeight="1" spans="1:313">
      <c r="A1450" s="3">
        <v>45</v>
      </c>
      <c r="B1450" s="4" t="s">
        <v>1270</v>
      </c>
      <c r="C1450" s="5" t="s">
        <v>1278</v>
      </c>
      <c r="D1450" s="4" t="s">
        <v>478</v>
      </c>
      <c r="AB1450" s="4" t="s">
        <v>1279</v>
      </c>
      <c r="AH1450" s="4" t="s">
        <v>371</v>
      </c>
      <c r="AM1450" s="4" t="s">
        <v>1059</v>
      </c>
      <c r="AQ1450" s="4" t="s">
        <v>464</v>
      </c>
      <c r="AR1450" s="4" t="s">
        <v>1263</v>
      </c>
      <c r="AS1450" s="4" t="s">
        <v>465</v>
      </c>
      <c r="AT1450" s="4" t="s">
        <v>1264</v>
      </c>
      <c r="BD1450" s="4" t="s">
        <v>1265</v>
      </c>
      <c r="BI1450" s="4" t="s">
        <v>321</v>
      </c>
      <c r="BK1450" s="4">
        <v>5</v>
      </c>
      <c r="BL1450" s="4">
        <v>1</v>
      </c>
      <c r="BM1450" s="4">
        <v>0.02</v>
      </c>
      <c r="BV1450" s="4">
        <v>240</v>
      </c>
      <c r="CB1450" s="4" t="s">
        <v>12</v>
      </c>
      <c r="CD1450" s="4" t="s">
        <v>1266</v>
      </c>
      <c r="CE1450" s="4" t="s">
        <v>11</v>
      </c>
      <c r="CG1450" s="4" t="s">
        <v>1266</v>
      </c>
      <c r="DB1450" s="4" t="s">
        <v>430</v>
      </c>
      <c r="DO1450" s="4">
        <v>3</v>
      </c>
      <c r="GE1450" s="4"/>
      <c r="GI1450" s="4"/>
      <c r="GL1450" s="4"/>
      <c r="GT1450" s="4"/>
      <c r="GX1450" s="4"/>
      <c r="HA1450" s="4"/>
      <c r="KZ1450" s="1" t="s">
        <v>12</v>
      </c>
      <c r="LA1450" s="1" t="s">
        <v>1267</v>
      </c>
    </row>
    <row r="1451" customHeight="1" spans="1:313">
      <c r="A1451" s="3">
        <v>45</v>
      </c>
      <c r="B1451" s="4" t="s">
        <v>1270</v>
      </c>
      <c r="C1451" s="5" t="s">
        <v>1278</v>
      </c>
      <c r="D1451" s="4" t="s">
        <v>478</v>
      </c>
      <c r="AB1451" s="4" t="s">
        <v>1279</v>
      </c>
      <c r="AH1451" s="4" t="s">
        <v>371</v>
      </c>
      <c r="AM1451" s="4" t="s">
        <v>1059</v>
      </c>
      <c r="AQ1451" s="4" t="s">
        <v>464</v>
      </c>
      <c r="AR1451" s="4" t="s">
        <v>1263</v>
      </c>
      <c r="AS1451" s="4" t="s">
        <v>465</v>
      </c>
      <c r="AT1451" s="4" t="s">
        <v>1264</v>
      </c>
      <c r="BD1451" s="4" t="s">
        <v>1265</v>
      </c>
      <c r="BI1451" s="4" t="s">
        <v>321</v>
      </c>
      <c r="BK1451" s="4">
        <v>25</v>
      </c>
      <c r="BL1451" s="4">
        <v>1</v>
      </c>
      <c r="BM1451" s="4">
        <v>0.02</v>
      </c>
      <c r="BV1451" s="4" t="s">
        <v>1268</v>
      </c>
      <c r="BW1451" s="4">
        <v>25</v>
      </c>
      <c r="CB1451" s="4" t="s">
        <v>12</v>
      </c>
      <c r="CD1451" s="4">
        <v>320</v>
      </c>
      <c r="CE1451" s="4" t="s">
        <v>11</v>
      </c>
      <c r="CG1451" s="4">
        <v>320</v>
      </c>
      <c r="CV1451" s="4">
        <v>60</v>
      </c>
      <c r="CX1451" s="4" t="s">
        <v>314</v>
      </c>
      <c r="DM1451" s="4">
        <v>240</v>
      </c>
      <c r="DO1451" s="4">
        <v>3</v>
      </c>
      <c r="GE1451" s="4">
        <v>256.37</v>
      </c>
      <c r="GF1451" s="1">
        <v>8.81</v>
      </c>
      <c r="GI1451" s="4"/>
      <c r="GK1451" s="1">
        <f>GE1451/320*100</f>
        <v>80.115625</v>
      </c>
      <c r="GL1451" s="4">
        <v>80.115625</v>
      </c>
      <c r="GT1451" s="4">
        <v>341.21</v>
      </c>
      <c r="GU1451" s="1">
        <v>10.53</v>
      </c>
      <c r="GX1451" s="4"/>
      <c r="GZ1451" s="1">
        <f>GT1451/3.2</f>
        <v>106.628125</v>
      </c>
      <c r="HA1451" s="4">
        <v>106.628125</v>
      </c>
      <c r="KZ1451" s="1" t="s">
        <v>11</v>
      </c>
      <c r="LA1451" s="1" t="s">
        <v>1269</v>
      </c>
    </row>
    <row r="1452" customHeight="1" spans="1:313">
      <c r="A1452" s="39">
        <v>46</v>
      </c>
      <c r="B1452" s="4" t="s">
        <v>1280</v>
      </c>
      <c r="C1452" s="5" t="s">
        <v>1281</v>
      </c>
      <c r="D1452" s="4" t="s">
        <v>300</v>
      </c>
      <c r="E1452" s="4" t="s">
        <v>1282</v>
      </c>
      <c r="H1452" s="4" t="s">
        <v>328</v>
      </c>
      <c r="I1452" s="4" t="s">
        <v>1283</v>
      </c>
      <c r="J1452" s="4">
        <v>40.9</v>
      </c>
      <c r="N1452" s="4" t="s">
        <v>567</v>
      </c>
      <c r="O1452" s="4" t="s">
        <v>343</v>
      </c>
      <c r="P1452" s="4">
        <v>2</v>
      </c>
      <c r="Q1452" s="4" t="s">
        <v>540</v>
      </c>
      <c r="U1452" s="4">
        <v>0.164</v>
      </c>
      <c r="AB1452" s="4" t="s">
        <v>1284</v>
      </c>
      <c r="AC1452" s="4" t="s">
        <v>1285</v>
      </c>
      <c r="AD1452" s="4" t="s">
        <v>1286</v>
      </c>
      <c r="AE1452" s="4" t="s">
        <v>1287</v>
      </c>
      <c r="AF1452" s="63" t="s">
        <v>1288</v>
      </c>
      <c r="AH1452" s="4" t="s">
        <v>371</v>
      </c>
      <c r="AM1452" s="4" t="s">
        <v>1289</v>
      </c>
      <c r="AQ1452" s="4" t="s">
        <v>12</v>
      </c>
      <c r="AR1452" s="4">
        <v>26.32</v>
      </c>
      <c r="AS1452" s="4" t="s">
        <v>14</v>
      </c>
      <c r="AT1452" s="4">
        <v>73.88</v>
      </c>
      <c r="AU1452" s="4" t="s">
        <v>11</v>
      </c>
      <c r="AV1452" s="4">
        <v>0</v>
      </c>
      <c r="AW1452" s="4" t="s">
        <v>16</v>
      </c>
      <c r="AX1452" s="4">
        <v>0</v>
      </c>
      <c r="BI1452" s="4" t="s">
        <v>309</v>
      </c>
      <c r="BK1452" s="4">
        <v>25</v>
      </c>
      <c r="BM1452" s="4">
        <v>0.05</v>
      </c>
      <c r="BN1452" s="4">
        <v>2</v>
      </c>
      <c r="BS1452" s="4" t="s">
        <v>1290</v>
      </c>
      <c r="BU1452" s="4">
        <v>200</v>
      </c>
      <c r="BV1452" s="4">
        <v>600</v>
      </c>
      <c r="BW1452" s="4">
        <v>25</v>
      </c>
      <c r="CB1452" s="4" t="s">
        <v>12</v>
      </c>
      <c r="CC1452" s="4">
        <v>300</v>
      </c>
      <c r="CE1452" s="4" t="s">
        <v>11</v>
      </c>
      <c r="CF1452" s="4">
        <v>300</v>
      </c>
      <c r="CH1452" s="4" t="s">
        <v>14</v>
      </c>
      <c r="CI1452" s="4">
        <v>300</v>
      </c>
      <c r="CK1452" s="4" t="s">
        <v>16</v>
      </c>
      <c r="CL1452" s="4">
        <v>300</v>
      </c>
      <c r="CR1452" s="4" t="s">
        <v>512</v>
      </c>
      <c r="CS1452" s="4">
        <v>0</v>
      </c>
      <c r="DO1452" s="4">
        <v>3</v>
      </c>
      <c r="GE1452" s="4"/>
      <c r="GI1452" s="4">
        <v>99.41</v>
      </c>
      <c r="GL1452" s="4">
        <v>99.41</v>
      </c>
      <c r="GT1452" s="4"/>
      <c r="GX1452" s="4">
        <v>99.41</v>
      </c>
      <c r="HA1452" s="4">
        <v>99.41</v>
      </c>
      <c r="HX1452" s="4"/>
      <c r="IB1452" s="4">
        <v>99.56</v>
      </c>
      <c r="IE1452" s="4">
        <v>99.56</v>
      </c>
      <c r="JF1452" s="4">
        <v>99.56</v>
      </c>
      <c r="JI1452" s="4">
        <v>99.56</v>
      </c>
      <c r="KZ1452" s="1" t="s">
        <v>12</v>
      </c>
      <c r="LA1452" s="1" t="s">
        <v>1291</v>
      </c>
    </row>
    <row r="1453" customHeight="1" spans="1:313">
      <c r="A1453" s="39">
        <v>46</v>
      </c>
      <c r="B1453" s="4" t="s">
        <v>1280</v>
      </c>
      <c r="C1453" s="5" t="s">
        <v>1281</v>
      </c>
      <c r="D1453" s="4" t="s">
        <v>300</v>
      </c>
      <c r="E1453" s="4" t="s">
        <v>1282</v>
      </c>
      <c r="H1453" s="4" t="s">
        <v>328</v>
      </c>
      <c r="I1453" s="4" t="s">
        <v>1283</v>
      </c>
      <c r="J1453" s="4">
        <v>40.9</v>
      </c>
      <c r="N1453" s="4" t="s">
        <v>567</v>
      </c>
      <c r="O1453" s="4" t="s">
        <v>343</v>
      </c>
      <c r="P1453" s="4">
        <v>2</v>
      </c>
      <c r="Q1453" s="4" t="s">
        <v>540</v>
      </c>
      <c r="U1453" s="4">
        <v>0.164</v>
      </c>
      <c r="AB1453" s="4" t="s">
        <v>1284</v>
      </c>
      <c r="AC1453" s="4" t="s">
        <v>1285</v>
      </c>
      <c r="AD1453" s="4" t="s">
        <v>1286</v>
      </c>
      <c r="AE1453" s="4" t="s">
        <v>1287</v>
      </c>
      <c r="AF1453" s="63" t="s">
        <v>1288</v>
      </c>
      <c r="BI1453" s="4" t="s">
        <v>309</v>
      </c>
      <c r="BK1453" s="4">
        <v>25</v>
      </c>
      <c r="BM1453" s="4">
        <v>0.05</v>
      </c>
      <c r="BN1453" s="4">
        <v>2</v>
      </c>
      <c r="BS1453" s="4" t="s">
        <v>1290</v>
      </c>
      <c r="BU1453" s="4">
        <v>200</v>
      </c>
      <c r="BV1453" s="4">
        <v>600</v>
      </c>
      <c r="BW1453" s="4">
        <v>25</v>
      </c>
      <c r="CB1453" s="4" t="s">
        <v>12</v>
      </c>
      <c r="CC1453" s="4">
        <v>300</v>
      </c>
      <c r="CE1453" s="4" t="s">
        <v>11</v>
      </c>
      <c r="CF1453" s="4">
        <v>300</v>
      </c>
      <c r="CH1453" s="4" t="s">
        <v>14</v>
      </c>
      <c r="CI1453" s="4">
        <v>300</v>
      </c>
      <c r="CK1453" s="4" t="s">
        <v>16</v>
      </c>
      <c r="CL1453" s="4">
        <v>300</v>
      </c>
      <c r="CR1453" s="4" t="s">
        <v>567</v>
      </c>
      <c r="CS1453" s="4">
        <v>300</v>
      </c>
      <c r="DO1453" s="4">
        <v>3</v>
      </c>
      <c r="GE1453" s="4"/>
      <c r="GI1453" s="4">
        <v>89.69</v>
      </c>
      <c r="GL1453" s="4">
        <v>89.69</v>
      </c>
      <c r="GT1453" s="4"/>
      <c r="GX1453" s="4">
        <v>95.75</v>
      </c>
      <c r="HA1453" s="4">
        <v>95.75</v>
      </c>
      <c r="HX1453" s="4"/>
      <c r="IB1453" s="4">
        <v>97.36</v>
      </c>
      <c r="IE1453" s="4">
        <v>97.36</v>
      </c>
      <c r="JF1453" s="4">
        <v>98.09</v>
      </c>
      <c r="JI1453" s="4">
        <v>98.09</v>
      </c>
      <c r="KZ1453" s="1" t="s">
        <v>11</v>
      </c>
      <c r="LA1453" s="1" t="s">
        <v>1291</v>
      </c>
    </row>
    <row r="1454" customHeight="1" spans="1:313">
      <c r="A1454" s="39">
        <v>46</v>
      </c>
      <c r="B1454" s="4" t="s">
        <v>1280</v>
      </c>
      <c r="C1454" s="5" t="s">
        <v>1281</v>
      </c>
      <c r="D1454" s="4" t="s">
        <v>300</v>
      </c>
      <c r="E1454" s="4" t="s">
        <v>1282</v>
      </c>
      <c r="H1454" s="4" t="s">
        <v>328</v>
      </c>
      <c r="I1454" s="4" t="s">
        <v>1283</v>
      </c>
      <c r="J1454" s="4">
        <v>40.9</v>
      </c>
      <c r="N1454" s="4" t="s">
        <v>567</v>
      </c>
      <c r="O1454" s="4" t="s">
        <v>343</v>
      </c>
      <c r="P1454" s="4">
        <v>2</v>
      </c>
      <c r="Q1454" s="4" t="s">
        <v>540</v>
      </c>
      <c r="U1454" s="4">
        <v>0.164</v>
      </c>
      <c r="AB1454" s="4" t="s">
        <v>1284</v>
      </c>
      <c r="AC1454" s="4" t="s">
        <v>1285</v>
      </c>
      <c r="AD1454" s="4" t="s">
        <v>1286</v>
      </c>
      <c r="AE1454" s="4" t="s">
        <v>1287</v>
      </c>
      <c r="AF1454" s="63" t="s">
        <v>1288</v>
      </c>
      <c r="BI1454" s="4" t="s">
        <v>309</v>
      </c>
      <c r="BK1454" s="4">
        <v>25</v>
      </c>
      <c r="BM1454" s="4">
        <v>0.05</v>
      </c>
      <c r="BN1454" s="4">
        <v>2</v>
      </c>
      <c r="BS1454" s="4" t="s">
        <v>1290</v>
      </c>
      <c r="BU1454" s="4">
        <v>200</v>
      </c>
      <c r="BV1454" s="4">
        <v>600</v>
      </c>
      <c r="BW1454" s="4">
        <v>25</v>
      </c>
      <c r="CB1454" s="4" t="s">
        <v>12</v>
      </c>
      <c r="CC1454" s="4">
        <v>300</v>
      </c>
      <c r="CE1454" s="4" t="s">
        <v>11</v>
      </c>
      <c r="CF1454" s="4">
        <v>300</v>
      </c>
      <c r="CH1454" s="4" t="s">
        <v>14</v>
      </c>
      <c r="CI1454" s="4">
        <v>300</v>
      </c>
      <c r="CK1454" s="4" t="s">
        <v>16</v>
      </c>
      <c r="CL1454" s="4">
        <v>300</v>
      </c>
      <c r="CR1454" s="4" t="s">
        <v>538</v>
      </c>
      <c r="CS1454" s="4">
        <v>300</v>
      </c>
      <c r="DO1454" s="4">
        <v>3</v>
      </c>
      <c r="GE1454" s="4"/>
      <c r="GI1454" s="4">
        <v>91.79</v>
      </c>
      <c r="GL1454" s="4">
        <v>91.79</v>
      </c>
      <c r="GT1454" s="4"/>
      <c r="GX1454" s="4">
        <v>95.45</v>
      </c>
      <c r="HA1454" s="4">
        <v>95.45</v>
      </c>
      <c r="HX1454" s="4"/>
      <c r="IB1454" s="4">
        <v>96.92</v>
      </c>
      <c r="IE1454" s="4">
        <v>96.92</v>
      </c>
      <c r="JF1454" s="4">
        <v>99.41</v>
      </c>
      <c r="JI1454" s="4">
        <v>99.41</v>
      </c>
      <c r="KZ1454" s="1" t="s">
        <v>14</v>
      </c>
      <c r="LA1454" s="1" t="s">
        <v>1292</v>
      </c>
    </row>
    <row r="1455" customHeight="1" spans="1:313">
      <c r="A1455" s="39">
        <v>46</v>
      </c>
      <c r="B1455" s="4" t="s">
        <v>1280</v>
      </c>
      <c r="C1455" s="5" t="s">
        <v>1281</v>
      </c>
      <c r="D1455" s="4" t="s">
        <v>300</v>
      </c>
      <c r="E1455" s="4" t="s">
        <v>1282</v>
      </c>
      <c r="H1455" s="4" t="s">
        <v>328</v>
      </c>
      <c r="I1455" s="4" t="s">
        <v>1283</v>
      </c>
      <c r="J1455" s="4">
        <v>40.9</v>
      </c>
      <c r="N1455" s="4" t="s">
        <v>567</v>
      </c>
      <c r="O1455" s="4" t="s">
        <v>343</v>
      </c>
      <c r="P1455" s="4">
        <v>2</v>
      </c>
      <c r="Q1455" s="4" t="s">
        <v>540</v>
      </c>
      <c r="U1455" s="4">
        <v>0.164</v>
      </c>
      <c r="AB1455" s="4" t="s">
        <v>1284</v>
      </c>
      <c r="AC1455" s="4" t="s">
        <v>1285</v>
      </c>
      <c r="AD1455" s="4" t="s">
        <v>1286</v>
      </c>
      <c r="AE1455" s="4" t="s">
        <v>1287</v>
      </c>
      <c r="AF1455" s="63" t="s">
        <v>1288</v>
      </c>
      <c r="BI1455" s="4" t="s">
        <v>309</v>
      </c>
      <c r="BK1455" s="4">
        <v>25</v>
      </c>
      <c r="BM1455" s="4">
        <v>0.05</v>
      </c>
      <c r="BN1455" s="4">
        <v>2</v>
      </c>
      <c r="BS1455" s="4" t="s">
        <v>1290</v>
      </c>
      <c r="BU1455" s="4">
        <v>200</v>
      </c>
      <c r="BV1455" s="4">
        <v>600</v>
      </c>
      <c r="BW1455" s="4">
        <v>25</v>
      </c>
      <c r="CB1455" s="4" t="s">
        <v>12</v>
      </c>
      <c r="CC1455" s="4">
        <v>300</v>
      </c>
      <c r="CE1455" s="4" t="s">
        <v>11</v>
      </c>
      <c r="CF1455" s="4">
        <v>300</v>
      </c>
      <c r="CH1455" s="4" t="s">
        <v>14</v>
      </c>
      <c r="CI1455" s="4">
        <v>300</v>
      </c>
      <c r="CK1455" s="4" t="s">
        <v>16</v>
      </c>
      <c r="CL1455" s="4">
        <v>300</v>
      </c>
      <c r="CR1455" s="4" t="s">
        <v>1293</v>
      </c>
      <c r="CS1455" s="4">
        <v>300</v>
      </c>
      <c r="DO1455" s="4">
        <v>3</v>
      </c>
      <c r="GE1455" s="4"/>
      <c r="GI1455" s="4">
        <v>89.59</v>
      </c>
      <c r="GL1455" s="4">
        <v>89.59</v>
      </c>
      <c r="GT1455" s="4"/>
      <c r="GX1455" s="4">
        <v>97.51</v>
      </c>
      <c r="HA1455" s="4">
        <v>97.51</v>
      </c>
      <c r="HX1455" s="4"/>
      <c r="IB1455" s="4">
        <v>96.92</v>
      </c>
      <c r="IE1455" s="4">
        <v>96.92</v>
      </c>
      <c r="JF1455" s="4">
        <v>98.53</v>
      </c>
      <c r="JI1455" s="4">
        <v>98.53</v>
      </c>
      <c r="KZ1455" s="1" t="s">
        <v>16</v>
      </c>
      <c r="LA1455" s="1" t="s">
        <v>1292</v>
      </c>
    </row>
    <row r="1456" customHeight="1" spans="1:313">
      <c r="A1456" s="39">
        <v>46</v>
      </c>
      <c r="B1456" s="4" t="s">
        <v>1280</v>
      </c>
      <c r="C1456" s="5" t="s">
        <v>1281</v>
      </c>
      <c r="D1456" s="4" t="s">
        <v>300</v>
      </c>
      <c r="E1456" s="4" t="s">
        <v>1282</v>
      </c>
      <c r="H1456" s="4" t="s">
        <v>328</v>
      </c>
      <c r="I1456" s="4" t="s">
        <v>1283</v>
      </c>
      <c r="J1456" s="4">
        <v>40.9</v>
      </c>
      <c r="N1456" s="4" t="s">
        <v>567</v>
      </c>
      <c r="O1456" s="4" t="s">
        <v>343</v>
      </c>
      <c r="P1456" s="4">
        <v>2</v>
      </c>
      <c r="Q1456" s="4" t="s">
        <v>540</v>
      </c>
      <c r="U1456" s="4">
        <v>0.164</v>
      </c>
      <c r="AB1456" s="4" t="s">
        <v>1284</v>
      </c>
      <c r="AC1456" s="4" t="s">
        <v>1285</v>
      </c>
      <c r="AD1456" s="4" t="s">
        <v>1286</v>
      </c>
      <c r="AE1456" s="4" t="s">
        <v>1287</v>
      </c>
      <c r="AF1456" s="63" t="s">
        <v>1288</v>
      </c>
      <c r="BI1456" s="4" t="s">
        <v>309</v>
      </c>
      <c r="BK1456" s="4">
        <v>25</v>
      </c>
      <c r="BM1456" s="4">
        <v>0.05</v>
      </c>
      <c r="BN1456" s="4">
        <v>2</v>
      </c>
      <c r="BS1456" s="4" t="s">
        <v>1290</v>
      </c>
      <c r="BU1456" s="4">
        <v>200</v>
      </c>
      <c r="BV1456" s="4">
        <v>600</v>
      </c>
      <c r="BW1456" s="4">
        <v>25</v>
      </c>
      <c r="CB1456" s="4" t="s">
        <v>12</v>
      </c>
      <c r="CC1456" s="4">
        <v>300</v>
      </c>
      <c r="CE1456" s="4" t="s">
        <v>11</v>
      </c>
      <c r="CF1456" s="4">
        <v>300</v>
      </c>
      <c r="CH1456" s="4" t="s">
        <v>14</v>
      </c>
      <c r="CI1456" s="4">
        <v>300</v>
      </c>
      <c r="CK1456" s="4" t="s">
        <v>16</v>
      </c>
      <c r="CL1456" s="4">
        <v>300</v>
      </c>
      <c r="CR1456" s="4" t="s">
        <v>537</v>
      </c>
      <c r="CS1456" s="4">
        <v>300</v>
      </c>
      <c r="DO1456" s="4">
        <v>3</v>
      </c>
      <c r="GE1456" s="4"/>
      <c r="GI1456" s="4">
        <v>90.91</v>
      </c>
      <c r="GL1456" s="4">
        <v>90.91</v>
      </c>
      <c r="GT1456" s="4"/>
      <c r="GX1456" s="4">
        <v>98.53</v>
      </c>
      <c r="HA1456" s="4">
        <v>98.53</v>
      </c>
      <c r="HX1456" s="4"/>
      <c r="IB1456" s="4">
        <v>96.77</v>
      </c>
      <c r="IE1456" s="4">
        <v>96.77</v>
      </c>
      <c r="JF1456" s="4">
        <v>99.41</v>
      </c>
      <c r="JI1456" s="4">
        <v>99.41</v>
      </c>
    </row>
    <row r="1457" customHeight="1" spans="1:313">
      <c r="A1457" s="39">
        <v>46</v>
      </c>
      <c r="B1457" s="4" t="s">
        <v>1280</v>
      </c>
      <c r="C1457" s="5" t="s">
        <v>1281</v>
      </c>
      <c r="D1457" s="4" t="s">
        <v>300</v>
      </c>
      <c r="E1457" s="4" t="s">
        <v>1282</v>
      </c>
      <c r="H1457" s="4" t="s">
        <v>328</v>
      </c>
      <c r="I1457" s="4" t="s">
        <v>1283</v>
      </c>
      <c r="J1457" s="4">
        <v>40.9</v>
      </c>
      <c r="N1457" s="4" t="s">
        <v>567</v>
      </c>
      <c r="O1457" s="4" t="s">
        <v>343</v>
      </c>
      <c r="P1457" s="4">
        <v>2</v>
      </c>
      <c r="Q1457" s="4" t="s">
        <v>540</v>
      </c>
      <c r="U1457" s="4">
        <v>0.164</v>
      </c>
      <c r="AB1457" s="4" t="s">
        <v>1284</v>
      </c>
      <c r="AC1457" s="4" t="s">
        <v>1285</v>
      </c>
      <c r="AD1457" s="4" t="s">
        <v>1286</v>
      </c>
      <c r="AE1457" s="4" t="s">
        <v>1287</v>
      </c>
      <c r="AF1457" s="63" t="s">
        <v>1288</v>
      </c>
      <c r="AH1457" s="4" t="s">
        <v>371</v>
      </c>
      <c r="AM1457" s="4" t="s">
        <v>1289</v>
      </c>
      <c r="AQ1457" s="4" t="s">
        <v>12</v>
      </c>
      <c r="AR1457" s="4">
        <v>26.32</v>
      </c>
      <c r="AS1457" s="4" t="s">
        <v>14</v>
      </c>
      <c r="AT1457" s="4">
        <v>73.88</v>
      </c>
      <c r="AU1457" s="4" t="s">
        <v>11</v>
      </c>
      <c r="AV1457" s="4">
        <v>0</v>
      </c>
      <c r="AW1457" s="4" t="s">
        <v>16</v>
      </c>
      <c r="AX1457" s="4">
        <v>0</v>
      </c>
      <c r="BI1457" s="4" t="s">
        <v>321</v>
      </c>
      <c r="DO1457" s="4">
        <v>3</v>
      </c>
      <c r="GA1457" s="4">
        <v>0.78</v>
      </c>
      <c r="GE1457" s="4">
        <v>96.86</v>
      </c>
      <c r="GI1457" s="4"/>
      <c r="GL1457" s="4"/>
      <c r="GP1457" s="4">
        <v>0.89</v>
      </c>
      <c r="GT1457" s="4">
        <v>116.07</v>
      </c>
      <c r="GX1457" s="4"/>
      <c r="HA1457" s="4"/>
      <c r="HT1457" s="4">
        <v>2.25</v>
      </c>
      <c r="HX1457" s="4">
        <v>149.1</v>
      </c>
      <c r="IB1457" s="4"/>
      <c r="IE1457" s="4"/>
      <c r="IW1457" s="4">
        <v>0.45</v>
      </c>
      <c r="JB1457" s="4">
        <v>107.58</v>
      </c>
      <c r="JF1457" s="4"/>
      <c r="JI1457" s="4"/>
    </row>
    <row r="1458" customHeight="1" spans="1:313">
      <c r="A1458" s="39">
        <v>46</v>
      </c>
      <c r="B1458" s="4" t="s">
        <v>1280</v>
      </c>
      <c r="C1458" s="5" t="s">
        <v>1281</v>
      </c>
      <c r="D1458" s="4" t="s">
        <v>300</v>
      </c>
      <c r="E1458" s="4" t="s">
        <v>1282</v>
      </c>
      <c r="H1458" s="4" t="s">
        <v>328</v>
      </c>
      <c r="I1458" s="4" t="s">
        <v>1283</v>
      </c>
      <c r="J1458" s="4">
        <v>40.9</v>
      </c>
      <c r="N1458" s="4" t="s">
        <v>567</v>
      </c>
      <c r="O1458" s="4" t="s">
        <v>343</v>
      </c>
      <c r="P1458" s="4">
        <v>2</v>
      </c>
      <c r="Q1458" s="4" t="s">
        <v>540</v>
      </c>
      <c r="U1458" s="4">
        <v>0.164</v>
      </c>
      <c r="AB1458" s="4" t="s">
        <v>1284</v>
      </c>
      <c r="AC1458" s="4" t="s">
        <v>1285</v>
      </c>
      <c r="AD1458" s="4" t="s">
        <v>1286</v>
      </c>
      <c r="AE1458" s="4" t="s">
        <v>1287</v>
      </c>
      <c r="AF1458" s="63" t="s">
        <v>1288</v>
      </c>
      <c r="AH1458" s="4" t="s">
        <v>371</v>
      </c>
      <c r="AM1458" s="4" t="s">
        <v>1289</v>
      </c>
      <c r="AQ1458" s="4" t="s">
        <v>12</v>
      </c>
      <c r="AR1458" s="4">
        <v>26.32</v>
      </c>
      <c r="AS1458" s="4" t="s">
        <v>14</v>
      </c>
      <c r="AT1458" s="4">
        <v>73.88</v>
      </c>
      <c r="AU1458" s="4" t="s">
        <v>11</v>
      </c>
      <c r="AV1458" s="4">
        <v>0</v>
      </c>
      <c r="AW1458" s="4" t="s">
        <v>16</v>
      </c>
      <c r="AX1458" s="4">
        <v>0</v>
      </c>
      <c r="BI1458" s="4" t="s">
        <v>321</v>
      </c>
      <c r="BL1458" s="4">
        <v>1</v>
      </c>
      <c r="BM1458" s="4">
        <v>0.05</v>
      </c>
      <c r="BN1458" s="4">
        <v>2</v>
      </c>
      <c r="BS1458" s="4" t="s">
        <v>1290</v>
      </c>
      <c r="BV1458" s="4">
        <v>600</v>
      </c>
      <c r="CB1458" s="4" t="s">
        <v>12</v>
      </c>
      <c r="CC1458" s="4" t="s">
        <v>1294</v>
      </c>
      <c r="CE1458" s="4" t="s">
        <v>11</v>
      </c>
      <c r="CF1458" s="4" t="s">
        <v>1294</v>
      </c>
      <c r="CH1458" s="4" t="s">
        <v>14</v>
      </c>
      <c r="CI1458" s="4" t="s">
        <v>1294</v>
      </c>
      <c r="CK1458" s="4" t="s">
        <v>16</v>
      </c>
      <c r="CL1458" s="4" t="s">
        <v>1294</v>
      </c>
      <c r="DB1458" s="4" t="s">
        <v>1295</v>
      </c>
      <c r="DC1458" s="4" t="s">
        <v>1296</v>
      </c>
      <c r="DO1458" s="4">
        <v>3</v>
      </c>
      <c r="GE1458" s="4"/>
      <c r="GI1458" s="4"/>
      <c r="GL1458" s="4"/>
      <c r="GT1458" s="4"/>
      <c r="GX1458" s="4"/>
      <c r="HA1458" s="4"/>
      <c r="HX1458" s="4"/>
      <c r="IB1458" s="4"/>
      <c r="IE1458" s="4"/>
      <c r="JF1458" s="4"/>
      <c r="JI1458" s="4"/>
    </row>
    <row r="1459" customHeight="1" spans="1:313">
      <c r="A1459" s="39">
        <v>46</v>
      </c>
      <c r="B1459" s="4" t="s">
        <v>1280</v>
      </c>
      <c r="C1459" s="5" t="s">
        <v>1281</v>
      </c>
      <c r="D1459" s="4" t="s">
        <v>300</v>
      </c>
      <c r="E1459" s="4" t="s">
        <v>1282</v>
      </c>
      <c r="H1459" s="4" t="s">
        <v>328</v>
      </c>
      <c r="I1459" s="4" t="s">
        <v>1283</v>
      </c>
      <c r="J1459" s="4">
        <v>40.9</v>
      </c>
      <c r="N1459" s="4" t="s">
        <v>567</v>
      </c>
      <c r="O1459" s="4" t="s">
        <v>343</v>
      </c>
      <c r="P1459" s="4">
        <v>2</v>
      </c>
      <c r="Q1459" s="4" t="s">
        <v>540</v>
      </c>
      <c r="U1459" s="4">
        <v>0.164</v>
      </c>
      <c r="AB1459" s="4" t="s">
        <v>1284</v>
      </c>
      <c r="AC1459" s="4" t="s">
        <v>1285</v>
      </c>
      <c r="AD1459" s="4" t="s">
        <v>1286</v>
      </c>
      <c r="AE1459" s="4" t="s">
        <v>1287</v>
      </c>
      <c r="AF1459" s="63" t="s">
        <v>1288</v>
      </c>
      <c r="AH1459" s="4" t="s">
        <v>371</v>
      </c>
      <c r="AM1459" s="4" t="s">
        <v>1289</v>
      </c>
      <c r="AQ1459" s="4" t="s">
        <v>12</v>
      </c>
      <c r="AR1459" s="4">
        <v>26.32</v>
      </c>
      <c r="AS1459" s="4" t="s">
        <v>14</v>
      </c>
      <c r="AT1459" s="4">
        <v>73.88</v>
      </c>
      <c r="AU1459" s="4" t="s">
        <v>11</v>
      </c>
      <c r="AV1459" s="4">
        <v>0</v>
      </c>
      <c r="AW1459" s="4" t="s">
        <v>16</v>
      </c>
      <c r="AX1459" s="4">
        <v>0</v>
      </c>
      <c r="BI1459" s="4" t="s">
        <v>321</v>
      </c>
      <c r="BK1459" s="4">
        <v>25</v>
      </c>
      <c r="BL1459" s="4">
        <v>1</v>
      </c>
      <c r="BM1459" s="4">
        <v>0.05</v>
      </c>
      <c r="BN1459" s="4">
        <v>2</v>
      </c>
      <c r="BS1459" s="4" t="s">
        <v>1290</v>
      </c>
      <c r="BU1459" s="4">
        <v>200</v>
      </c>
      <c r="BV1459" s="4" t="s">
        <v>992</v>
      </c>
      <c r="BW1459" s="4">
        <v>25</v>
      </c>
      <c r="CB1459" s="4" t="s">
        <v>12</v>
      </c>
      <c r="CC1459" s="4">
        <v>300</v>
      </c>
      <c r="CE1459" s="4" t="s">
        <v>11</v>
      </c>
      <c r="CF1459" s="4">
        <v>300</v>
      </c>
      <c r="CH1459" s="4" t="s">
        <v>14</v>
      </c>
      <c r="CI1459" s="4">
        <v>300</v>
      </c>
      <c r="CK1459" s="4" t="s">
        <v>16</v>
      </c>
      <c r="CL1459" s="4">
        <v>300</v>
      </c>
      <c r="CV1459" s="4">
        <v>240</v>
      </c>
      <c r="CX1459" s="4" t="s">
        <v>314</v>
      </c>
      <c r="CZ1459" s="4" t="s">
        <v>328</v>
      </c>
      <c r="DA1459" s="4" t="s">
        <v>1000</v>
      </c>
      <c r="DM1459" s="4">
        <v>240</v>
      </c>
      <c r="DO1459" s="4">
        <v>3</v>
      </c>
      <c r="GE1459" s="4">
        <v>89.65</v>
      </c>
      <c r="GF1459" s="1">
        <v>2.54</v>
      </c>
      <c r="GI1459" s="4"/>
      <c r="GL1459" s="4"/>
      <c r="GT1459" s="4">
        <v>123.33</v>
      </c>
      <c r="GU1459" s="1">
        <v>3.07</v>
      </c>
      <c r="GX1459" s="4"/>
      <c r="GZ1459" s="1">
        <f>GT1459/3</f>
        <v>41.11</v>
      </c>
      <c r="HA1459" s="4">
        <v>41.11</v>
      </c>
      <c r="HX1459" s="4">
        <v>146.67</v>
      </c>
      <c r="HY1459" s="1">
        <v>3.17</v>
      </c>
      <c r="IB1459" s="4"/>
      <c r="ID1459" s="1">
        <f>HX1459/3</f>
        <v>48.89</v>
      </c>
      <c r="IE1459" s="4">
        <v>48.89</v>
      </c>
      <c r="JB1459" s="1">
        <v>137.9</v>
      </c>
      <c r="JC1459" s="1">
        <v>2.91</v>
      </c>
      <c r="JF1459" s="4"/>
      <c r="JH1459" s="1">
        <f>JB1459/3</f>
        <v>45.9666666666667</v>
      </c>
      <c r="JI1459" s="4">
        <v>45.9666666666667</v>
      </c>
    </row>
    <row r="1460" customHeight="1" spans="1:313">
      <c r="A1460" s="39">
        <v>46</v>
      </c>
      <c r="B1460" s="4" t="s">
        <v>1280</v>
      </c>
      <c r="C1460" s="5" t="s">
        <v>1258</v>
      </c>
      <c r="D1460" s="4" t="s">
        <v>300</v>
      </c>
      <c r="N1460" s="4" t="s">
        <v>567</v>
      </c>
      <c r="O1460" s="4" t="s">
        <v>343</v>
      </c>
      <c r="Q1460" s="4" t="s">
        <v>540</v>
      </c>
      <c r="U1460" s="4">
        <v>0.039</v>
      </c>
      <c r="AH1460" s="4" t="s">
        <v>371</v>
      </c>
      <c r="AM1460" s="4" t="s">
        <v>1289</v>
      </c>
      <c r="AQ1460" s="4" t="s">
        <v>12</v>
      </c>
      <c r="AR1460" s="4">
        <v>26.32</v>
      </c>
      <c r="AS1460" s="4" t="s">
        <v>14</v>
      </c>
      <c r="AT1460" s="4">
        <v>73.88</v>
      </c>
      <c r="AU1460" s="4" t="s">
        <v>11</v>
      </c>
      <c r="AV1460" s="4">
        <v>0</v>
      </c>
      <c r="AW1460" s="4" t="s">
        <v>16</v>
      </c>
      <c r="AX1460" s="4">
        <v>0</v>
      </c>
      <c r="BI1460" s="4" t="s">
        <v>321</v>
      </c>
      <c r="BL1460" s="4">
        <v>1</v>
      </c>
      <c r="BM1460" s="4">
        <v>0.05</v>
      </c>
      <c r="BN1460" s="4">
        <v>2</v>
      </c>
      <c r="BS1460" s="4" t="s">
        <v>1290</v>
      </c>
      <c r="BV1460" s="4">
        <v>600</v>
      </c>
      <c r="CB1460" s="4" t="s">
        <v>12</v>
      </c>
      <c r="CC1460" s="4" t="s">
        <v>1294</v>
      </c>
      <c r="CE1460" s="4" t="s">
        <v>11</v>
      </c>
      <c r="CF1460" s="4" t="s">
        <v>1294</v>
      </c>
      <c r="CH1460" s="4" t="s">
        <v>14</v>
      </c>
      <c r="CI1460" s="4" t="s">
        <v>1294</v>
      </c>
      <c r="CK1460" s="4" t="s">
        <v>16</v>
      </c>
      <c r="CL1460" s="4" t="s">
        <v>1294</v>
      </c>
      <c r="DB1460" s="4" t="s">
        <v>1295</v>
      </c>
      <c r="DO1460" s="4">
        <v>3</v>
      </c>
      <c r="GE1460" s="4"/>
      <c r="GI1460" s="4"/>
      <c r="GL1460" s="4"/>
      <c r="GT1460" s="4"/>
      <c r="GX1460" s="4"/>
      <c r="HA1460" s="4"/>
      <c r="HX1460" s="4"/>
      <c r="IB1460" s="4"/>
      <c r="IE1460" s="4"/>
      <c r="JF1460" s="4"/>
      <c r="JI1460" s="4"/>
    </row>
    <row r="1461" customHeight="1" spans="1:313">
      <c r="A1461" s="3">
        <v>47</v>
      </c>
      <c r="B1461" s="4" t="s">
        <v>934</v>
      </c>
      <c r="C1461" s="5" t="s">
        <v>1297</v>
      </c>
      <c r="D1461" s="4" t="s">
        <v>1298</v>
      </c>
      <c r="E1461" s="4" t="s">
        <v>1299</v>
      </c>
      <c r="Z1461" s="4">
        <v>0.238</v>
      </c>
      <c r="AD1461" s="4" t="s">
        <v>1300</v>
      </c>
      <c r="BI1461" s="4" t="s">
        <v>309</v>
      </c>
      <c r="BN1461" s="4">
        <v>1</v>
      </c>
      <c r="BV1461" s="4" t="s">
        <v>1268</v>
      </c>
      <c r="BW1461" s="4">
        <v>25</v>
      </c>
      <c r="CB1461" s="4" t="s">
        <v>12</v>
      </c>
      <c r="CC1461" s="4">
        <v>500</v>
      </c>
      <c r="CV1461" s="4">
        <v>150</v>
      </c>
      <c r="CX1461" s="4" t="s">
        <v>314</v>
      </c>
      <c r="CZ1461" s="4" t="s">
        <v>328</v>
      </c>
      <c r="DA1461" s="4" t="s">
        <v>1301</v>
      </c>
      <c r="DM1461" s="4">
        <v>150</v>
      </c>
      <c r="DO1461" s="4">
        <v>3</v>
      </c>
      <c r="GT1461" s="4">
        <v>452</v>
      </c>
      <c r="GX1461" s="4"/>
      <c r="GZ1461" s="1">
        <f>GT1461/5</f>
        <v>90.4</v>
      </c>
      <c r="HA1461" s="4">
        <v>90.4</v>
      </c>
      <c r="KZ1461" s="31" t="s">
        <v>12</v>
      </c>
      <c r="LA1461" s="31" t="s">
        <v>1302</v>
      </c>
    </row>
    <row r="1462" customHeight="1" spans="1:313">
      <c r="A1462" s="3">
        <v>47</v>
      </c>
      <c r="B1462" s="4" t="s">
        <v>934</v>
      </c>
      <c r="C1462" s="5" t="s">
        <v>1297</v>
      </c>
      <c r="D1462" s="4" t="s">
        <v>1298</v>
      </c>
      <c r="E1462" s="4" t="s">
        <v>1299</v>
      </c>
      <c r="Z1462" s="4">
        <v>0.238</v>
      </c>
      <c r="AD1462" s="4" t="s">
        <v>1300</v>
      </c>
      <c r="BI1462" s="4" t="s">
        <v>309</v>
      </c>
      <c r="BN1462" s="4">
        <v>1</v>
      </c>
      <c r="BS1462" s="4">
        <v>4.6</v>
      </c>
      <c r="BW1462" s="4">
        <v>25</v>
      </c>
      <c r="CB1462" s="4" t="s">
        <v>12</v>
      </c>
      <c r="CC1462" s="4" t="s">
        <v>1303</v>
      </c>
      <c r="DB1462" s="4" t="s">
        <v>951</v>
      </c>
      <c r="DE1462" s="4">
        <v>588.23</v>
      </c>
      <c r="DM1462" s="4">
        <v>150</v>
      </c>
      <c r="DO1462" s="4">
        <v>3</v>
      </c>
      <c r="GT1462" s="4">
        <v>452</v>
      </c>
      <c r="GX1462" s="4"/>
      <c r="HA1462" s="4"/>
    </row>
    <row r="1463" customHeight="1" spans="1:313">
      <c r="A1463" s="3">
        <v>47</v>
      </c>
      <c r="B1463" s="4" t="s">
        <v>934</v>
      </c>
      <c r="C1463" s="5" t="s">
        <v>1304</v>
      </c>
      <c r="E1463" s="4" t="s">
        <v>1305</v>
      </c>
      <c r="J1463" s="4">
        <v>9.090909</v>
      </c>
      <c r="BI1463" s="4" t="s">
        <v>309</v>
      </c>
      <c r="BN1463" s="4">
        <v>1</v>
      </c>
      <c r="BV1463" s="4" t="s">
        <v>1306</v>
      </c>
      <c r="BW1463" s="4">
        <v>25</v>
      </c>
      <c r="CB1463" s="4" t="s">
        <v>12</v>
      </c>
      <c r="CC1463" s="4">
        <v>500</v>
      </c>
      <c r="CX1463" s="4" t="s">
        <v>314</v>
      </c>
      <c r="DM1463" s="4">
        <v>150</v>
      </c>
      <c r="DO1463" s="4">
        <v>3</v>
      </c>
      <c r="GT1463" s="4">
        <v>298.85</v>
      </c>
      <c r="GX1463" s="4"/>
      <c r="GZ1463" s="1">
        <f>GT1463/5</f>
        <v>59.77</v>
      </c>
      <c r="HA1463" s="4">
        <v>59.77</v>
      </c>
    </row>
    <row r="1464" customHeight="1" spans="1:313">
      <c r="A1464" s="3">
        <v>47</v>
      </c>
      <c r="B1464" s="4" t="s">
        <v>934</v>
      </c>
      <c r="C1464" s="5" t="s">
        <v>1304</v>
      </c>
      <c r="E1464" s="4" t="s">
        <v>1305</v>
      </c>
      <c r="J1464" s="4">
        <v>9.090909</v>
      </c>
      <c r="BI1464" s="4" t="s">
        <v>309</v>
      </c>
      <c r="BN1464" s="4">
        <v>1</v>
      </c>
      <c r="BS1464" s="4">
        <v>4.6</v>
      </c>
      <c r="BW1464" s="4">
        <v>25</v>
      </c>
      <c r="CB1464" s="4" t="s">
        <v>12</v>
      </c>
      <c r="CC1464" s="4" t="s">
        <v>1303</v>
      </c>
      <c r="DB1464" s="4" t="s">
        <v>951</v>
      </c>
      <c r="DO1464" s="4">
        <v>3</v>
      </c>
      <c r="GP1464" s="4">
        <v>2.9</v>
      </c>
      <c r="GT1464" s="4"/>
      <c r="GX1464" s="4">
        <v>95</v>
      </c>
      <c r="HA1464" s="4">
        <v>95</v>
      </c>
    </row>
    <row r="1465" customHeight="1" spans="1:313">
      <c r="A1465" s="23">
        <v>48</v>
      </c>
      <c r="B1465" s="4" t="s">
        <v>1307</v>
      </c>
      <c r="C1465" s="40" t="s">
        <v>1308</v>
      </c>
      <c r="D1465" s="4" t="s">
        <v>300</v>
      </c>
      <c r="E1465" s="4" t="s">
        <v>1309</v>
      </c>
      <c r="T1465" s="4">
        <v>102.21</v>
      </c>
      <c r="U1465" s="4">
        <v>12.56</v>
      </c>
      <c r="AB1465" s="4" t="s">
        <v>1310</v>
      </c>
      <c r="AD1465" s="4" t="s">
        <v>1311</v>
      </c>
      <c r="AE1465" s="4" t="s">
        <v>1312</v>
      </c>
      <c r="AF1465" s="63" t="s">
        <v>1313</v>
      </c>
      <c r="AH1465" s="4" t="s">
        <v>1314</v>
      </c>
      <c r="AI1465" s="4" t="s">
        <v>1315</v>
      </c>
      <c r="AL1465" s="4" t="s">
        <v>1316</v>
      </c>
      <c r="AM1465" s="4">
        <v>2.57</v>
      </c>
      <c r="AQ1465" s="4" t="s">
        <v>1317</v>
      </c>
      <c r="AR1465" s="4">
        <v>1.24</v>
      </c>
      <c r="AS1465" s="4" t="s">
        <v>1318</v>
      </c>
      <c r="AT1465" s="4">
        <v>141.7</v>
      </c>
      <c r="AU1465" s="4" t="s">
        <v>1319</v>
      </c>
      <c r="AV1465" s="4">
        <v>15.2</v>
      </c>
      <c r="AW1465" s="4" t="s">
        <v>1320</v>
      </c>
      <c r="AX1465" s="4">
        <v>2.33</v>
      </c>
      <c r="BE1465" s="4" t="s">
        <v>1321</v>
      </c>
      <c r="BI1465" s="4" t="s">
        <v>321</v>
      </c>
      <c r="BL1465" s="4">
        <v>100</v>
      </c>
      <c r="BM1465" s="4">
        <v>0</v>
      </c>
      <c r="BO1465" s="4">
        <v>0</v>
      </c>
      <c r="BS1465" s="4">
        <v>2.57</v>
      </c>
      <c r="BV1465" s="4" t="s">
        <v>408</v>
      </c>
      <c r="BW1465" s="4" t="s">
        <v>1322</v>
      </c>
      <c r="BX1465" s="4">
        <v>50</v>
      </c>
      <c r="CB1465" s="4" t="s">
        <v>7</v>
      </c>
      <c r="CE1465" s="4" t="s">
        <v>14</v>
      </c>
      <c r="CH1465" s="4" t="s">
        <v>12</v>
      </c>
      <c r="CK1465" s="4" t="s">
        <v>424</v>
      </c>
      <c r="CW1465" s="4">
        <v>2.85</v>
      </c>
      <c r="DO1465" s="4">
        <v>3</v>
      </c>
      <c r="EA1465" s="4"/>
      <c r="ED1465" s="4"/>
      <c r="KZ1465" s="42" t="s">
        <v>1323</v>
      </c>
      <c r="LA1465" s="42" t="s">
        <v>1324</v>
      </c>
    </row>
    <row r="1466" customHeight="1" spans="1:313">
      <c r="A1466" s="23">
        <v>48</v>
      </c>
      <c r="B1466" s="4" t="s">
        <v>1307</v>
      </c>
      <c r="C1466" s="40" t="s">
        <v>1308</v>
      </c>
      <c r="D1466" s="4" t="s">
        <v>300</v>
      </c>
      <c r="E1466" s="4" t="s">
        <v>1309</v>
      </c>
      <c r="T1466" s="4">
        <v>102.21</v>
      </c>
      <c r="U1466" s="4">
        <v>12.56</v>
      </c>
      <c r="AB1466" s="4" t="s">
        <v>1310</v>
      </c>
      <c r="AD1466" s="4" t="s">
        <v>1311</v>
      </c>
      <c r="AE1466" s="4" t="s">
        <v>1312</v>
      </c>
      <c r="AF1466" s="63" t="s">
        <v>1313</v>
      </c>
      <c r="AH1466" s="4" t="s">
        <v>1314</v>
      </c>
      <c r="AI1466" s="4" t="s">
        <v>1315</v>
      </c>
      <c r="AL1466" s="4" t="s">
        <v>1316</v>
      </c>
      <c r="AM1466" s="4">
        <v>2.57</v>
      </c>
      <c r="AQ1466" s="4" t="s">
        <v>1317</v>
      </c>
      <c r="AR1466" s="4">
        <v>1.24</v>
      </c>
      <c r="AS1466" s="4" t="s">
        <v>1318</v>
      </c>
      <c r="AT1466" s="4">
        <v>141.7</v>
      </c>
      <c r="AU1466" s="4" t="s">
        <v>1319</v>
      </c>
      <c r="AV1466" s="4">
        <v>15.2</v>
      </c>
      <c r="AW1466" s="4" t="s">
        <v>1320</v>
      </c>
      <c r="AX1466" s="4">
        <v>2.33</v>
      </c>
      <c r="BE1466" s="4" t="s">
        <v>1321</v>
      </c>
      <c r="BI1466" s="4" t="s">
        <v>321</v>
      </c>
      <c r="BL1466" s="4">
        <v>100</v>
      </c>
      <c r="BM1466" s="4">
        <v>3</v>
      </c>
      <c r="BO1466" s="4">
        <v>0.03</v>
      </c>
      <c r="BS1466" s="4">
        <v>2.57</v>
      </c>
      <c r="BV1466" s="4" t="s">
        <v>408</v>
      </c>
      <c r="BW1466" s="4" t="s">
        <v>1322</v>
      </c>
      <c r="BX1466" s="4">
        <v>50</v>
      </c>
      <c r="CB1466" s="4" t="s">
        <v>7</v>
      </c>
      <c r="CE1466" s="4" t="s">
        <v>14</v>
      </c>
      <c r="CH1466" s="4" t="s">
        <v>12</v>
      </c>
      <c r="CK1466" s="4" t="s">
        <v>424</v>
      </c>
      <c r="CW1466" s="4">
        <v>7.5</v>
      </c>
      <c r="DO1466" s="4">
        <v>3</v>
      </c>
      <c r="EA1466" s="4">
        <v>95.54</v>
      </c>
      <c r="EB1466" s="1">
        <v>2.1</v>
      </c>
      <c r="ED1466" s="4">
        <v>95.54</v>
      </c>
      <c r="FT1466" s="4">
        <v>78.67</v>
      </c>
      <c r="FU1466" s="1">
        <v>1.13</v>
      </c>
      <c r="FW1466" s="4">
        <v>78.67</v>
      </c>
      <c r="GX1466" s="1">
        <v>98.92</v>
      </c>
      <c r="GY1466" s="1">
        <v>0.41</v>
      </c>
      <c r="HA1466" s="1">
        <v>98.92</v>
      </c>
      <c r="IB1466" s="4">
        <v>97.53</v>
      </c>
      <c r="IC1466" s="1">
        <v>2.1</v>
      </c>
      <c r="IE1466" s="4">
        <v>97.53</v>
      </c>
    </row>
    <row r="1467" customHeight="1" spans="1:313">
      <c r="A1467" s="23">
        <v>48</v>
      </c>
      <c r="B1467" s="4" t="s">
        <v>1307</v>
      </c>
      <c r="C1467" s="40" t="s">
        <v>1308</v>
      </c>
      <c r="D1467" s="4" t="s">
        <v>300</v>
      </c>
      <c r="E1467" s="4" t="s">
        <v>1309</v>
      </c>
      <c r="T1467" s="4">
        <v>102.21</v>
      </c>
      <c r="U1467" s="4">
        <v>12.56</v>
      </c>
      <c r="AB1467" s="4" t="s">
        <v>1310</v>
      </c>
      <c r="AD1467" s="4" t="s">
        <v>1311</v>
      </c>
      <c r="AE1467" s="4" t="s">
        <v>1312</v>
      </c>
      <c r="AF1467" s="63" t="s">
        <v>1313</v>
      </c>
      <c r="AH1467" s="4" t="s">
        <v>1314</v>
      </c>
      <c r="AI1467" s="4" t="s">
        <v>1315</v>
      </c>
      <c r="AL1467" s="4" t="s">
        <v>1316</v>
      </c>
      <c r="AM1467" s="4">
        <v>2.57</v>
      </c>
      <c r="AQ1467" s="4" t="s">
        <v>1325</v>
      </c>
      <c r="AR1467" s="4">
        <v>2.29</v>
      </c>
      <c r="AS1467" s="4" t="s">
        <v>1326</v>
      </c>
      <c r="AT1467" s="4">
        <v>250.3</v>
      </c>
      <c r="AU1467" s="4" t="s">
        <v>1327</v>
      </c>
      <c r="AV1467" s="4">
        <v>18.4</v>
      </c>
      <c r="AW1467" s="4" t="s">
        <v>1326</v>
      </c>
      <c r="AX1467" s="4">
        <v>4.96</v>
      </c>
      <c r="BE1467" s="4" t="s">
        <v>1328</v>
      </c>
      <c r="DO1467" s="4">
        <v>3</v>
      </c>
      <c r="EA1467" s="4"/>
      <c r="ED1467" s="4"/>
    </row>
    <row r="1468" customHeight="1" spans="1:313">
      <c r="A1468" s="23">
        <v>48</v>
      </c>
      <c r="B1468" s="4" t="s">
        <v>1307</v>
      </c>
      <c r="C1468" s="40" t="s">
        <v>1308</v>
      </c>
      <c r="D1468" s="4" t="s">
        <v>300</v>
      </c>
      <c r="E1468" s="4" t="s">
        <v>1309</v>
      </c>
      <c r="T1468" s="4">
        <v>102.21</v>
      </c>
      <c r="U1468" s="4">
        <v>12.56</v>
      </c>
      <c r="AB1468" s="4" t="s">
        <v>1310</v>
      </c>
      <c r="AD1468" s="4" t="s">
        <v>1311</v>
      </c>
      <c r="AE1468" s="4" t="s">
        <v>1312</v>
      </c>
      <c r="AF1468" s="63" t="s">
        <v>1313</v>
      </c>
      <c r="AH1468" s="4" t="s">
        <v>1314</v>
      </c>
      <c r="AI1468" s="4" t="s">
        <v>1315</v>
      </c>
      <c r="AL1468" s="4" t="s">
        <v>1316</v>
      </c>
      <c r="AM1468" s="4">
        <v>2.57</v>
      </c>
      <c r="AQ1468" s="4" t="s">
        <v>1317</v>
      </c>
      <c r="AR1468" s="4">
        <v>1.24</v>
      </c>
      <c r="AS1468" s="4" t="s">
        <v>1318</v>
      </c>
      <c r="AT1468" s="4">
        <v>141.7</v>
      </c>
      <c r="AU1468" s="4" t="s">
        <v>1319</v>
      </c>
      <c r="AV1468" s="4">
        <v>15.2</v>
      </c>
      <c r="AW1468" s="4" t="s">
        <v>1320</v>
      </c>
      <c r="AX1468" s="4">
        <v>2.33</v>
      </c>
      <c r="BE1468" s="4" t="s">
        <v>1321</v>
      </c>
      <c r="BF1468" s="4" t="s">
        <v>328</v>
      </c>
      <c r="BI1468" s="20" t="s">
        <v>320</v>
      </c>
      <c r="DO1468" s="4">
        <v>3</v>
      </c>
      <c r="EA1468" s="4"/>
      <c r="ED1468" s="4"/>
    </row>
    <row r="1469" customHeight="1" spans="1:313">
      <c r="A1469" s="23">
        <v>48</v>
      </c>
      <c r="B1469" s="4" t="s">
        <v>1307</v>
      </c>
      <c r="C1469" s="40" t="s">
        <v>1308</v>
      </c>
      <c r="D1469" s="4" t="s">
        <v>300</v>
      </c>
      <c r="E1469" s="4" t="s">
        <v>1309</v>
      </c>
      <c r="T1469" s="4">
        <v>102.21</v>
      </c>
      <c r="U1469" s="4">
        <v>12.56</v>
      </c>
      <c r="AB1469" s="4" t="s">
        <v>1310</v>
      </c>
      <c r="AD1469" s="4" t="s">
        <v>1311</v>
      </c>
      <c r="AE1469" s="4" t="s">
        <v>1312</v>
      </c>
      <c r="AF1469" s="63" t="s">
        <v>1313</v>
      </c>
      <c r="AH1469" s="4" t="s">
        <v>1314</v>
      </c>
      <c r="AI1469" s="4" t="s">
        <v>1315</v>
      </c>
      <c r="AL1469" s="4" t="s">
        <v>1316</v>
      </c>
      <c r="AM1469" s="4">
        <v>2.57</v>
      </c>
      <c r="AQ1469" s="4" t="s">
        <v>1317</v>
      </c>
      <c r="AR1469" s="4">
        <v>1.24</v>
      </c>
      <c r="AS1469" s="4" t="s">
        <v>1318</v>
      </c>
      <c r="AT1469" s="4">
        <v>141.7</v>
      </c>
      <c r="AU1469" s="4" t="s">
        <v>1319</v>
      </c>
      <c r="AV1469" s="4">
        <v>15.2</v>
      </c>
      <c r="AW1469" s="4" t="s">
        <v>1320</v>
      </c>
      <c r="AX1469" s="4">
        <v>2.33</v>
      </c>
      <c r="BE1469" s="4" t="s">
        <v>1321</v>
      </c>
      <c r="BF1469" s="4" t="s">
        <v>328</v>
      </c>
      <c r="BI1469" s="20" t="s">
        <v>320</v>
      </c>
      <c r="DO1469" s="4">
        <v>3</v>
      </c>
      <c r="EA1469" s="4">
        <v>98.49</v>
      </c>
      <c r="EB1469" s="1">
        <v>0.46</v>
      </c>
      <c r="ED1469" s="4">
        <v>98.49</v>
      </c>
      <c r="FT1469" s="1">
        <v>98.69</v>
      </c>
      <c r="FU1469" s="1">
        <v>0.5</v>
      </c>
      <c r="FW1469" s="1">
        <v>98.69</v>
      </c>
      <c r="GW1469" s="1">
        <v>99.08</v>
      </c>
      <c r="GX1469" s="1">
        <v>0.81</v>
      </c>
      <c r="HA1469" s="1">
        <v>0.81</v>
      </c>
      <c r="IB1469" s="1">
        <v>87.95</v>
      </c>
      <c r="IC1469" s="1">
        <v>2.07</v>
      </c>
      <c r="IE1469" s="1">
        <v>87.95</v>
      </c>
    </row>
    <row r="1470" customHeight="1" spans="1:313">
      <c r="A1470" s="23">
        <v>48</v>
      </c>
      <c r="B1470" s="4" t="s">
        <v>1307</v>
      </c>
      <c r="C1470" s="40" t="s">
        <v>1329</v>
      </c>
      <c r="D1470" s="4" t="s">
        <v>300</v>
      </c>
      <c r="T1470" s="4">
        <v>92.16</v>
      </c>
      <c r="U1470" s="4">
        <v>13.12</v>
      </c>
      <c r="AH1470" s="4" t="s">
        <v>1314</v>
      </c>
      <c r="AI1470" s="4" t="s">
        <v>1315</v>
      </c>
      <c r="AL1470" s="4" t="s">
        <v>1316</v>
      </c>
      <c r="AM1470" s="4">
        <v>2.57</v>
      </c>
      <c r="AQ1470" s="4" t="s">
        <v>1317</v>
      </c>
      <c r="AR1470" s="4">
        <v>1.24</v>
      </c>
      <c r="AS1470" s="4" t="s">
        <v>1318</v>
      </c>
      <c r="AT1470" s="4">
        <v>141.7</v>
      </c>
      <c r="AU1470" s="4" t="s">
        <v>1319</v>
      </c>
      <c r="AV1470" s="4">
        <v>15.2</v>
      </c>
      <c r="AW1470" s="4" t="s">
        <v>1320</v>
      </c>
      <c r="AX1470" s="4">
        <v>2.33</v>
      </c>
      <c r="BE1470" s="4" t="s">
        <v>1321</v>
      </c>
      <c r="BI1470" s="4" t="s">
        <v>321</v>
      </c>
      <c r="BL1470" s="4">
        <v>100</v>
      </c>
      <c r="BM1470" s="4">
        <v>0</v>
      </c>
      <c r="BO1470" s="4">
        <v>0</v>
      </c>
      <c r="BS1470" s="4">
        <v>2.57</v>
      </c>
      <c r="BV1470" s="4" t="s">
        <v>408</v>
      </c>
      <c r="BW1470" s="4" t="s">
        <v>1322</v>
      </c>
      <c r="BX1470" s="4">
        <v>50</v>
      </c>
      <c r="CB1470" s="4" t="s">
        <v>7</v>
      </c>
      <c r="CE1470" s="4" t="s">
        <v>14</v>
      </c>
      <c r="CH1470" s="4" t="s">
        <v>12</v>
      </c>
      <c r="CK1470" s="4" t="s">
        <v>424</v>
      </c>
      <c r="CW1470" s="4">
        <v>2.85</v>
      </c>
      <c r="DO1470" s="4">
        <v>3</v>
      </c>
      <c r="EA1470" s="4"/>
      <c r="ED1470" s="4"/>
    </row>
    <row r="1471" customHeight="1" spans="1:313">
      <c r="A1471" s="23">
        <v>48</v>
      </c>
      <c r="B1471" s="4" t="s">
        <v>1307</v>
      </c>
      <c r="C1471" s="40" t="s">
        <v>1329</v>
      </c>
      <c r="D1471" s="4" t="s">
        <v>300</v>
      </c>
      <c r="T1471" s="4">
        <v>92.16</v>
      </c>
      <c r="U1471" s="4">
        <v>13.12</v>
      </c>
      <c r="AH1471" s="4" t="s">
        <v>1314</v>
      </c>
      <c r="AI1471" s="4" t="s">
        <v>1315</v>
      </c>
      <c r="AL1471" s="4" t="s">
        <v>1316</v>
      </c>
      <c r="AM1471" s="4">
        <v>2.57</v>
      </c>
      <c r="AQ1471" s="4" t="s">
        <v>1317</v>
      </c>
      <c r="AR1471" s="4">
        <v>1.24</v>
      </c>
      <c r="AS1471" s="4" t="s">
        <v>1318</v>
      </c>
      <c r="AT1471" s="4">
        <v>141.7</v>
      </c>
      <c r="AU1471" s="4" t="s">
        <v>1319</v>
      </c>
      <c r="AV1471" s="4">
        <v>15.2</v>
      </c>
      <c r="AW1471" s="4" t="s">
        <v>1320</v>
      </c>
      <c r="AX1471" s="4">
        <v>2.33</v>
      </c>
      <c r="BE1471" s="4" t="s">
        <v>1321</v>
      </c>
      <c r="BI1471" s="4" t="s">
        <v>321</v>
      </c>
      <c r="BL1471" s="4">
        <v>100</v>
      </c>
      <c r="BM1471" s="4">
        <v>3</v>
      </c>
      <c r="BO1471" s="4">
        <v>0.03</v>
      </c>
      <c r="BS1471" s="4">
        <v>2.57</v>
      </c>
      <c r="BV1471" s="4" t="s">
        <v>408</v>
      </c>
      <c r="BW1471" s="4" t="s">
        <v>1322</v>
      </c>
      <c r="BX1471" s="4">
        <v>50</v>
      </c>
      <c r="CB1471" s="4" t="s">
        <v>7</v>
      </c>
      <c r="CE1471" s="4" t="s">
        <v>14</v>
      </c>
      <c r="CH1471" s="4" t="s">
        <v>12</v>
      </c>
      <c r="CK1471" s="4" t="s">
        <v>424</v>
      </c>
      <c r="CW1471" s="4">
        <v>7.8</v>
      </c>
      <c r="DO1471" s="4">
        <v>3</v>
      </c>
      <c r="EA1471" s="4">
        <v>94</v>
      </c>
      <c r="EB1471" s="1">
        <v>2.67</v>
      </c>
      <c r="ED1471" s="4">
        <v>94</v>
      </c>
      <c r="FT1471" s="4">
        <v>76.67</v>
      </c>
      <c r="FU1471" s="1">
        <v>1.49</v>
      </c>
      <c r="FW1471" s="4">
        <v>76.67</v>
      </c>
      <c r="GX1471" s="4">
        <v>99.23</v>
      </c>
      <c r="GY1471" s="1">
        <v>0.1</v>
      </c>
      <c r="HA1471" s="4">
        <v>99.23</v>
      </c>
      <c r="IB1471" s="4">
        <v>98.46</v>
      </c>
      <c r="IC1471" s="1">
        <v>0.51</v>
      </c>
      <c r="IE1471" s="4">
        <v>98.46</v>
      </c>
    </row>
    <row r="1472" customHeight="1" spans="1:313">
      <c r="A1472" s="3">
        <v>49</v>
      </c>
      <c r="B1472" s="4" t="s">
        <v>1330</v>
      </c>
      <c r="C1472" s="5" t="s">
        <v>836</v>
      </c>
      <c r="D1472" s="4" t="s">
        <v>300</v>
      </c>
      <c r="E1472" s="4" t="s">
        <v>1331</v>
      </c>
      <c r="N1472" s="4" t="s">
        <v>567</v>
      </c>
      <c r="O1472" s="4" t="s">
        <v>502</v>
      </c>
      <c r="Q1472" s="4" t="s">
        <v>541</v>
      </c>
      <c r="AC1472" s="4" t="s">
        <v>1332</v>
      </c>
      <c r="AD1472" s="4" t="s">
        <v>1333</v>
      </c>
      <c r="BI1472" s="4" t="s">
        <v>309</v>
      </c>
      <c r="BN1472" s="4">
        <v>0.3</v>
      </c>
      <c r="BU1472" s="4">
        <v>150</v>
      </c>
      <c r="BV1472" s="4">
        <v>1560</v>
      </c>
      <c r="BW1472" s="4">
        <v>20</v>
      </c>
      <c r="CB1472" s="4" t="s">
        <v>424</v>
      </c>
      <c r="CC1472" s="4">
        <v>1000</v>
      </c>
      <c r="DO1472" s="4">
        <v>3</v>
      </c>
      <c r="FT1472" s="4">
        <v>94.48</v>
      </c>
      <c r="FU1472" s="1">
        <v>1.31</v>
      </c>
      <c r="FW1472" s="4">
        <v>94.48</v>
      </c>
    </row>
    <row r="1473" customHeight="1" spans="1:209">
      <c r="A1473" s="3">
        <v>49</v>
      </c>
      <c r="B1473" s="4" t="s">
        <v>1330</v>
      </c>
      <c r="C1473" s="5" t="s">
        <v>836</v>
      </c>
      <c r="D1473" s="4" t="s">
        <v>300</v>
      </c>
      <c r="E1473" s="4" t="s">
        <v>1331</v>
      </c>
      <c r="N1473" s="4" t="s">
        <v>567</v>
      </c>
      <c r="O1473" s="4" t="s">
        <v>502</v>
      </c>
      <c r="Q1473" s="4" t="s">
        <v>541</v>
      </c>
      <c r="AC1473" s="4" t="s">
        <v>1332</v>
      </c>
      <c r="AD1473" s="4" t="s">
        <v>1333</v>
      </c>
      <c r="BI1473" s="4" t="s">
        <v>309</v>
      </c>
      <c r="BN1473" s="4">
        <v>0.5</v>
      </c>
      <c r="BU1473" s="4">
        <v>150</v>
      </c>
      <c r="BV1473" s="4">
        <v>1560</v>
      </c>
      <c r="BW1473" s="4">
        <v>20</v>
      </c>
      <c r="CB1473" s="4" t="s">
        <v>424</v>
      </c>
      <c r="CC1473" s="4">
        <v>1000</v>
      </c>
      <c r="DO1473" s="4">
        <v>3</v>
      </c>
      <c r="FT1473" s="4">
        <v>95.98</v>
      </c>
      <c r="FU1473" s="1">
        <v>1.27</v>
      </c>
      <c r="FW1473" s="4">
        <v>95.98</v>
      </c>
    </row>
    <row r="1474" customHeight="1" spans="1:209">
      <c r="A1474" s="3">
        <v>49</v>
      </c>
      <c r="B1474" s="4" t="s">
        <v>1330</v>
      </c>
      <c r="C1474" s="5" t="s">
        <v>836</v>
      </c>
      <c r="D1474" s="4" t="s">
        <v>300</v>
      </c>
      <c r="E1474" s="4" t="s">
        <v>1331</v>
      </c>
      <c r="N1474" s="4" t="s">
        <v>567</v>
      </c>
      <c r="O1474" s="4" t="s">
        <v>502</v>
      </c>
      <c r="Q1474" s="4" t="s">
        <v>541</v>
      </c>
      <c r="AC1474" s="4" t="s">
        <v>1332</v>
      </c>
      <c r="AD1474" s="4" t="s">
        <v>1333</v>
      </c>
      <c r="BI1474" s="4" t="s">
        <v>309</v>
      </c>
      <c r="BN1474" s="4">
        <v>0.7</v>
      </c>
      <c r="BU1474" s="4">
        <v>150</v>
      </c>
      <c r="BV1474" s="4">
        <v>1560</v>
      </c>
      <c r="BW1474" s="4">
        <v>20</v>
      </c>
      <c r="CB1474" s="4" t="s">
        <v>424</v>
      </c>
      <c r="CC1474" s="4">
        <v>1000</v>
      </c>
      <c r="DO1474" s="4">
        <v>3</v>
      </c>
      <c r="FT1474" s="4">
        <v>97.79</v>
      </c>
      <c r="FU1474" s="1">
        <v>3.38</v>
      </c>
      <c r="FW1474" s="4">
        <v>97.79</v>
      </c>
    </row>
    <row r="1475" customHeight="1" spans="1:209">
      <c r="A1475" s="3">
        <v>49</v>
      </c>
      <c r="B1475" s="4" t="s">
        <v>1330</v>
      </c>
      <c r="C1475" s="5" t="s">
        <v>836</v>
      </c>
      <c r="D1475" s="4" t="s">
        <v>300</v>
      </c>
      <c r="E1475" s="4" t="s">
        <v>1331</v>
      </c>
      <c r="N1475" s="4" t="s">
        <v>567</v>
      </c>
      <c r="O1475" s="4" t="s">
        <v>502</v>
      </c>
      <c r="Q1475" s="4" t="s">
        <v>541</v>
      </c>
      <c r="AC1475" s="4" t="s">
        <v>1332</v>
      </c>
      <c r="AD1475" s="4" t="s">
        <v>1333</v>
      </c>
      <c r="BI1475" s="4" t="s">
        <v>309</v>
      </c>
      <c r="BN1475" s="4">
        <v>1</v>
      </c>
      <c r="BU1475" s="4">
        <v>150</v>
      </c>
      <c r="BV1475" s="4">
        <v>1560</v>
      </c>
      <c r="BW1475" s="4">
        <v>20</v>
      </c>
      <c r="CB1475" s="4" t="s">
        <v>424</v>
      </c>
      <c r="CC1475" s="4">
        <v>1000</v>
      </c>
      <c r="DO1475" s="4">
        <v>3</v>
      </c>
      <c r="FT1475" s="4">
        <v>98.16</v>
      </c>
      <c r="FU1475" s="1">
        <v>2.41</v>
      </c>
      <c r="FW1475" s="4">
        <v>98.16</v>
      </c>
    </row>
    <row r="1476" customHeight="1" spans="1:209">
      <c r="A1476" s="3">
        <v>49</v>
      </c>
      <c r="B1476" s="4" t="s">
        <v>1330</v>
      </c>
      <c r="C1476" s="5" t="s">
        <v>836</v>
      </c>
      <c r="D1476" s="4" t="s">
        <v>300</v>
      </c>
      <c r="E1476" s="4" t="s">
        <v>1331</v>
      </c>
      <c r="N1476" s="4" t="s">
        <v>567</v>
      </c>
      <c r="O1476" s="4" t="s">
        <v>502</v>
      </c>
      <c r="Q1476" s="4" t="s">
        <v>541</v>
      </c>
      <c r="AC1476" s="4" t="s">
        <v>1332</v>
      </c>
      <c r="AD1476" s="4" t="s">
        <v>1333</v>
      </c>
      <c r="AG1476" s="4" t="s">
        <v>1334</v>
      </c>
      <c r="AH1476" s="4" t="s">
        <v>1335</v>
      </c>
      <c r="AI1476" s="4" t="s">
        <v>1336</v>
      </c>
      <c r="AL1476" s="4" t="s">
        <v>1337</v>
      </c>
      <c r="AQ1476" s="4" t="s">
        <v>424</v>
      </c>
      <c r="AR1476" s="4" t="s">
        <v>1338</v>
      </c>
      <c r="AS1476" s="4" t="s">
        <v>11</v>
      </c>
      <c r="AT1476" s="4" t="s">
        <v>1339</v>
      </c>
      <c r="AU1476" s="4" t="s">
        <v>12</v>
      </c>
      <c r="AV1476" s="4" t="s">
        <v>1340</v>
      </c>
      <c r="BI1476" s="4" t="s">
        <v>321</v>
      </c>
      <c r="BM1476" s="4">
        <v>3</v>
      </c>
      <c r="BO1476" s="4">
        <v>0.03</v>
      </c>
      <c r="BS1476" s="4">
        <v>7.8</v>
      </c>
      <c r="CB1476" s="4" t="s">
        <v>424</v>
      </c>
      <c r="CE1476" s="4" t="s">
        <v>11</v>
      </c>
      <c r="CH1476" s="4" t="s">
        <v>12</v>
      </c>
      <c r="DO1476" s="4">
        <v>3</v>
      </c>
      <c r="FT1476" s="4">
        <v>94</v>
      </c>
      <c r="FW1476" s="4">
        <v>94</v>
      </c>
      <c r="GX1476" s="4">
        <v>99.23</v>
      </c>
      <c r="HA1476" s="4">
        <v>99.23</v>
      </c>
    </row>
    <row r="1477" customHeight="1" spans="1:209">
      <c r="A1477" s="3">
        <v>49</v>
      </c>
      <c r="B1477" s="4" t="s">
        <v>1330</v>
      </c>
      <c r="C1477" s="5" t="s">
        <v>1341</v>
      </c>
      <c r="D1477" s="4" t="s">
        <v>300</v>
      </c>
      <c r="E1477" s="4" t="s">
        <v>1342</v>
      </c>
      <c r="N1477" s="4" t="s">
        <v>567</v>
      </c>
      <c r="O1477" s="4" t="s">
        <v>502</v>
      </c>
      <c r="Q1477" s="4" t="s">
        <v>541</v>
      </c>
      <c r="AC1477" s="4" t="s">
        <v>1343</v>
      </c>
      <c r="AD1477" s="4" t="s">
        <v>1344</v>
      </c>
      <c r="BI1477" s="4" t="s">
        <v>309</v>
      </c>
      <c r="BN1477" s="4">
        <v>0.3</v>
      </c>
      <c r="BU1477" s="4">
        <v>150</v>
      </c>
      <c r="BV1477" s="4">
        <v>1560</v>
      </c>
      <c r="BW1477" s="4">
        <v>20</v>
      </c>
      <c r="CB1477" s="4" t="s">
        <v>424</v>
      </c>
      <c r="CC1477" s="4">
        <v>1000</v>
      </c>
      <c r="DO1477" s="4">
        <v>3</v>
      </c>
      <c r="FT1477" s="4">
        <v>91.18</v>
      </c>
      <c r="FU1477" s="36">
        <v>1.27</v>
      </c>
      <c r="FW1477" s="4">
        <v>91.18</v>
      </c>
    </row>
    <row r="1478" customHeight="1" spans="1:209">
      <c r="A1478" s="3">
        <v>49</v>
      </c>
      <c r="B1478" s="4" t="s">
        <v>1330</v>
      </c>
      <c r="C1478" s="5" t="s">
        <v>1341</v>
      </c>
      <c r="D1478" s="4" t="s">
        <v>300</v>
      </c>
      <c r="E1478" s="4" t="s">
        <v>1342</v>
      </c>
      <c r="N1478" s="4" t="s">
        <v>567</v>
      </c>
      <c r="O1478" s="4" t="s">
        <v>502</v>
      </c>
      <c r="Q1478" s="4" t="s">
        <v>541</v>
      </c>
      <c r="AC1478" s="4" t="s">
        <v>1343</v>
      </c>
      <c r="AD1478" s="4" t="s">
        <v>1344</v>
      </c>
      <c r="BI1478" s="4" t="s">
        <v>309</v>
      </c>
      <c r="BN1478" s="4">
        <v>0.5</v>
      </c>
      <c r="BU1478" s="4">
        <v>150</v>
      </c>
      <c r="BV1478" s="4">
        <v>1560</v>
      </c>
      <c r="BW1478" s="4">
        <v>20</v>
      </c>
      <c r="CB1478" s="4" t="s">
        <v>424</v>
      </c>
      <c r="CC1478" s="4">
        <v>1000</v>
      </c>
      <c r="DO1478" s="4">
        <v>3</v>
      </c>
      <c r="FT1478" s="4">
        <v>95.63</v>
      </c>
      <c r="FU1478" s="36">
        <v>2.07</v>
      </c>
      <c r="FW1478" s="4">
        <v>95.63</v>
      </c>
    </row>
    <row r="1479" customHeight="1" spans="1:209">
      <c r="A1479" s="3">
        <v>49</v>
      </c>
      <c r="B1479" s="4" t="s">
        <v>1330</v>
      </c>
      <c r="C1479" s="5" t="s">
        <v>1341</v>
      </c>
      <c r="D1479" s="4" t="s">
        <v>300</v>
      </c>
      <c r="E1479" s="4" t="s">
        <v>1342</v>
      </c>
      <c r="N1479" s="4" t="s">
        <v>567</v>
      </c>
      <c r="O1479" s="4" t="s">
        <v>502</v>
      </c>
      <c r="Q1479" s="4" t="s">
        <v>541</v>
      </c>
      <c r="AC1479" s="4" t="s">
        <v>1343</v>
      </c>
      <c r="AD1479" s="4" t="s">
        <v>1344</v>
      </c>
      <c r="BI1479" s="4" t="s">
        <v>309</v>
      </c>
      <c r="BN1479" s="4">
        <v>0.7</v>
      </c>
      <c r="BU1479" s="4">
        <v>150</v>
      </c>
      <c r="BV1479" s="4">
        <v>1560</v>
      </c>
      <c r="BW1479" s="4">
        <v>20</v>
      </c>
      <c r="CB1479" s="4" t="s">
        <v>424</v>
      </c>
      <c r="CC1479" s="4">
        <v>1000</v>
      </c>
      <c r="DO1479" s="4">
        <v>3</v>
      </c>
      <c r="FT1479" s="4">
        <v>97.42</v>
      </c>
      <c r="FU1479" s="36">
        <v>2.09</v>
      </c>
      <c r="FW1479" s="4">
        <v>97.42</v>
      </c>
    </row>
    <row r="1480" customHeight="1" spans="1:209">
      <c r="A1480" s="3">
        <v>49</v>
      </c>
      <c r="B1480" s="4" t="s">
        <v>1330</v>
      </c>
      <c r="C1480" s="5" t="s">
        <v>1341</v>
      </c>
      <c r="D1480" s="4" t="s">
        <v>300</v>
      </c>
      <c r="E1480" s="4" t="s">
        <v>1342</v>
      </c>
      <c r="N1480" s="4" t="s">
        <v>567</v>
      </c>
      <c r="O1480" s="4" t="s">
        <v>502</v>
      </c>
      <c r="Q1480" s="4" t="s">
        <v>541</v>
      </c>
      <c r="AC1480" s="4" t="s">
        <v>1343</v>
      </c>
      <c r="AD1480" s="4" t="s">
        <v>1344</v>
      </c>
      <c r="BI1480" s="4" t="s">
        <v>309</v>
      </c>
      <c r="BN1480" s="4">
        <v>1</v>
      </c>
      <c r="BU1480" s="4">
        <v>150</v>
      </c>
      <c r="BV1480" s="4">
        <v>1560</v>
      </c>
      <c r="BW1480" s="4">
        <v>20</v>
      </c>
      <c r="CB1480" s="4" t="s">
        <v>424</v>
      </c>
      <c r="CC1480" s="4">
        <v>1000</v>
      </c>
      <c r="DO1480" s="4">
        <v>3</v>
      </c>
      <c r="FT1480" s="4">
        <v>98.16</v>
      </c>
      <c r="FU1480" s="36">
        <v>1.87</v>
      </c>
      <c r="FW1480" s="4">
        <v>98.16</v>
      </c>
    </row>
    <row r="1481" customHeight="1" spans="1:209">
      <c r="A1481" s="3">
        <v>49</v>
      </c>
      <c r="B1481" s="4" t="s">
        <v>1330</v>
      </c>
      <c r="C1481" s="5" t="s">
        <v>1341</v>
      </c>
      <c r="D1481" s="4" t="s">
        <v>300</v>
      </c>
      <c r="E1481" s="4" t="s">
        <v>1342</v>
      </c>
      <c r="N1481" s="4" t="s">
        <v>567</v>
      </c>
      <c r="O1481" s="4" t="s">
        <v>502</v>
      </c>
      <c r="Q1481" s="4" t="s">
        <v>541</v>
      </c>
      <c r="AC1481" s="4" t="s">
        <v>1343</v>
      </c>
      <c r="AD1481" s="4" t="s">
        <v>1344</v>
      </c>
      <c r="BI1481" s="4" t="s">
        <v>309</v>
      </c>
      <c r="BN1481" s="4">
        <v>0.3</v>
      </c>
      <c r="BU1481" s="4">
        <v>150</v>
      </c>
      <c r="BV1481" s="4">
        <v>1560</v>
      </c>
      <c r="BW1481" s="4">
        <v>20</v>
      </c>
      <c r="CB1481" s="4" t="s">
        <v>12</v>
      </c>
      <c r="CC1481" s="4">
        <v>1000</v>
      </c>
      <c r="DO1481" s="4">
        <v>3</v>
      </c>
      <c r="GI1481" s="36"/>
      <c r="GL1481" s="36"/>
      <c r="GX1481" s="4">
        <v>48.44</v>
      </c>
      <c r="GY1481" s="1">
        <v>1.3</v>
      </c>
      <c r="HA1481" s="4">
        <v>48.44</v>
      </c>
    </row>
    <row r="1482" customHeight="1" spans="1:209">
      <c r="A1482" s="3">
        <v>49</v>
      </c>
      <c r="B1482" s="4" t="s">
        <v>1330</v>
      </c>
      <c r="C1482" s="5" t="s">
        <v>1341</v>
      </c>
      <c r="D1482" s="4" t="s">
        <v>300</v>
      </c>
      <c r="E1482" s="4" t="s">
        <v>1342</v>
      </c>
      <c r="N1482" s="4" t="s">
        <v>567</v>
      </c>
      <c r="O1482" s="4" t="s">
        <v>502</v>
      </c>
      <c r="Q1482" s="4" t="s">
        <v>541</v>
      </c>
      <c r="AC1482" s="4" t="s">
        <v>1343</v>
      </c>
      <c r="AD1482" s="4" t="s">
        <v>1344</v>
      </c>
      <c r="BI1482" s="4" t="s">
        <v>309</v>
      </c>
      <c r="BN1482" s="4">
        <v>0.5</v>
      </c>
      <c r="BU1482" s="4">
        <v>150</v>
      </c>
      <c r="BV1482" s="4">
        <v>1560</v>
      </c>
      <c r="BW1482" s="4">
        <v>20</v>
      </c>
      <c r="CB1482" s="4" t="s">
        <v>12</v>
      </c>
      <c r="CC1482" s="4">
        <v>1000</v>
      </c>
      <c r="DO1482" s="4">
        <v>3</v>
      </c>
      <c r="GI1482" s="36"/>
      <c r="GL1482" s="36"/>
      <c r="GX1482" s="4">
        <v>50</v>
      </c>
      <c r="GY1482" s="1">
        <v>1.04</v>
      </c>
      <c r="HA1482" s="4">
        <v>50</v>
      </c>
    </row>
    <row r="1483" customHeight="1" spans="1:209">
      <c r="A1483" s="3">
        <v>49</v>
      </c>
      <c r="B1483" s="4" t="s">
        <v>1330</v>
      </c>
      <c r="C1483" s="5" t="s">
        <v>1341</v>
      </c>
      <c r="D1483" s="4" t="s">
        <v>300</v>
      </c>
      <c r="E1483" s="4" t="s">
        <v>1342</v>
      </c>
      <c r="N1483" s="4" t="s">
        <v>567</v>
      </c>
      <c r="O1483" s="4" t="s">
        <v>502</v>
      </c>
      <c r="Q1483" s="4" t="s">
        <v>541</v>
      </c>
      <c r="AC1483" s="4" t="s">
        <v>1343</v>
      </c>
      <c r="AD1483" s="4" t="s">
        <v>1344</v>
      </c>
      <c r="BI1483" s="4" t="s">
        <v>309</v>
      </c>
      <c r="BN1483" s="4">
        <v>0.7</v>
      </c>
      <c r="BU1483" s="4">
        <v>150</v>
      </c>
      <c r="BV1483" s="4">
        <v>1560</v>
      </c>
      <c r="BW1483" s="4">
        <v>20</v>
      </c>
      <c r="CB1483" s="4" t="s">
        <v>12</v>
      </c>
      <c r="CC1483" s="4">
        <v>1000</v>
      </c>
      <c r="DO1483" s="4">
        <v>3</v>
      </c>
      <c r="GI1483" s="36"/>
      <c r="GL1483" s="36"/>
      <c r="GX1483" s="4">
        <v>53.39</v>
      </c>
      <c r="GY1483" s="1">
        <v>1.56</v>
      </c>
      <c r="HA1483" s="4">
        <v>53.39</v>
      </c>
    </row>
    <row r="1484" customHeight="1" spans="1:209">
      <c r="A1484" s="3">
        <v>49</v>
      </c>
      <c r="B1484" s="4" t="s">
        <v>1330</v>
      </c>
      <c r="C1484" s="5" t="s">
        <v>1341</v>
      </c>
      <c r="D1484" s="4" t="s">
        <v>300</v>
      </c>
      <c r="E1484" s="4" t="s">
        <v>1342</v>
      </c>
      <c r="N1484" s="4" t="s">
        <v>567</v>
      </c>
      <c r="O1484" s="4" t="s">
        <v>502</v>
      </c>
      <c r="Q1484" s="4" t="s">
        <v>541</v>
      </c>
      <c r="AC1484" s="4" t="s">
        <v>1343</v>
      </c>
      <c r="AD1484" s="4" t="s">
        <v>1344</v>
      </c>
      <c r="BI1484" s="4" t="s">
        <v>309</v>
      </c>
      <c r="BN1484" s="4">
        <v>1</v>
      </c>
      <c r="BU1484" s="4">
        <v>150</v>
      </c>
      <c r="BV1484" s="4">
        <v>1560</v>
      </c>
      <c r="BW1484" s="4">
        <v>20</v>
      </c>
      <c r="CB1484" s="4" t="s">
        <v>12</v>
      </c>
      <c r="CC1484" s="4">
        <v>1000</v>
      </c>
      <c r="DO1484" s="4">
        <v>3</v>
      </c>
      <c r="GI1484" s="36"/>
      <c r="GL1484" s="36"/>
      <c r="GX1484" s="4">
        <v>57.81</v>
      </c>
      <c r="GY1484" s="1">
        <v>3.65</v>
      </c>
      <c r="HA1484" s="4">
        <v>57.81</v>
      </c>
    </row>
    <row r="1485" customHeight="1" spans="1:209">
      <c r="A1485" s="3">
        <v>49</v>
      </c>
      <c r="B1485" s="4" t="s">
        <v>1330</v>
      </c>
      <c r="C1485" s="5" t="s">
        <v>1341</v>
      </c>
      <c r="D1485" s="4" t="s">
        <v>300</v>
      </c>
      <c r="E1485" s="4" t="s">
        <v>1342</v>
      </c>
      <c r="N1485" s="4" t="s">
        <v>567</v>
      </c>
      <c r="O1485" s="4" t="s">
        <v>502</v>
      </c>
      <c r="Q1485" s="4" t="s">
        <v>541</v>
      </c>
      <c r="AC1485" s="4" t="s">
        <v>1343</v>
      </c>
      <c r="AD1485" s="4" t="s">
        <v>1344</v>
      </c>
      <c r="BI1485" s="4" t="s">
        <v>309</v>
      </c>
      <c r="BN1485" s="4">
        <v>0.3</v>
      </c>
      <c r="BU1485" s="4">
        <v>150</v>
      </c>
      <c r="BV1485" s="4">
        <v>1560</v>
      </c>
      <c r="BW1485" s="4">
        <v>20</v>
      </c>
      <c r="CB1485" s="4" t="s">
        <v>11</v>
      </c>
      <c r="CC1485" s="4">
        <v>1000</v>
      </c>
      <c r="DO1485" s="4">
        <v>3</v>
      </c>
      <c r="GI1485" s="4">
        <v>69.43</v>
      </c>
      <c r="GJ1485" s="1">
        <v>0.77</v>
      </c>
      <c r="GL1485" s="4">
        <v>69.43</v>
      </c>
    </row>
    <row r="1486" customHeight="1" spans="1:209">
      <c r="A1486" s="3">
        <v>49</v>
      </c>
      <c r="B1486" s="4" t="s">
        <v>1330</v>
      </c>
      <c r="C1486" s="5" t="s">
        <v>1341</v>
      </c>
      <c r="D1486" s="4" t="s">
        <v>300</v>
      </c>
      <c r="E1486" s="4" t="s">
        <v>1342</v>
      </c>
      <c r="N1486" s="4" t="s">
        <v>567</v>
      </c>
      <c r="O1486" s="4" t="s">
        <v>502</v>
      </c>
      <c r="Q1486" s="4" t="s">
        <v>541</v>
      </c>
      <c r="AC1486" s="4" t="s">
        <v>1343</v>
      </c>
      <c r="AD1486" s="4" t="s">
        <v>1344</v>
      </c>
      <c r="BI1486" s="4" t="s">
        <v>309</v>
      </c>
      <c r="BN1486" s="4">
        <v>0.5</v>
      </c>
      <c r="BU1486" s="4">
        <v>150</v>
      </c>
      <c r="BV1486" s="4">
        <v>1560</v>
      </c>
      <c r="BW1486" s="4">
        <v>20</v>
      </c>
      <c r="CB1486" s="4" t="s">
        <v>11</v>
      </c>
      <c r="CC1486" s="4">
        <v>1000</v>
      </c>
      <c r="DO1486" s="4">
        <v>3</v>
      </c>
      <c r="GI1486" s="4">
        <v>74.83</v>
      </c>
      <c r="GJ1486" s="1">
        <v>1.02</v>
      </c>
      <c r="GL1486" s="4">
        <v>74.83</v>
      </c>
    </row>
    <row r="1487" customHeight="1" spans="1:209">
      <c r="A1487" s="3">
        <v>49</v>
      </c>
      <c r="B1487" s="4" t="s">
        <v>1330</v>
      </c>
      <c r="C1487" s="5" t="s">
        <v>1341</v>
      </c>
      <c r="D1487" s="4" t="s">
        <v>300</v>
      </c>
      <c r="E1487" s="4" t="s">
        <v>1342</v>
      </c>
      <c r="N1487" s="4" t="s">
        <v>567</v>
      </c>
      <c r="O1487" s="4" t="s">
        <v>502</v>
      </c>
      <c r="Q1487" s="4" t="s">
        <v>541</v>
      </c>
      <c r="AC1487" s="4" t="s">
        <v>1343</v>
      </c>
      <c r="AD1487" s="4" t="s">
        <v>1344</v>
      </c>
      <c r="BI1487" s="4" t="s">
        <v>309</v>
      </c>
      <c r="BN1487" s="4">
        <v>0.7</v>
      </c>
      <c r="BU1487" s="4">
        <v>150</v>
      </c>
      <c r="BV1487" s="4">
        <v>1560</v>
      </c>
      <c r="BW1487" s="4">
        <v>20</v>
      </c>
      <c r="CB1487" s="4" t="s">
        <v>11</v>
      </c>
      <c r="CC1487" s="4">
        <v>1000</v>
      </c>
      <c r="DO1487" s="4">
        <v>3</v>
      </c>
      <c r="GI1487" s="4">
        <v>77.14</v>
      </c>
      <c r="GJ1487" s="1">
        <v>1.28</v>
      </c>
      <c r="GL1487" s="4">
        <v>77.14</v>
      </c>
    </row>
    <row r="1488" customHeight="1" spans="1:209">
      <c r="A1488" s="3">
        <v>49</v>
      </c>
      <c r="B1488" s="4" t="s">
        <v>1330</v>
      </c>
      <c r="C1488" s="5" t="s">
        <v>1341</v>
      </c>
      <c r="D1488" s="4" t="s">
        <v>300</v>
      </c>
      <c r="E1488" s="4" t="s">
        <v>1342</v>
      </c>
      <c r="N1488" s="4" t="s">
        <v>567</v>
      </c>
      <c r="O1488" s="4" t="s">
        <v>502</v>
      </c>
      <c r="Q1488" s="4" t="s">
        <v>541</v>
      </c>
      <c r="AC1488" s="4" t="s">
        <v>1343</v>
      </c>
      <c r="AD1488" s="4" t="s">
        <v>1344</v>
      </c>
      <c r="BI1488" s="4" t="s">
        <v>309</v>
      </c>
      <c r="BN1488" s="4">
        <v>1</v>
      </c>
      <c r="BU1488" s="4">
        <v>150</v>
      </c>
      <c r="BV1488" s="4">
        <v>1560</v>
      </c>
      <c r="BW1488" s="4">
        <v>20</v>
      </c>
      <c r="CB1488" s="4" t="s">
        <v>11</v>
      </c>
      <c r="CC1488" s="4">
        <v>1000</v>
      </c>
      <c r="DO1488" s="4">
        <v>3</v>
      </c>
      <c r="GA1488" s="4">
        <v>0.02</v>
      </c>
      <c r="GI1488" s="4">
        <v>77.91</v>
      </c>
      <c r="GJ1488" s="1">
        <v>0</v>
      </c>
      <c r="GL1488" s="4">
        <v>77.91</v>
      </c>
    </row>
    <row r="1489" customHeight="1" spans="1:287">
      <c r="A1489" s="3">
        <v>49</v>
      </c>
      <c r="B1489" s="4" t="s">
        <v>1330</v>
      </c>
      <c r="C1489" s="5" t="s">
        <v>1341</v>
      </c>
      <c r="D1489" s="4" t="s">
        <v>300</v>
      </c>
      <c r="E1489" s="4" t="s">
        <v>1342</v>
      </c>
      <c r="N1489" s="4" t="s">
        <v>567</v>
      </c>
      <c r="O1489" s="4" t="s">
        <v>502</v>
      </c>
      <c r="Q1489" s="4" t="s">
        <v>541</v>
      </c>
      <c r="AC1489" s="4" t="s">
        <v>1343</v>
      </c>
      <c r="AD1489" s="4" t="s">
        <v>1344</v>
      </c>
      <c r="AG1489" s="4" t="s">
        <v>1334</v>
      </c>
      <c r="AH1489" s="4" t="s">
        <v>1335</v>
      </c>
      <c r="AI1489" s="4" t="s">
        <v>1336</v>
      </c>
      <c r="AL1489" s="4" t="s">
        <v>1337</v>
      </c>
      <c r="AQ1489" s="4" t="s">
        <v>424</v>
      </c>
      <c r="AR1489" s="4" t="s">
        <v>1338</v>
      </c>
      <c r="AS1489" s="4" t="s">
        <v>11</v>
      </c>
      <c r="AT1489" s="4" t="s">
        <v>1339</v>
      </c>
      <c r="AU1489" s="4" t="s">
        <v>12</v>
      </c>
      <c r="AV1489" s="4" t="s">
        <v>1340</v>
      </c>
      <c r="BI1489" s="4" t="s">
        <v>383</v>
      </c>
      <c r="DO1489" s="4">
        <v>3</v>
      </c>
      <c r="FL1489" s="4">
        <v>0.06</v>
      </c>
      <c r="GA1489" s="4">
        <v>0.006</v>
      </c>
    </row>
    <row r="1490" customHeight="1" spans="1:287">
      <c r="A1490" s="3">
        <v>49</v>
      </c>
      <c r="B1490" s="4" t="s">
        <v>1330</v>
      </c>
      <c r="C1490" s="5" t="s">
        <v>1341</v>
      </c>
      <c r="D1490" s="4" t="s">
        <v>300</v>
      </c>
      <c r="E1490" s="4" t="s">
        <v>1342</v>
      </c>
      <c r="N1490" s="4" t="s">
        <v>567</v>
      </c>
      <c r="O1490" s="4" t="s">
        <v>502</v>
      </c>
      <c r="Q1490" s="4" t="s">
        <v>541</v>
      </c>
      <c r="AC1490" s="4" t="s">
        <v>1343</v>
      </c>
      <c r="AD1490" s="4" t="s">
        <v>1344</v>
      </c>
      <c r="AG1490" s="4" t="s">
        <v>1334</v>
      </c>
      <c r="AH1490" s="4" t="s">
        <v>1335</v>
      </c>
      <c r="AI1490" s="4" t="s">
        <v>1336</v>
      </c>
      <c r="AL1490" s="4" t="s">
        <v>1337</v>
      </c>
      <c r="AQ1490" s="4" t="s">
        <v>424</v>
      </c>
      <c r="AR1490" s="4" t="s">
        <v>1338</v>
      </c>
      <c r="AS1490" s="4" t="s">
        <v>11</v>
      </c>
      <c r="AT1490" s="4" t="s">
        <v>1339</v>
      </c>
      <c r="AU1490" s="4" t="s">
        <v>12</v>
      </c>
      <c r="AV1490" s="4" t="s">
        <v>1340</v>
      </c>
      <c r="BI1490" s="4" t="s">
        <v>383</v>
      </c>
      <c r="DO1490" s="4">
        <v>3</v>
      </c>
      <c r="FL1490" s="4">
        <v>0.027</v>
      </c>
    </row>
    <row r="1491" customHeight="1" spans="1:287">
      <c r="A1491" s="3">
        <v>49</v>
      </c>
      <c r="B1491" s="4" t="s">
        <v>1330</v>
      </c>
      <c r="C1491" s="5" t="s">
        <v>1341</v>
      </c>
      <c r="D1491" s="4" t="s">
        <v>300</v>
      </c>
      <c r="E1491" s="4" t="s">
        <v>1342</v>
      </c>
      <c r="N1491" s="4" t="s">
        <v>567</v>
      </c>
      <c r="O1491" s="4" t="s">
        <v>502</v>
      </c>
      <c r="Q1491" s="4" t="s">
        <v>541</v>
      </c>
      <c r="AC1491" s="4" t="s">
        <v>1343</v>
      </c>
      <c r="AG1491" s="4" t="s">
        <v>1334</v>
      </c>
      <c r="AH1491" s="4" t="s">
        <v>1335</v>
      </c>
      <c r="AI1491" s="4" t="s">
        <v>1336</v>
      </c>
      <c r="AL1491" s="4" t="s">
        <v>1337</v>
      </c>
      <c r="AQ1491" s="4" t="s">
        <v>424</v>
      </c>
      <c r="AR1491" s="4" t="s">
        <v>1338</v>
      </c>
      <c r="AS1491" s="4" t="s">
        <v>11</v>
      </c>
      <c r="AT1491" s="4" t="s">
        <v>1339</v>
      </c>
      <c r="AU1491" s="4" t="s">
        <v>12</v>
      </c>
      <c r="AV1491" s="4" t="s">
        <v>1340</v>
      </c>
      <c r="BI1491" s="4" t="s">
        <v>321</v>
      </c>
      <c r="BK1491" s="4">
        <v>150</v>
      </c>
      <c r="BL1491" s="4">
        <v>50</v>
      </c>
      <c r="BP1491" s="4">
        <v>0</v>
      </c>
      <c r="BU1491" s="4">
        <v>150</v>
      </c>
      <c r="BV1491" s="4">
        <v>1560</v>
      </c>
      <c r="BW1491" s="4">
        <v>20</v>
      </c>
      <c r="CB1491" s="4" t="s">
        <v>424</v>
      </c>
      <c r="CE1491" s="4" t="s">
        <v>11</v>
      </c>
      <c r="CH1491" s="4" t="s">
        <v>12</v>
      </c>
      <c r="DO1491" s="4">
        <v>3</v>
      </c>
      <c r="GI1491" s="4"/>
      <c r="GL1491" s="4"/>
      <c r="GX1491" s="4"/>
      <c r="HA1491" s="4"/>
    </row>
    <row r="1492" customHeight="1" spans="1:287">
      <c r="A1492" s="3">
        <v>49</v>
      </c>
      <c r="B1492" s="4" t="s">
        <v>1330</v>
      </c>
      <c r="C1492" s="5" t="s">
        <v>1341</v>
      </c>
      <c r="D1492" s="4" t="s">
        <v>300</v>
      </c>
      <c r="E1492" s="4" t="s">
        <v>1342</v>
      </c>
      <c r="N1492" s="4" t="s">
        <v>567</v>
      </c>
      <c r="O1492" s="4" t="s">
        <v>502</v>
      </c>
      <c r="Q1492" s="4" t="s">
        <v>541</v>
      </c>
      <c r="AC1492" s="4" t="s">
        <v>1343</v>
      </c>
      <c r="AG1492" s="4" t="s">
        <v>1334</v>
      </c>
      <c r="AH1492" s="4" t="s">
        <v>1335</v>
      </c>
      <c r="AI1492" s="4" t="s">
        <v>1336</v>
      </c>
      <c r="AL1492" s="4" t="s">
        <v>1337</v>
      </c>
      <c r="AQ1492" s="4" t="s">
        <v>424</v>
      </c>
      <c r="AR1492" s="4" t="s">
        <v>1338</v>
      </c>
      <c r="AS1492" s="4" t="s">
        <v>11</v>
      </c>
      <c r="AT1492" s="4" t="s">
        <v>1339</v>
      </c>
      <c r="AU1492" s="4" t="s">
        <v>12</v>
      </c>
      <c r="AV1492" s="4" t="s">
        <v>1340</v>
      </c>
      <c r="BI1492" s="4" t="s">
        <v>321</v>
      </c>
      <c r="BK1492" s="4">
        <v>150</v>
      </c>
      <c r="BL1492" s="4">
        <v>50</v>
      </c>
      <c r="BP1492" s="4">
        <v>3</v>
      </c>
      <c r="BU1492" s="4">
        <v>150</v>
      </c>
      <c r="BV1492" s="4">
        <v>1560</v>
      </c>
      <c r="BW1492" s="4">
        <v>20</v>
      </c>
      <c r="CB1492" s="4" t="s">
        <v>424</v>
      </c>
      <c r="CE1492" s="4" t="s">
        <v>11</v>
      </c>
      <c r="CH1492" s="4" t="s">
        <v>12</v>
      </c>
      <c r="DO1492" s="4">
        <v>3</v>
      </c>
      <c r="FT1492" s="4">
        <v>91</v>
      </c>
      <c r="FW1492" s="4">
        <v>91</v>
      </c>
      <c r="GI1492" s="4">
        <v>48.7</v>
      </c>
      <c r="GL1492" s="4">
        <v>48.7</v>
      </c>
      <c r="GX1492" s="4">
        <v>69.6</v>
      </c>
      <c r="HA1492" s="4">
        <v>69.6</v>
      </c>
    </row>
    <row r="1493" customHeight="1" spans="1:287">
      <c r="A1493" s="3">
        <v>49</v>
      </c>
      <c r="B1493" s="4" t="s">
        <v>1330</v>
      </c>
      <c r="C1493" s="5" t="s">
        <v>1341</v>
      </c>
      <c r="D1493" s="4" t="s">
        <v>300</v>
      </c>
      <c r="E1493" s="4" t="s">
        <v>1342</v>
      </c>
      <c r="N1493" s="4" t="s">
        <v>567</v>
      </c>
      <c r="O1493" s="4" t="s">
        <v>502</v>
      </c>
      <c r="Q1493" s="4" t="s">
        <v>541</v>
      </c>
      <c r="AC1493" s="4" t="s">
        <v>1343</v>
      </c>
      <c r="AG1493" s="4" t="s">
        <v>1334</v>
      </c>
      <c r="AH1493" s="4" t="s">
        <v>1335</v>
      </c>
      <c r="AI1493" s="4" t="s">
        <v>1336</v>
      </c>
      <c r="AL1493" s="4" t="s">
        <v>1337</v>
      </c>
      <c r="AQ1493" s="4" t="s">
        <v>424</v>
      </c>
      <c r="AR1493" s="4" t="s">
        <v>1338</v>
      </c>
      <c r="AS1493" s="4" t="s">
        <v>11</v>
      </c>
      <c r="AT1493" s="4" t="s">
        <v>1339</v>
      </c>
      <c r="AU1493" s="4" t="s">
        <v>12</v>
      </c>
      <c r="AV1493" s="4" t="s">
        <v>1340</v>
      </c>
      <c r="BI1493" s="4" t="s">
        <v>321</v>
      </c>
      <c r="BK1493" s="4">
        <v>150</v>
      </c>
      <c r="BL1493" s="4">
        <v>50</v>
      </c>
      <c r="BP1493" s="4">
        <v>5</v>
      </c>
      <c r="BU1493" s="4">
        <v>150</v>
      </c>
      <c r="BV1493" s="4">
        <v>1560</v>
      </c>
      <c r="BW1493" s="4">
        <v>20</v>
      </c>
      <c r="CB1493" s="4" t="s">
        <v>424</v>
      </c>
      <c r="CE1493" s="4" t="s">
        <v>11</v>
      </c>
      <c r="CH1493" s="4" t="s">
        <v>12</v>
      </c>
      <c r="DO1493" s="4">
        <v>3</v>
      </c>
      <c r="FT1493" s="4">
        <v>95.8</v>
      </c>
      <c r="FW1493" s="4">
        <v>95.8</v>
      </c>
      <c r="GI1493" s="4">
        <v>50.2</v>
      </c>
      <c r="GL1493" s="4">
        <v>50.2</v>
      </c>
      <c r="GX1493" s="4">
        <v>74.7</v>
      </c>
      <c r="HA1493" s="4">
        <v>74.7</v>
      </c>
    </row>
    <row r="1494" customHeight="1" spans="1:287">
      <c r="A1494" s="3">
        <v>49</v>
      </c>
      <c r="B1494" s="4" t="s">
        <v>1330</v>
      </c>
      <c r="C1494" s="5" t="s">
        <v>1341</v>
      </c>
      <c r="D1494" s="4" t="s">
        <v>300</v>
      </c>
      <c r="E1494" s="4" t="s">
        <v>1342</v>
      </c>
      <c r="N1494" s="4" t="s">
        <v>567</v>
      </c>
      <c r="O1494" s="4" t="s">
        <v>502</v>
      </c>
      <c r="Q1494" s="4" t="s">
        <v>541</v>
      </c>
      <c r="AC1494" s="4" t="s">
        <v>1343</v>
      </c>
      <c r="AG1494" s="4" t="s">
        <v>1334</v>
      </c>
      <c r="AH1494" s="4" t="s">
        <v>1335</v>
      </c>
      <c r="AI1494" s="4" t="s">
        <v>1336</v>
      </c>
      <c r="AL1494" s="4" t="s">
        <v>1337</v>
      </c>
      <c r="AQ1494" s="4" t="s">
        <v>424</v>
      </c>
      <c r="AR1494" s="4" t="s">
        <v>1338</v>
      </c>
      <c r="AS1494" s="4" t="s">
        <v>11</v>
      </c>
      <c r="AT1494" s="4" t="s">
        <v>1339</v>
      </c>
      <c r="AU1494" s="4" t="s">
        <v>12</v>
      </c>
      <c r="AV1494" s="4" t="s">
        <v>1340</v>
      </c>
      <c r="BI1494" s="4" t="s">
        <v>321</v>
      </c>
      <c r="BK1494" s="4">
        <v>150</v>
      </c>
      <c r="BL1494" s="4">
        <v>50</v>
      </c>
      <c r="BP1494" s="4">
        <v>7</v>
      </c>
      <c r="BU1494" s="4">
        <v>150</v>
      </c>
      <c r="BV1494" s="4">
        <v>1560</v>
      </c>
      <c r="BW1494" s="4">
        <v>20</v>
      </c>
      <c r="CB1494" s="4" t="s">
        <v>424</v>
      </c>
      <c r="CE1494" s="4" t="s">
        <v>11</v>
      </c>
      <c r="CH1494" s="4" t="s">
        <v>12</v>
      </c>
      <c r="DO1494" s="4">
        <v>3</v>
      </c>
      <c r="FT1494" s="4">
        <v>97.6</v>
      </c>
      <c r="FW1494" s="4">
        <v>97.6</v>
      </c>
      <c r="GI1494" s="4">
        <v>53.6</v>
      </c>
      <c r="GL1494" s="4">
        <v>53.6</v>
      </c>
      <c r="GX1494" s="4">
        <v>77.1</v>
      </c>
      <c r="HA1494" s="4">
        <v>77.1</v>
      </c>
    </row>
    <row r="1495" customHeight="1" spans="1:287">
      <c r="A1495" s="3">
        <v>49</v>
      </c>
      <c r="B1495" s="4" t="s">
        <v>1330</v>
      </c>
      <c r="C1495" s="5" t="s">
        <v>1341</v>
      </c>
      <c r="D1495" s="4" t="s">
        <v>300</v>
      </c>
      <c r="E1495" s="4" t="s">
        <v>1342</v>
      </c>
      <c r="N1495" s="4" t="s">
        <v>567</v>
      </c>
      <c r="O1495" s="4" t="s">
        <v>502</v>
      </c>
      <c r="Q1495" s="4" t="s">
        <v>541</v>
      </c>
      <c r="AC1495" s="4" t="s">
        <v>1343</v>
      </c>
      <c r="AG1495" s="4" t="s">
        <v>1334</v>
      </c>
      <c r="AH1495" s="4" t="s">
        <v>1335</v>
      </c>
      <c r="AI1495" s="4" t="s">
        <v>1336</v>
      </c>
      <c r="AL1495" s="4" t="s">
        <v>1337</v>
      </c>
      <c r="AQ1495" s="4" t="s">
        <v>424</v>
      </c>
      <c r="AR1495" s="4" t="s">
        <v>1338</v>
      </c>
      <c r="AS1495" s="4" t="s">
        <v>11</v>
      </c>
      <c r="AT1495" s="4" t="s">
        <v>1339</v>
      </c>
      <c r="AU1495" s="4" t="s">
        <v>12</v>
      </c>
      <c r="AV1495" s="4" t="s">
        <v>1340</v>
      </c>
      <c r="BI1495" s="4" t="s">
        <v>321</v>
      </c>
      <c r="BK1495" s="4">
        <v>150</v>
      </c>
      <c r="BL1495" s="4">
        <v>50</v>
      </c>
      <c r="BP1495" s="4">
        <v>10</v>
      </c>
      <c r="BU1495" s="4">
        <v>150</v>
      </c>
      <c r="BV1495" s="4">
        <v>1560</v>
      </c>
      <c r="BW1495" s="4">
        <v>20</v>
      </c>
      <c r="CB1495" s="4" t="s">
        <v>424</v>
      </c>
      <c r="CE1495" s="4" t="s">
        <v>11</v>
      </c>
      <c r="CH1495" s="4" t="s">
        <v>12</v>
      </c>
      <c r="DO1495" s="4">
        <v>3</v>
      </c>
      <c r="FT1495" s="4">
        <v>98.2</v>
      </c>
      <c r="FW1495" s="4">
        <v>98.2</v>
      </c>
      <c r="GI1495" s="4">
        <v>57.6</v>
      </c>
      <c r="GL1495" s="4">
        <v>57.6</v>
      </c>
      <c r="GX1495" s="4">
        <v>78</v>
      </c>
      <c r="HA1495" s="4">
        <v>78</v>
      </c>
    </row>
    <row r="1496" customHeight="1" spans="1:287">
      <c r="A1496" s="39">
        <v>50</v>
      </c>
      <c r="B1496" s="4" t="s">
        <v>1345</v>
      </c>
      <c r="C1496" s="5" t="s">
        <v>1346</v>
      </c>
      <c r="D1496" s="4" t="s">
        <v>300</v>
      </c>
      <c r="E1496" s="4" t="s">
        <v>1347</v>
      </c>
      <c r="H1496" s="4" t="s">
        <v>328</v>
      </c>
      <c r="I1496" s="4" t="s">
        <v>1348</v>
      </c>
      <c r="T1496" s="4">
        <v>67.2</v>
      </c>
      <c r="U1496" s="4">
        <v>0.261</v>
      </c>
      <c r="AB1496" s="4" t="s">
        <v>1349</v>
      </c>
      <c r="AD1496" s="4" t="s">
        <v>1350</v>
      </c>
      <c r="AE1496" s="4" t="s">
        <v>1351</v>
      </c>
      <c r="AF1496" s="4" t="s">
        <v>1352</v>
      </c>
      <c r="BI1496" s="4" t="s">
        <v>309</v>
      </c>
      <c r="BK1496" s="4">
        <v>20</v>
      </c>
      <c r="BN1496" s="4">
        <v>1</v>
      </c>
      <c r="BU1496" s="4">
        <v>150</v>
      </c>
      <c r="BV1496" s="4" t="s">
        <v>1353</v>
      </c>
      <c r="BW1496" s="4">
        <v>25</v>
      </c>
      <c r="CB1496" s="4" t="s">
        <v>11</v>
      </c>
      <c r="CC1496" s="4">
        <v>200</v>
      </c>
      <c r="CV1496" s="4">
        <v>1440</v>
      </c>
      <c r="CX1496" s="4" t="s">
        <v>637</v>
      </c>
      <c r="DO1496" s="4">
        <v>3</v>
      </c>
    </row>
    <row r="1497" customHeight="1" spans="1:287">
      <c r="A1497" s="39">
        <v>50</v>
      </c>
      <c r="B1497" s="4" t="s">
        <v>1345</v>
      </c>
      <c r="C1497" s="5" t="s">
        <v>1346</v>
      </c>
      <c r="D1497" s="4" t="s">
        <v>300</v>
      </c>
      <c r="E1497" s="4" t="s">
        <v>1347</v>
      </c>
      <c r="H1497" s="4" t="s">
        <v>328</v>
      </c>
      <c r="I1497" s="4" t="s">
        <v>1348</v>
      </c>
      <c r="T1497" s="4">
        <v>67.2</v>
      </c>
      <c r="U1497" s="4">
        <v>0.261</v>
      </c>
      <c r="AB1497" s="4" t="s">
        <v>1349</v>
      </c>
      <c r="AD1497" s="4" t="s">
        <v>1350</v>
      </c>
      <c r="AE1497" s="4" t="s">
        <v>1351</v>
      </c>
      <c r="AF1497" s="4" t="s">
        <v>1352</v>
      </c>
      <c r="BI1497" s="4" t="s">
        <v>309</v>
      </c>
      <c r="BK1497" s="4">
        <v>20</v>
      </c>
      <c r="BN1497" s="4">
        <v>1</v>
      </c>
      <c r="BU1497" s="4">
        <v>150</v>
      </c>
      <c r="BV1497" s="4" t="s">
        <v>1353</v>
      </c>
      <c r="BW1497" s="4">
        <v>25</v>
      </c>
      <c r="CB1497" s="4" t="s">
        <v>7</v>
      </c>
      <c r="CC1497" s="4">
        <v>200</v>
      </c>
      <c r="CV1497" s="4">
        <v>1440</v>
      </c>
      <c r="CX1497" s="4" t="s">
        <v>637</v>
      </c>
      <c r="DO1497" s="4">
        <v>3</v>
      </c>
    </row>
    <row r="1498" customHeight="1" spans="1:287">
      <c r="A1498" s="39">
        <v>50</v>
      </c>
      <c r="B1498" s="4" t="s">
        <v>1345</v>
      </c>
      <c r="C1498" s="5" t="s">
        <v>1346</v>
      </c>
      <c r="D1498" s="4" t="s">
        <v>300</v>
      </c>
      <c r="E1498" s="4" t="s">
        <v>1347</v>
      </c>
      <c r="H1498" s="4" t="s">
        <v>328</v>
      </c>
      <c r="I1498" s="4" t="s">
        <v>1348</v>
      </c>
      <c r="T1498" s="4">
        <v>67.2</v>
      </c>
      <c r="U1498" s="4">
        <v>0.261</v>
      </c>
      <c r="AB1498" s="4" t="s">
        <v>1349</v>
      </c>
      <c r="AD1498" s="4" t="s">
        <v>1350</v>
      </c>
      <c r="AE1498" s="4" t="s">
        <v>1351</v>
      </c>
      <c r="AF1498" s="4" t="s">
        <v>1352</v>
      </c>
      <c r="BI1498" s="4" t="s">
        <v>309</v>
      </c>
      <c r="BK1498" s="4">
        <v>20</v>
      </c>
      <c r="BN1498" s="4">
        <v>1</v>
      </c>
      <c r="BU1498" s="4">
        <v>150</v>
      </c>
      <c r="BV1498" s="4">
        <v>1440</v>
      </c>
      <c r="BW1498" s="4">
        <v>25</v>
      </c>
      <c r="CB1498" s="4" t="s">
        <v>11</v>
      </c>
      <c r="CC1498" s="4" t="s">
        <v>1354</v>
      </c>
      <c r="DB1498" s="4" t="s">
        <v>951</v>
      </c>
      <c r="DC1498" s="4" t="s">
        <v>1355</v>
      </c>
      <c r="DE1498" s="4">
        <v>335.9</v>
      </c>
      <c r="DO1498" s="4">
        <v>3</v>
      </c>
      <c r="GE1498" s="29">
        <v>335.9</v>
      </c>
    </row>
    <row r="1499" customHeight="1" spans="1:287">
      <c r="A1499" s="39">
        <v>50</v>
      </c>
      <c r="B1499" s="4" t="s">
        <v>1345</v>
      </c>
      <c r="C1499" s="5" t="s">
        <v>1346</v>
      </c>
      <c r="D1499" s="4" t="s">
        <v>300</v>
      </c>
      <c r="E1499" s="4" t="s">
        <v>1347</v>
      </c>
      <c r="H1499" s="4" t="s">
        <v>328</v>
      </c>
      <c r="I1499" s="4" t="s">
        <v>1348</v>
      </c>
      <c r="T1499" s="4">
        <v>67.2</v>
      </c>
      <c r="U1499" s="4">
        <v>0.261</v>
      </c>
      <c r="AB1499" s="4" t="s">
        <v>1349</v>
      </c>
      <c r="AD1499" s="4" t="s">
        <v>1350</v>
      </c>
      <c r="AE1499" s="4" t="s">
        <v>1351</v>
      </c>
      <c r="AF1499" s="4" t="s">
        <v>1352</v>
      </c>
      <c r="BI1499" s="4" t="s">
        <v>309</v>
      </c>
      <c r="BK1499" s="4">
        <v>20</v>
      </c>
      <c r="BN1499" s="4">
        <v>1</v>
      </c>
      <c r="BU1499" s="4">
        <v>150</v>
      </c>
      <c r="BV1499" s="4">
        <v>1440</v>
      </c>
      <c r="BW1499" s="4">
        <v>25</v>
      </c>
      <c r="CB1499" s="4" t="s">
        <v>7</v>
      </c>
      <c r="CC1499" s="4" t="s">
        <v>1354</v>
      </c>
      <c r="DE1499" s="4">
        <v>178.2</v>
      </c>
      <c r="DO1499" s="4">
        <v>3</v>
      </c>
      <c r="DW1499" s="29">
        <v>178.2</v>
      </c>
    </row>
    <row r="1500" customHeight="1" spans="1:287">
      <c r="A1500" s="39">
        <v>50</v>
      </c>
      <c r="B1500" s="4" t="s">
        <v>1345</v>
      </c>
      <c r="C1500" s="5" t="s">
        <v>1346</v>
      </c>
      <c r="D1500" s="4" t="s">
        <v>300</v>
      </c>
      <c r="E1500" s="4" t="s">
        <v>1347</v>
      </c>
      <c r="H1500" s="4" t="s">
        <v>328</v>
      </c>
      <c r="I1500" s="4" t="s">
        <v>1348</v>
      </c>
      <c r="T1500" s="4">
        <v>67.2</v>
      </c>
      <c r="U1500" s="4">
        <v>0.261</v>
      </c>
      <c r="AB1500" s="4" t="s">
        <v>1349</v>
      </c>
      <c r="AD1500" s="4" t="s">
        <v>1350</v>
      </c>
      <c r="AE1500" s="4" t="s">
        <v>1351</v>
      </c>
      <c r="AF1500" s="4" t="s">
        <v>1352</v>
      </c>
      <c r="AH1500" s="4" t="s">
        <v>371</v>
      </c>
      <c r="AI1500" s="4" t="s">
        <v>1356</v>
      </c>
      <c r="AL1500" s="4" t="s">
        <v>486</v>
      </c>
      <c r="BD1500" s="4" t="s">
        <v>1357</v>
      </c>
      <c r="BI1500" s="4" t="s">
        <v>321</v>
      </c>
      <c r="BK1500" s="4">
        <v>50</v>
      </c>
      <c r="BL1500" s="4">
        <v>200</v>
      </c>
      <c r="BM1500" s="4">
        <v>0</v>
      </c>
      <c r="BO1500" s="4">
        <v>0</v>
      </c>
      <c r="BP1500" s="4">
        <v>0</v>
      </c>
      <c r="BV1500" s="4" t="s">
        <v>472</v>
      </c>
      <c r="BW1500" s="4" t="s">
        <v>1358</v>
      </c>
      <c r="BX1500" s="4" t="s">
        <v>645</v>
      </c>
      <c r="CB1500" s="4" t="s">
        <v>11</v>
      </c>
      <c r="CD1500" s="4">
        <v>200</v>
      </c>
      <c r="CE1500" s="4" t="s">
        <v>7</v>
      </c>
      <c r="CG1500" s="4">
        <v>200</v>
      </c>
      <c r="DO1500" s="4">
        <v>3</v>
      </c>
      <c r="DW1500" s="4"/>
      <c r="JK1500" s="1" t="s">
        <v>321</v>
      </c>
      <c r="JL1500" s="1">
        <v>10.4</v>
      </c>
      <c r="JM1500" s="1">
        <v>0.6</v>
      </c>
      <c r="JN1500" s="1">
        <v>19.7</v>
      </c>
      <c r="JO1500" s="1">
        <v>2.11</v>
      </c>
      <c r="JP1500" s="1">
        <v>40.5</v>
      </c>
      <c r="JQ1500" s="1">
        <v>0.9</v>
      </c>
      <c r="JR1500" s="1">
        <v>29.4</v>
      </c>
      <c r="JS1500" s="1">
        <v>1.81</v>
      </c>
      <c r="JT1500" s="1">
        <v>35.1</v>
      </c>
      <c r="JU1500" s="1">
        <v>0.9</v>
      </c>
      <c r="JV1500" s="1">
        <v>23.9</v>
      </c>
      <c r="JW1500" s="1">
        <v>1.5</v>
      </c>
      <c r="JX1500" s="1">
        <v>25.6</v>
      </c>
      <c r="JY1500" s="1">
        <v>1.5</v>
      </c>
      <c r="JZ1500" s="1">
        <v>15.4</v>
      </c>
      <c r="KA1500" s="1">
        <v>1.2</v>
      </c>
    </row>
    <row r="1501" customHeight="1" spans="1:287">
      <c r="A1501" s="39">
        <v>50</v>
      </c>
      <c r="B1501" s="4" t="s">
        <v>1345</v>
      </c>
      <c r="C1501" s="5" t="s">
        <v>1346</v>
      </c>
      <c r="D1501" s="4" t="s">
        <v>300</v>
      </c>
      <c r="E1501" s="4" t="s">
        <v>1347</v>
      </c>
      <c r="H1501" s="4" t="s">
        <v>328</v>
      </c>
      <c r="I1501" s="4" t="s">
        <v>1348</v>
      </c>
      <c r="T1501" s="4">
        <v>67.2</v>
      </c>
      <c r="U1501" s="4">
        <v>0.261</v>
      </c>
      <c r="AB1501" s="4" t="s">
        <v>1349</v>
      </c>
      <c r="AD1501" s="4" t="s">
        <v>1350</v>
      </c>
      <c r="AE1501" s="4" t="s">
        <v>1351</v>
      </c>
      <c r="AF1501" s="4" t="s">
        <v>1352</v>
      </c>
      <c r="AH1501" s="4" t="s">
        <v>371</v>
      </c>
      <c r="AI1501" s="4" t="s">
        <v>1356</v>
      </c>
      <c r="AL1501" s="4" t="s">
        <v>486</v>
      </c>
      <c r="BD1501" s="4" t="s">
        <v>1357</v>
      </c>
      <c r="BI1501" s="4" t="s">
        <v>321</v>
      </c>
      <c r="BK1501" s="4">
        <v>50</v>
      </c>
      <c r="BL1501" s="4">
        <v>200</v>
      </c>
      <c r="BM1501" s="4">
        <v>3</v>
      </c>
      <c r="BO1501" s="4">
        <v>0.015</v>
      </c>
      <c r="BP1501" s="4">
        <v>1.5</v>
      </c>
      <c r="BV1501" s="4" t="s">
        <v>472</v>
      </c>
      <c r="BW1501" s="4" t="s">
        <v>1358</v>
      </c>
      <c r="BX1501" s="4" t="s">
        <v>645</v>
      </c>
      <c r="CB1501" s="4" t="s">
        <v>11</v>
      </c>
      <c r="CD1501" s="4">
        <v>200</v>
      </c>
      <c r="CE1501" s="4" t="s">
        <v>7</v>
      </c>
      <c r="CG1501" s="4">
        <v>200</v>
      </c>
      <c r="DO1501" s="4">
        <v>3</v>
      </c>
      <c r="DW1501" s="4"/>
      <c r="EA1501" s="1" t="s">
        <v>1359</v>
      </c>
      <c r="ED1501" s="1">
        <v>22</v>
      </c>
      <c r="GI1501" s="1" t="s">
        <v>1360</v>
      </c>
      <c r="GL1501" s="1">
        <v>33.67</v>
      </c>
      <c r="JK1501" s="1" t="s">
        <v>321</v>
      </c>
      <c r="JL1501" s="1">
        <v>24.6</v>
      </c>
      <c r="JM1501" s="1">
        <v>1.81</v>
      </c>
      <c r="JN1501" s="1">
        <v>20.2</v>
      </c>
      <c r="JO1501" s="1">
        <v>1.81</v>
      </c>
      <c r="JP1501" s="1">
        <v>35.7</v>
      </c>
      <c r="JQ1501" s="1">
        <v>1.51</v>
      </c>
      <c r="JR1501" s="1">
        <v>19.5</v>
      </c>
      <c r="JS1501" s="1">
        <v>1.51</v>
      </c>
      <c r="JT1501" s="1">
        <v>27.4</v>
      </c>
      <c r="JU1501" s="1">
        <v>1.2</v>
      </c>
      <c r="JV1501" s="1">
        <v>22.2</v>
      </c>
      <c r="JW1501" s="1">
        <v>0.6</v>
      </c>
      <c r="JX1501" s="1">
        <v>23.6</v>
      </c>
      <c r="JY1501" s="1">
        <v>0.6</v>
      </c>
      <c r="JZ1501" s="1">
        <v>25.2</v>
      </c>
      <c r="KA1501" s="1">
        <v>1.2</v>
      </c>
    </row>
    <row r="1502" customHeight="1" spans="1:287">
      <c r="A1502" s="39">
        <v>50</v>
      </c>
      <c r="B1502" s="4" t="s">
        <v>1345</v>
      </c>
      <c r="C1502" s="5" t="s">
        <v>1361</v>
      </c>
      <c r="D1502" s="4" t="s">
        <v>300</v>
      </c>
      <c r="E1502" s="4" t="s">
        <v>1362</v>
      </c>
      <c r="F1502" s="4" t="s">
        <v>328</v>
      </c>
      <c r="G1502" s="4" t="s">
        <v>1363</v>
      </c>
      <c r="T1502" s="4">
        <v>62.9</v>
      </c>
      <c r="U1502" s="4">
        <v>0.271</v>
      </c>
      <c r="AB1502" s="4" t="s">
        <v>1349</v>
      </c>
      <c r="AE1502" s="4" t="s">
        <v>1351</v>
      </c>
      <c r="AF1502" s="4" t="s">
        <v>1352</v>
      </c>
      <c r="BI1502" s="4" t="s">
        <v>309</v>
      </c>
      <c r="BK1502" s="4">
        <v>20</v>
      </c>
      <c r="BN1502" s="4">
        <v>1</v>
      </c>
      <c r="BU1502" s="4">
        <v>150</v>
      </c>
      <c r="BV1502" s="4" t="s">
        <v>1353</v>
      </c>
      <c r="BW1502" s="4">
        <v>25</v>
      </c>
      <c r="CB1502" s="4" t="s">
        <v>11</v>
      </c>
      <c r="CC1502" s="4">
        <v>200</v>
      </c>
      <c r="CV1502" s="4">
        <v>1440</v>
      </c>
      <c r="CX1502" s="4" t="s">
        <v>637</v>
      </c>
      <c r="DO1502" s="4">
        <v>3</v>
      </c>
      <c r="DW1502" s="4"/>
    </row>
    <row r="1503" customHeight="1" spans="1:287">
      <c r="A1503" s="39">
        <v>50</v>
      </c>
      <c r="B1503" s="4" t="s">
        <v>1345</v>
      </c>
      <c r="C1503" s="5" t="s">
        <v>1361</v>
      </c>
      <c r="D1503" s="4" t="s">
        <v>300</v>
      </c>
      <c r="E1503" s="4" t="s">
        <v>1362</v>
      </c>
      <c r="F1503" s="4" t="s">
        <v>328</v>
      </c>
      <c r="G1503" s="4" t="s">
        <v>1363</v>
      </c>
      <c r="T1503" s="4">
        <v>62.9</v>
      </c>
      <c r="U1503" s="4">
        <v>0.271</v>
      </c>
      <c r="AB1503" s="4" t="s">
        <v>1349</v>
      </c>
      <c r="AE1503" s="4" t="s">
        <v>1351</v>
      </c>
      <c r="AF1503" s="4" t="s">
        <v>1352</v>
      </c>
      <c r="BI1503" s="4" t="s">
        <v>309</v>
      </c>
      <c r="BK1503" s="4">
        <v>20</v>
      </c>
      <c r="BN1503" s="4">
        <v>1</v>
      </c>
      <c r="BU1503" s="4">
        <v>150</v>
      </c>
      <c r="BV1503" s="4" t="s">
        <v>1353</v>
      </c>
      <c r="BW1503" s="4">
        <v>25</v>
      </c>
      <c r="CB1503" s="4" t="s">
        <v>7</v>
      </c>
      <c r="CC1503" s="4">
        <v>200</v>
      </c>
      <c r="CV1503" s="4">
        <v>1440</v>
      </c>
      <c r="CX1503" s="4" t="s">
        <v>637</v>
      </c>
      <c r="DO1503" s="4">
        <v>3</v>
      </c>
      <c r="DW1503" s="4"/>
    </row>
    <row r="1504" customHeight="1" spans="1:287">
      <c r="A1504" s="39">
        <v>50</v>
      </c>
      <c r="B1504" s="4" t="s">
        <v>1345</v>
      </c>
      <c r="C1504" s="5" t="s">
        <v>1361</v>
      </c>
      <c r="D1504" s="4" t="s">
        <v>300</v>
      </c>
      <c r="E1504" s="4" t="s">
        <v>1362</v>
      </c>
      <c r="F1504" s="4" t="s">
        <v>328</v>
      </c>
      <c r="G1504" s="4" t="s">
        <v>1363</v>
      </c>
      <c r="T1504" s="4">
        <v>62.9</v>
      </c>
      <c r="U1504" s="4">
        <v>0.271</v>
      </c>
      <c r="AB1504" s="4" t="s">
        <v>1349</v>
      </c>
      <c r="AE1504" s="4" t="s">
        <v>1351</v>
      </c>
      <c r="AF1504" s="4" t="s">
        <v>1352</v>
      </c>
      <c r="BI1504" s="4" t="s">
        <v>309</v>
      </c>
      <c r="BK1504" s="4">
        <v>20</v>
      </c>
      <c r="BN1504" s="4">
        <v>1</v>
      </c>
      <c r="BU1504" s="4">
        <v>150</v>
      </c>
      <c r="BV1504" s="4">
        <v>1440</v>
      </c>
      <c r="BW1504" s="4">
        <v>25</v>
      </c>
      <c r="CB1504" s="4" t="s">
        <v>11</v>
      </c>
      <c r="CC1504" s="4" t="s">
        <v>1354</v>
      </c>
      <c r="DB1504" s="4" t="s">
        <v>951</v>
      </c>
      <c r="DC1504" s="4" t="s">
        <v>1355</v>
      </c>
      <c r="DE1504" s="4">
        <v>269.1</v>
      </c>
      <c r="DO1504" s="4">
        <v>3</v>
      </c>
      <c r="DW1504" s="4"/>
      <c r="GE1504" s="29">
        <v>269.1</v>
      </c>
    </row>
    <row r="1505" customHeight="1" spans="1:313">
      <c r="A1505" s="39">
        <v>50</v>
      </c>
      <c r="B1505" s="4" t="s">
        <v>1345</v>
      </c>
      <c r="C1505" s="5" t="s">
        <v>1361</v>
      </c>
      <c r="D1505" s="4" t="s">
        <v>300</v>
      </c>
      <c r="E1505" s="4" t="s">
        <v>1362</v>
      </c>
      <c r="F1505" s="4" t="s">
        <v>328</v>
      </c>
      <c r="G1505" s="4" t="s">
        <v>1363</v>
      </c>
      <c r="T1505" s="4">
        <v>62.9</v>
      </c>
      <c r="U1505" s="4">
        <v>0.271</v>
      </c>
      <c r="AB1505" s="4" t="s">
        <v>1349</v>
      </c>
      <c r="AE1505" s="4" t="s">
        <v>1351</v>
      </c>
      <c r="AF1505" s="4" t="s">
        <v>1352</v>
      </c>
      <c r="BI1505" s="4" t="s">
        <v>309</v>
      </c>
      <c r="BK1505" s="4">
        <v>20</v>
      </c>
      <c r="BN1505" s="4">
        <v>1</v>
      </c>
      <c r="BU1505" s="4">
        <v>150</v>
      </c>
      <c r="BV1505" s="4">
        <v>1440</v>
      </c>
      <c r="BW1505" s="4">
        <v>25</v>
      </c>
      <c r="CB1505" s="4" t="s">
        <v>7</v>
      </c>
      <c r="CC1505" s="4" t="s">
        <v>1354</v>
      </c>
      <c r="DE1505" s="4">
        <v>352.5</v>
      </c>
      <c r="DO1505" s="4">
        <v>3</v>
      </c>
      <c r="DW1505" s="29">
        <v>352.5</v>
      </c>
    </row>
    <row r="1506" customHeight="1" spans="1:313">
      <c r="A1506" s="39">
        <v>50</v>
      </c>
      <c r="B1506" s="4" t="s">
        <v>1345</v>
      </c>
      <c r="C1506" s="5" t="s">
        <v>1361</v>
      </c>
      <c r="D1506" s="4" t="s">
        <v>300</v>
      </c>
      <c r="E1506" s="4" t="s">
        <v>1362</v>
      </c>
      <c r="F1506" s="4" t="s">
        <v>328</v>
      </c>
      <c r="G1506" s="4" t="s">
        <v>1363</v>
      </c>
      <c r="T1506" s="4">
        <v>62.9</v>
      </c>
      <c r="U1506" s="4">
        <v>0.271</v>
      </c>
      <c r="AB1506" s="4" t="s">
        <v>1349</v>
      </c>
      <c r="AE1506" s="4" t="s">
        <v>1351</v>
      </c>
      <c r="AF1506" s="4" t="s">
        <v>1352</v>
      </c>
      <c r="AH1506" s="4" t="s">
        <v>371</v>
      </c>
      <c r="AI1506" s="4" t="s">
        <v>1356</v>
      </c>
      <c r="AL1506" s="4" t="s">
        <v>486</v>
      </c>
      <c r="BD1506" s="4" t="s">
        <v>1357</v>
      </c>
      <c r="BI1506" s="4" t="s">
        <v>321</v>
      </c>
      <c r="BK1506" s="4">
        <v>50</v>
      </c>
      <c r="BL1506" s="4">
        <v>200</v>
      </c>
      <c r="BM1506" s="4">
        <v>0</v>
      </c>
      <c r="BO1506" s="4">
        <v>0</v>
      </c>
      <c r="BP1506" s="4">
        <v>0</v>
      </c>
      <c r="BV1506" s="4" t="s">
        <v>472</v>
      </c>
      <c r="BW1506" s="4" t="s">
        <v>1358</v>
      </c>
      <c r="BX1506" s="4" t="s">
        <v>645</v>
      </c>
      <c r="CB1506" s="4" t="s">
        <v>11</v>
      </c>
      <c r="CD1506" s="4">
        <v>200</v>
      </c>
      <c r="CE1506" s="4" t="s">
        <v>7</v>
      </c>
      <c r="CG1506" s="4">
        <v>200</v>
      </c>
      <c r="CW1506" s="4">
        <v>6.15</v>
      </c>
      <c r="DO1506" s="4">
        <v>3</v>
      </c>
      <c r="JK1506" s="1" t="s">
        <v>321</v>
      </c>
      <c r="JL1506" s="1">
        <v>10.4</v>
      </c>
      <c r="JM1506" s="1">
        <v>0.6</v>
      </c>
      <c r="JN1506" s="1">
        <v>19.7</v>
      </c>
      <c r="JO1506" s="1">
        <v>2.11</v>
      </c>
      <c r="JP1506" s="1">
        <v>40.5</v>
      </c>
      <c r="JQ1506" s="1">
        <v>0.9</v>
      </c>
      <c r="JR1506" s="1">
        <v>29.4</v>
      </c>
      <c r="JS1506" s="1">
        <v>1.81</v>
      </c>
      <c r="JT1506" s="1">
        <v>35.1</v>
      </c>
      <c r="JU1506" s="1">
        <v>0.9</v>
      </c>
      <c r="JV1506" s="1">
        <v>23.9</v>
      </c>
      <c r="JW1506" s="1">
        <v>1.5</v>
      </c>
      <c r="JX1506" s="1">
        <v>25.6</v>
      </c>
      <c r="JY1506" s="1">
        <v>1.5</v>
      </c>
      <c r="JZ1506" s="1">
        <v>15.4</v>
      </c>
      <c r="KA1506" s="1">
        <v>1.2</v>
      </c>
    </row>
    <row r="1507" customHeight="1" spans="1:313">
      <c r="A1507" s="39">
        <v>50</v>
      </c>
      <c r="B1507" s="4" t="s">
        <v>1345</v>
      </c>
      <c r="C1507" s="5" t="s">
        <v>1361</v>
      </c>
      <c r="D1507" s="4" t="s">
        <v>300</v>
      </c>
      <c r="E1507" s="4" t="s">
        <v>1362</v>
      </c>
      <c r="F1507" s="4" t="s">
        <v>328</v>
      </c>
      <c r="G1507" s="4" t="s">
        <v>1363</v>
      </c>
      <c r="T1507" s="4">
        <v>62.9</v>
      </c>
      <c r="U1507" s="4">
        <v>0.271</v>
      </c>
      <c r="AB1507" s="4" t="s">
        <v>1349</v>
      </c>
      <c r="AE1507" s="4" t="s">
        <v>1351</v>
      </c>
      <c r="AF1507" s="4" t="s">
        <v>1352</v>
      </c>
      <c r="AH1507" s="4" t="s">
        <v>371</v>
      </c>
      <c r="AI1507" s="4" t="s">
        <v>1356</v>
      </c>
      <c r="AL1507" s="4" t="s">
        <v>486</v>
      </c>
      <c r="BD1507" s="4" t="s">
        <v>1357</v>
      </c>
      <c r="BI1507" s="4" t="s">
        <v>321</v>
      </c>
      <c r="BK1507" s="4">
        <v>50</v>
      </c>
      <c r="BL1507" s="4">
        <v>200</v>
      </c>
      <c r="BM1507" s="4">
        <v>3</v>
      </c>
      <c r="BO1507" s="4">
        <v>0.015</v>
      </c>
      <c r="BP1507" s="4">
        <v>1.5</v>
      </c>
      <c r="BV1507" s="4" t="s">
        <v>472</v>
      </c>
      <c r="BW1507" s="4" t="s">
        <v>1358</v>
      </c>
      <c r="BX1507" s="4" t="s">
        <v>645</v>
      </c>
      <c r="CB1507" s="4" t="s">
        <v>11</v>
      </c>
      <c r="CD1507" s="4">
        <v>200</v>
      </c>
      <c r="CE1507" s="4" t="s">
        <v>7</v>
      </c>
      <c r="CG1507" s="4">
        <v>200</v>
      </c>
      <c r="CW1507" s="4">
        <v>7.82</v>
      </c>
      <c r="DO1507" s="4">
        <v>3</v>
      </c>
      <c r="EA1507" s="1" t="s">
        <v>1364</v>
      </c>
      <c r="ED1507" s="1">
        <v>25.1</v>
      </c>
      <c r="GI1507" s="1" t="s">
        <v>1365</v>
      </c>
      <c r="GL1507" s="1">
        <v>35.71</v>
      </c>
      <c r="JK1507" s="1" t="s">
        <v>321</v>
      </c>
      <c r="JL1507" s="1">
        <v>27.1</v>
      </c>
      <c r="JM1507" s="1">
        <v>2.11</v>
      </c>
      <c r="JN1507" s="1">
        <v>18.8</v>
      </c>
      <c r="JO1507" s="1">
        <v>1.51</v>
      </c>
      <c r="JP1507" s="1">
        <v>33.2</v>
      </c>
      <c r="JQ1507" s="1">
        <v>1.51</v>
      </c>
      <c r="JR1507" s="1">
        <v>18.9</v>
      </c>
      <c r="JS1507" s="1">
        <v>1.81</v>
      </c>
      <c r="JT1507" s="1">
        <v>26.3</v>
      </c>
      <c r="JU1507" s="1">
        <v>0.6</v>
      </c>
      <c r="JV1507" s="1">
        <v>22.2</v>
      </c>
      <c r="JW1507" s="1">
        <v>0.6</v>
      </c>
      <c r="JX1507" s="1">
        <v>23.4</v>
      </c>
      <c r="JY1507" s="1">
        <v>0.3</v>
      </c>
      <c r="JZ1507" s="1">
        <v>28.1</v>
      </c>
      <c r="KA1507" s="1">
        <v>0.6</v>
      </c>
    </row>
    <row r="1508" customHeight="1" spans="1:313">
      <c r="A1508" s="3">
        <v>51</v>
      </c>
      <c r="B1508" s="4" t="s">
        <v>1366</v>
      </c>
      <c r="C1508" s="5" t="s">
        <v>1367</v>
      </c>
      <c r="D1508" s="4" t="s">
        <v>1368</v>
      </c>
      <c r="E1508" s="4" t="s">
        <v>1369</v>
      </c>
      <c r="R1508" s="4" t="s">
        <v>1370</v>
      </c>
      <c r="S1508" s="4" t="s">
        <v>1371</v>
      </c>
      <c r="T1508" s="4">
        <v>88.37</v>
      </c>
      <c r="X1508" s="4">
        <v>0.41</v>
      </c>
      <c r="Z1508" s="4" t="s">
        <v>1372</v>
      </c>
      <c r="AC1508" s="4" t="s">
        <v>1373</v>
      </c>
      <c r="AD1508" s="4" t="s">
        <v>965</v>
      </c>
      <c r="AE1508" s="4" t="s">
        <v>1374</v>
      </c>
      <c r="AF1508" s="63" t="s">
        <v>1375</v>
      </c>
      <c r="BI1508" s="4" t="s">
        <v>309</v>
      </c>
      <c r="BN1508" s="4">
        <v>1</v>
      </c>
      <c r="BS1508" s="4">
        <v>6.7</v>
      </c>
      <c r="BV1508" s="4" t="s">
        <v>1376</v>
      </c>
      <c r="CB1508" s="4" t="s">
        <v>7</v>
      </c>
      <c r="CC1508" s="4">
        <v>300</v>
      </c>
      <c r="CV1508" s="4">
        <v>1800</v>
      </c>
      <c r="CX1508" s="4" t="s">
        <v>314</v>
      </c>
      <c r="CY1508" s="4" t="s">
        <v>1377</v>
      </c>
      <c r="CZ1508" s="4" t="s">
        <v>328</v>
      </c>
      <c r="DA1508" s="4" t="s">
        <v>1301</v>
      </c>
      <c r="DO1508" s="4">
        <v>3</v>
      </c>
      <c r="EA1508" s="4">
        <v>90.69</v>
      </c>
      <c r="EB1508" s="1">
        <v>1.2</v>
      </c>
      <c r="ED1508" s="4">
        <v>90.69</v>
      </c>
      <c r="KZ1508" s="1" t="s">
        <v>1378</v>
      </c>
      <c r="LA1508" s="1" t="s">
        <v>1379</v>
      </c>
    </row>
    <row r="1509" customHeight="1" spans="1:313">
      <c r="A1509" s="3">
        <v>51</v>
      </c>
      <c r="B1509" s="4" t="s">
        <v>1366</v>
      </c>
      <c r="C1509" s="5" t="s">
        <v>1367</v>
      </c>
      <c r="D1509" s="4" t="s">
        <v>1368</v>
      </c>
      <c r="E1509" s="4" t="s">
        <v>1369</v>
      </c>
      <c r="R1509" s="4" t="s">
        <v>1370</v>
      </c>
      <c r="S1509" s="4" t="s">
        <v>1371</v>
      </c>
      <c r="T1509" s="4">
        <v>88.37</v>
      </c>
      <c r="X1509" s="4">
        <v>0.41</v>
      </c>
      <c r="Z1509" s="4" t="s">
        <v>1372</v>
      </c>
      <c r="AC1509" s="4" t="s">
        <v>1373</v>
      </c>
      <c r="AD1509" s="4" t="s">
        <v>965</v>
      </c>
      <c r="AE1509" s="4" t="s">
        <v>1374</v>
      </c>
      <c r="AF1509" s="63" t="s">
        <v>1375</v>
      </c>
      <c r="BI1509" s="4" t="s">
        <v>309</v>
      </c>
      <c r="BN1509" s="4">
        <v>1</v>
      </c>
      <c r="BS1509" s="4">
        <v>6.23</v>
      </c>
      <c r="BV1509" s="4" t="s">
        <v>1376</v>
      </c>
      <c r="CB1509" s="4" t="s">
        <v>11</v>
      </c>
      <c r="CC1509" s="4">
        <v>300</v>
      </c>
      <c r="CV1509" s="4">
        <v>1080</v>
      </c>
      <c r="CX1509" s="4" t="s">
        <v>314</v>
      </c>
      <c r="CY1509" s="4" t="s">
        <v>1377</v>
      </c>
      <c r="CZ1509" s="4" t="s">
        <v>328</v>
      </c>
      <c r="DA1509" s="4" t="s">
        <v>1301</v>
      </c>
      <c r="DO1509" s="4">
        <v>3</v>
      </c>
      <c r="GI1509" s="1">
        <v>99.7</v>
      </c>
      <c r="GJ1509" s="1">
        <v>0.34</v>
      </c>
      <c r="GL1509" s="1">
        <v>99.7</v>
      </c>
      <c r="KZ1509" s="1" t="s">
        <v>465</v>
      </c>
      <c r="LA1509" s="1" t="s">
        <v>1380</v>
      </c>
    </row>
    <row r="1510" customHeight="1" spans="1:313">
      <c r="A1510" s="3">
        <v>51</v>
      </c>
      <c r="B1510" s="4" t="s">
        <v>1366</v>
      </c>
      <c r="C1510" s="5" t="s">
        <v>1367</v>
      </c>
      <c r="D1510" s="4" t="s">
        <v>1368</v>
      </c>
      <c r="E1510" s="4" t="s">
        <v>1369</v>
      </c>
      <c r="R1510" s="4" t="s">
        <v>1370</v>
      </c>
      <c r="S1510" s="4" t="s">
        <v>1371</v>
      </c>
      <c r="T1510" s="4">
        <v>88.37</v>
      </c>
      <c r="X1510" s="4">
        <v>0.41</v>
      </c>
      <c r="Z1510" s="4" t="s">
        <v>1372</v>
      </c>
      <c r="AC1510" s="4" t="s">
        <v>1373</v>
      </c>
      <c r="AD1510" s="4" t="s">
        <v>965</v>
      </c>
      <c r="AE1510" s="4" t="s">
        <v>1374</v>
      </c>
      <c r="AF1510" s="63" t="s">
        <v>1375</v>
      </c>
      <c r="BI1510" s="4" t="s">
        <v>309</v>
      </c>
      <c r="BN1510" s="4">
        <v>1</v>
      </c>
      <c r="BS1510" s="4">
        <v>5.36</v>
      </c>
      <c r="BV1510" s="4" t="s">
        <v>1376</v>
      </c>
      <c r="CB1510" s="4" t="s">
        <v>10</v>
      </c>
      <c r="CC1510" s="4">
        <v>100</v>
      </c>
      <c r="CV1510" s="4">
        <v>30</v>
      </c>
      <c r="CX1510" s="4" t="s">
        <v>314</v>
      </c>
      <c r="CY1510" s="4" t="s">
        <v>1377</v>
      </c>
      <c r="CZ1510" s="4" t="s">
        <v>328</v>
      </c>
      <c r="DA1510" s="4" t="s">
        <v>1301</v>
      </c>
      <c r="DO1510" s="4">
        <v>3</v>
      </c>
      <c r="FT1510" s="4">
        <v>95.16</v>
      </c>
      <c r="FU1510" s="1">
        <v>2.39</v>
      </c>
      <c r="FW1510" s="4">
        <v>95.16</v>
      </c>
      <c r="KZ1510" s="1" t="s">
        <v>1062</v>
      </c>
      <c r="LA1510" s="1" t="s">
        <v>946</v>
      </c>
    </row>
    <row r="1511" customHeight="1" spans="1:313">
      <c r="A1511" s="3">
        <v>51</v>
      </c>
      <c r="B1511" s="4" t="s">
        <v>1366</v>
      </c>
      <c r="C1511" s="5" t="s">
        <v>1367</v>
      </c>
      <c r="D1511" s="4" t="s">
        <v>1368</v>
      </c>
      <c r="E1511" s="4" t="s">
        <v>1369</v>
      </c>
      <c r="R1511" s="4" t="s">
        <v>1370</v>
      </c>
      <c r="S1511" s="4" t="s">
        <v>1371</v>
      </c>
      <c r="T1511" s="4">
        <v>88.37</v>
      </c>
      <c r="X1511" s="4">
        <v>0.41</v>
      </c>
      <c r="Z1511" s="4" t="s">
        <v>1372</v>
      </c>
      <c r="AC1511" s="4" t="s">
        <v>1373</v>
      </c>
      <c r="AD1511" s="4" t="s">
        <v>965</v>
      </c>
      <c r="AE1511" s="4" t="s">
        <v>1374</v>
      </c>
      <c r="AF1511" s="63" t="s">
        <v>1375</v>
      </c>
      <c r="BI1511" s="4" t="s">
        <v>309</v>
      </c>
      <c r="BN1511" s="4">
        <v>1</v>
      </c>
      <c r="CB1511" s="4" t="s">
        <v>7</v>
      </c>
      <c r="CC1511" s="4" t="s">
        <v>950</v>
      </c>
      <c r="DB1511" s="4" t="s">
        <v>951</v>
      </c>
      <c r="DC1511" s="4" t="s">
        <v>462</v>
      </c>
      <c r="DE1511" s="4">
        <v>334.45</v>
      </c>
      <c r="DO1511" s="4">
        <v>3</v>
      </c>
      <c r="DW1511" s="4">
        <v>334.45</v>
      </c>
      <c r="DX1511" s="1">
        <v>10.41</v>
      </c>
    </row>
    <row r="1512" customHeight="1" spans="1:313">
      <c r="A1512" s="3">
        <v>51</v>
      </c>
      <c r="B1512" s="4" t="s">
        <v>1366</v>
      </c>
      <c r="C1512" s="5" t="s">
        <v>1367</v>
      </c>
      <c r="D1512" s="4" t="s">
        <v>1368</v>
      </c>
      <c r="E1512" s="4" t="s">
        <v>1369</v>
      </c>
      <c r="R1512" s="4" t="s">
        <v>1370</v>
      </c>
      <c r="S1512" s="4" t="s">
        <v>1371</v>
      </c>
      <c r="T1512" s="4">
        <v>88.37</v>
      </c>
      <c r="X1512" s="4">
        <v>0.41</v>
      </c>
      <c r="Z1512" s="4" t="s">
        <v>1372</v>
      </c>
      <c r="AC1512" s="4" t="s">
        <v>1373</v>
      </c>
      <c r="AD1512" s="4" t="s">
        <v>965</v>
      </c>
      <c r="AE1512" s="4" t="s">
        <v>1374</v>
      </c>
      <c r="AF1512" s="63" t="s">
        <v>1375</v>
      </c>
      <c r="BI1512" s="4" t="s">
        <v>309</v>
      </c>
      <c r="BN1512" s="4">
        <v>1</v>
      </c>
      <c r="CB1512" s="4" t="s">
        <v>11</v>
      </c>
      <c r="CC1512" s="4" t="s">
        <v>950</v>
      </c>
      <c r="DB1512" s="4" t="s">
        <v>951</v>
      </c>
      <c r="DC1512" s="4" t="s">
        <v>462</v>
      </c>
      <c r="DE1512" s="4">
        <v>1156.25</v>
      </c>
      <c r="DO1512" s="4">
        <v>3</v>
      </c>
      <c r="GE1512" s="29">
        <v>1156.25</v>
      </c>
      <c r="GF1512" s="1">
        <v>67.94</v>
      </c>
    </row>
    <row r="1513" customHeight="1" spans="1:313">
      <c r="A1513" s="3">
        <v>51</v>
      </c>
      <c r="B1513" s="4" t="s">
        <v>1366</v>
      </c>
      <c r="C1513" s="5" t="s">
        <v>1367</v>
      </c>
      <c r="D1513" s="4" t="s">
        <v>1368</v>
      </c>
      <c r="E1513" s="4" t="s">
        <v>1369</v>
      </c>
      <c r="R1513" s="4" t="s">
        <v>1370</v>
      </c>
      <c r="S1513" s="4" t="s">
        <v>1371</v>
      </c>
      <c r="T1513" s="4">
        <v>88.37</v>
      </c>
      <c r="X1513" s="4">
        <v>0.41</v>
      </c>
      <c r="Z1513" s="4" t="s">
        <v>1372</v>
      </c>
      <c r="AC1513" s="4" t="s">
        <v>1373</v>
      </c>
      <c r="AD1513" s="4" t="s">
        <v>965</v>
      </c>
      <c r="AE1513" s="4" t="s">
        <v>1374</v>
      </c>
      <c r="AF1513" s="63" t="s">
        <v>1375</v>
      </c>
      <c r="BI1513" s="4" t="s">
        <v>309</v>
      </c>
      <c r="BN1513" s="4">
        <v>1</v>
      </c>
      <c r="CB1513" s="4" t="s">
        <v>10</v>
      </c>
      <c r="CC1513" s="4" t="s">
        <v>950</v>
      </c>
      <c r="DB1513" s="4" t="s">
        <v>951</v>
      </c>
      <c r="DC1513" s="4" t="s">
        <v>462</v>
      </c>
      <c r="DE1513" s="4">
        <v>168.63</v>
      </c>
      <c r="DO1513" s="4">
        <v>3</v>
      </c>
      <c r="FP1513" s="29">
        <v>168.63</v>
      </c>
      <c r="FQ1513" s="1">
        <v>12.45</v>
      </c>
    </row>
    <row r="1514" customHeight="1" spans="1:313">
      <c r="A1514" s="3">
        <v>51</v>
      </c>
      <c r="B1514" s="4" t="s">
        <v>1366</v>
      </c>
      <c r="C1514" s="5" t="s">
        <v>1367</v>
      </c>
      <c r="D1514" s="4" t="s">
        <v>1368</v>
      </c>
      <c r="E1514" s="4" t="s">
        <v>1369</v>
      </c>
      <c r="R1514" s="4" t="s">
        <v>1370</v>
      </c>
      <c r="S1514" s="4" t="s">
        <v>1371</v>
      </c>
      <c r="T1514" s="4">
        <v>88.37</v>
      </c>
      <c r="X1514" s="4">
        <v>0.41</v>
      </c>
      <c r="Z1514" s="4" t="s">
        <v>1372</v>
      </c>
      <c r="AC1514" s="4" t="s">
        <v>1373</v>
      </c>
      <c r="AD1514" s="4" t="s">
        <v>965</v>
      </c>
      <c r="AE1514" s="4" t="s">
        <v>1374</v>
      </c>
      <c r="AF1514" s="63" t="s">
        <v>1375</v>
      </c>
      <c r="BI1514" s="4" t="s">
        <v>309</v>
      </c>
      <c r="BS1514" s="4">
        <v>3.48</v>
      </c>
      <c r="BU1514" s="4">
        <v>1440</v>
      </c>
      <c r="CB1514" s="4" t="s">
        <v>7</v>
      </c>
      <c r="CC1514" s="4">
        <v>5</v>
      </c>
      <c r="CE1514" s="4" t="s">
        <v>11</v>
      </c>
      <c r="CF1514" s="4">
        <v>5</v>
      </c>
      <c r="CH1514" s="4" t="s">
        <v>10</v>
      </c>
      <c r="CI1514" s="4">
        <v>5</v>
      </c>
      <c r="DO1514" s="4">
        <v>3</v>
      </c>
      <c r="EA1514" s="4">
        <v>98.19</v>
      </c>
      <c r="ED1514" s="4">
        <v>98.19</v>
      </c>
      <c r="FT1514" s="4">
        <v>98.19</v>
      </c>
      <c r="FW1514" s="4">
        <v>98.19</v>
      </c>
      <c r="GI1514" s="4">
        <v>99.63</v>
      </c>
      <c r="GL1514" s="4">
        <v>99.63</v>
      </c>
    </row>
    <row r="1515" customHeight="1" spans="1:313">
      <c r="A1515" s="3">
        <v>51</v>
      </c>
      <c r="B1515" s="4" t="s">
        <v>1366</v>
      </c>
      <c r="C1515" s="5" t="s">
        <v>1367</v>
      </c>
      <c r="D1515" s="4" t="s">
        <v>1368</v>
      </c>
      <c r="E1515" s="4" t="s">
        <v>1369</v>
      </c>
      <c r="R1515" s="4" t="s">
        <v>1370</v>
      </c>
      <c r="S1515" s="4" t="s">
        <v>1371</v>
      </c>
      <c r="T1515" s="4">
        <v>88.37</v>
      </c>
      <c r="X1515" s="4">
        <v>0.41</v>
      </c>
      <c r="Z1515" s="4" t="s">
        <v>1372</v>
      </c>
      <c r="AC1515" s="4" t="s">
        <v>1373</v>
      </c>
      <c r="AD1515" s="4" t="s">
        <v>965</v>
      </c>
      <c r="AE1515" s="4" t="s">
        <v>1374</v>
      </c>
      <c r="AF1515" s="63" t="s">
        <v>1375</v>
      </c>
      <c r="BI1515" s="4" t="s">
        <v>309</v>
      </c>
      <c r="BS1515" s="4">
        <v>3.17</v>
      </c>
      <c r="BU1515" s="4">
        <v>1440</v>
      </c>
      <c r="CB1515" s="4" t="s">
        <v>7</v>
      </c>
      <c r="CC1515" s="4">
        <v>10</v>
      </c>
      <c r="CE1515" s="4" t="s">
        <v>11</v>
      </c>
      <c r="CF1515" s="4">
        <v>10</v>
      </c>
      <c r="CH1515" s="4" t="s">
        <v>10</v>
      </c>
      <c r="CI1515" s="4">
        <v>10</v>
      </c>
      <c r="DO1515" s="4">
        <v>3</v>
      </c>
      <c r="EA1515" s="4">
        <v>95.91</v>
      </c>
      <c r="ED1515" s="4">
        <v>95.91</v>
      </c>
      <c r="FT1515" s="4">
        <v>95.91</v>
      </c>
      <c r="FW1515" s="4">
        <v>95.91</v>
      </c>
      <c r="GI1515" s="4">
        <v>99.35</v>
      </c>
      <c r="GL1515" s="4">
        <v>99.35</v>
      </c>
    </row>
    <row r="1516" customHeight="1" spans="1:313">
      <c r="A1516" s="3">
        <v>51</v>
      </c>
      <c r="B1516" s="4" t="s">
        <v>1366</v>
      </c>
      <c r="C1516" s="5" t="s">
        <v>1367</v>
      </c>
      <c r="D1516" s="4" t="s">
        <v>1368</v>
      </c>
      <c r="E1516" s="4" t="s">
        <v>1369</v>
      </c>
      <c r="R1516" s="4" t="s">
        <v>1370</v>
      </c>
      <c r="S1516" s="4" t="s">
        <v>1371</v>
      </c>
      <c r="T1516" s="4">
        <v>88.37</v>
      </c>
      <c r="X1516" s="4">
        <v>0.41</v>
      </c>
      <c r="Z1516" s="4" t="s">
        <v>1372</v>
      </c>
      <c r="AC1516" s="4" t="s">
        <v>1373</v>
      </c>
      <c r="AD1516" s="4" t="s">
        <v>965</v>
      </c>
      <c r="AE1516" s="4" t="s">
        <v>1374</v>
      </c>
      <c r="AF1516" s="63" t="s">
        <v>1375</v>
      </c>
      <c r="BI1516" s="4" t="s">
        <v>309</v>
      </c>
      <c r="BS1516" s="4">
        <v>3</v>
      </c>
      <c r="BU1516" s="4">
        <v>1440</v>
      </c>
      <c r="CB1516" s="4" t="s">
        <v>7</v>
      </c>
      <c r="CC1516" s="4">
        <v>15</v>
      </c>
      <c r="CE1516" s="4" t="s">
        <v>11</v>
      </c>
      <c r="CF1516" s="4">
        <v>15</v>
      </c>
      <c r="CH1516" s="4" t="s">
        <v>10</v>
      </c>
      <c r="CI1516" s="4">
        <v>15</v>
      </c>
      <c r="DO1516" s="4">
        <v>3</v>
      </c>
      <c r="EA1516" s="4">
        <v>95.39</v>
      </c>
      <c r="ED1516" s="4">
        <v>95.39</v>
      </c>
      <c r="FT1516" s="4">
        <v>95.39</v>
      </c>
      <c r="FW1516" s="4">
        <v>95.39</v>
      </c>
      <c r="GI1516" s="4">
        <v>99.6</v>
      </c>
      <c r="GL1516" s="4">
        <v>99.6</v>
      </c>
    </row>
    <row r="1517" customHeight="1" spans="1:313">
      <c r="A1517" s="3">
        <v>51</v>
      </c>
      <c r="B1517" s="4" t="s">
        <v>1366</v>
      </c>
      <c r="C1517" s="5" t="s">
        <v>1367</v>
      </c>
      <c r="D1517" s="4" t="s">
        <v>1368</v>
      </c>
      <c r="E1517" s="4" t="s">
        <v>1369</v>
      </c>
      <c r="R1517" s="4" t="s">
        <v>1370</v>
      </c>
      <c r="S1517" s="4" t="s">
        <v>1371</v>
      </c>
      <c r="T1517" s="4">
        <v>88.37</v>
      </c>
      <c r="X1517" s="4">
        <v>0.41</v>
      </c>
      <c r="Z1517" s="4" t="s">
        <v>1372</v>
      </c>
      <c r="AC1517" s="4" t="s">
        <v>1373</v>
      </c>
      <c r="AD1517" s="4" t="s">
        <v>965</v>
      </c>
      <c r="AE1517" s="4" t="s">
        <v>1374</v>
      </c>
      <c r="AF1517" s="63" t="s">
        <v>1375</v>
      </c>
      <c r="BI1517" s="4" t="s">
        <v>309</v>
      </c>
      <c r="BS1517" s="4">
        <v>2.91</v>
      </c>
      <c r="BU1517" s="4">
        <v>1440</v>
      </c>
      <c r="CB1517" s="4" t="s">
        <v>7</v>
      </c>
      <c r="CC1517" s="4">
        <v>20</v>
      </c>
      <c r="CE1517" s="4" t="s">
        <v>11</v>
      </c>
      <c r="CF1517" s="4">
        <v>20</v>
      </c>
      <c r="CH1517" s="4" t="s">
        <v>10</v>
      </c>
      <c r="CI1517" s="4">
        <v>20</v>
      </c>
      <c r="DO1517" s="4">
        <v>3</v>
      </c>
      <c r="EA1517" s="4">
        <v>95.06</v>
      </c>
      <c r="ED1517" s="4">
        <v>95.06</v>
      </c>
      <c r="FT1517" s="4">
        <v>95.06</v>
      </c>
      <c r="FW1517" s="4">
        <v>95.06</v>
      </c>
      <c r="GI1517" s="4">
        <v>97.17</v>
      </c>
      <c r="GL1517" s="4">
        <v>97.17</v>
      </c>
    </row>
    <row r="1518" customHeight="1" spans="1:313">
      <c r="A1518" s="3">
        <v>51</v>
      </c>
      <c r="B1518" s="4" t="s">
        <v>1366</v>
      </c>
      <c r="C1518" s="5" t="s">
        <v>1367</v>
      </c>
      <c r="D1518" s="4" t="s">
        <v>1368</v>
      </c>
      <c r="E1518" s="4" t="s">
        <v>1369</v>
      </c>
      <c r="R1518" s="4" t="s">
        <v>1370</v>
      </c>
      <c r="S1518" s="4" t="s">
        <v>1371</v>
      </c>
      <c r="T1518" s="4">
        <v>88.37</v>
      </c>
      <c r="X1518" s="4">
        <v>0.41</v>
      </c>
      <c r="Z1518" s="4" t="s">
        <v>1372</v>
      </c>
      <c r="AC1518" s="4" t="s">
        <v>1373</v>
      </c>
      <c r="AD1518" s="4" t="s">
        <v>965</v>
      </c>
      <c r="AE1518" s="4" t="s">
        <v>1374</v>
      </c>
      <c r="AF1518" s="63" t="s">
        <v>1375</v>
      </c>
      <c r="AL1518" s="4" t="s">
        <v>1381</v>
      </c>
      <c r="BD1518" s="4" t="s">
        <v>1382</v>
      </c>
      <c r="BE1518" s="4" t="s">
        <v>1383</v>
      </c>
      <c r="BI1518" s="4" t="s">
        <v>407</v>
      </c>
      <c r="BK1518" s="4">
        <v>40</v>
      </c>
      <c r="BL1518" s="4">
        <v>50</v>
      </c>
      <c r="BM1518" s="4">
        <v>0</v>
      </c>
      <c r="BO1518" s="4">
        <v>0</v>
      </c>
      <c r="BV1518" s="4" t="s">
        <v>322</v>
      </c>
      <c r="BW1518" s="4">
        <v>25</v>
      </c>
      <c r="CB1518" s="4" t="s">
        <v>882</v>
      </c>
      <c r="CE1518" s="4" t="s">
        <v>670</v>
      </c>
      <c r="CH1518" s="4" t="s">
        <v>956</v>
      </c>
      <c r="DO1518" s="4">
        <v>3</v>
      </c>
      <c r="FT1518" s="4"/>
      <c r="FW1518" s="4"/>
      <c r="GI1518" s="4"/>
      <c r="GL1518" s="4"/>
    </row>
    <row r="1519" customHeight="1" spans="1:313">
      <c r="A1519" s="3">
        <v>51</v>
      </c>
      <c r="B1519" s="4" t="s">
        <v>1366</v>
      </c>
      <c r="C1519" s="5" t="s">
        <v>1367</v>
      </c>
      <c r="D1519" s="4" t="s">
        <v>1368</v>
      </c>
      <c r="E1519" s="4" t="s">
        <v>1369</v>
      </c>
      <c r="R1519" s="4" t="s">
        <v>1370</v>
      </c>
      <c r="S1519" s="4" t="s">
        <v>1371</v>
      </c>
      <c r="T1519" s="4">
        <v>88.37</v>
      </c>
      <c r="X1519" s="4">
        <v>0.41</v>
      </c>
      <c r="Z1519" s="4" t="s">
        <v>1372</v>
      </c>
      <c r="AC1519" s="4" t="s">
        <v>1373</v>
      </c>
      <c r="AD1519" s="4" t="s">
        <v>965</v>
      </c>
      <c r="AE1519" s="4" t="s">
        <v>1374</v>
      </c>
      <c r="AF1519" s="63" t="s">
        <v>1375</v>
      </c>
      <c r="AL1519" s="4" t="s">
        <v>1381</v>
      </c>
      <c r="BD1519" s="4" t="s">
        <v>1382</v>
      </c>
      <c r="BE1519" s="4" t="s">
        <v>1383</v>
      </c>
      <c r="BI1519" s="4" t="s">
        <v>321</v>
      </c>
      <c r="BK1519" s="4">
        <v>40</v>
      </c>
      <c r="BL1519" s="4">
        <v>50</v>
      </c>
      <c r="BM1519" s="4">
        <v>0</v>
      </c>
      <c r="BO1519" s="4">
        <v>0</v>
      </c>
      <c r="BV1519" s="4" t="s">
        <v>322</v>
      </c>
      <c r="BW1519" s="4">
        <v>25</v>
      </c>
      <c r="CB1519" s="4" t="s">
        <v>882</v>
      </c>
      <c r="CD1519" s="4">
        <v>619.1</v>
      </c>
      <c r="CE1519" s="4" t="s">
        <v>670</v>
      </c>
      <c r="CG1519" s="4">
        <v>970</v>
      </c>
      <c r="CH1519" s="4" t="s">
        <v>956</v>
      </c>
      <c r="CJ1519" s="4">
        <v>113.5</v>
      </c>
      <c r="DO1519" s="4">
        <v>3</v>
      </c>
      <c r="FT1519" s="4"/>
      <c r="FW1519" s="4"/>
      <c r="GI1519" s="4"/>
      <c r="GL1519" s="4"/>
    </row>
    <row r="1520" customHeight="1" spans="1:313">
      <c r="A1520" s="3">
        <v>51</v>
      </c>
      <c r="B1520" s="4" t="s">
        <v>1366</v>
      </c>
      <c r="C1520" s="5" t="s">
        <v>1367</v>
      </c>
      <c r="D1520" s="4" t="s">
        <v>1368</v>
      </c>
      <c r="E1520" s="4" t="s">
        <v>1369</v>
      </c>
      <c r="R1520" s="4" t="s">
        <v>1370</v>
      </c>
      <c r="S1520" s="4" t="s">
        <v>1371</v>
      </c>
      <c r="T1520" s="4">
        <v>88.37</v>
      </c>
      <c r="X1520" s="4">
        <v>0.41</v>
      </c>
      <c r="Z1520" s="4" t="s">
        <v>1372</v>
      </c>
      <c r="AC1520" s="4" t="s">
        <v>1373</v>
      </c>
      <c r="AD1520" s="4" t="s">
        <v>965</v>
      </c>
      <c r="AE1520" s="4" t="s">
        <v>1374</v>
      </c>
      <c r="AF1520" s="63" t="s">
        <v>1375</v>
      </c>
      <c r="AL1520" s="4" t="s">
        <v>1381</v>
      </c>
      <c r="BD1520" s="4" t="s">
        <v>1382</v>
      </c>
      <c r="BE1520" s="4" t="s">
        <v>1383</v>
      </c>
      <c r="BI1520" s="4" t="s">
        <v>321</v>
      </c>
      <c r="BK1520" s="4">
        <v>40</v>
      </c>
      <c r="BL1520" s="4">
        <v>50</v>
      </c>
      <c r="BM1520" s="4">
        <v>0.5</v>
      </c>
      <c r="BO1520" s="4">
        <v>0.01</v>
      </c>
      <c r="BV1520" s="4" t="s">
        <v>322</v>
      </c>
      <c r="BW1520" s="4">
        <v>25</v>
      </c>
      <c r="CB1520" s="4" t="s">
        <v>882</v>
      </c>
      <c r="CD1520" s="4">
        <v>619.1</v>
      </c>
      <c r="CE1520" s="4" t="s">
        <v>670</v>
      </c>
      <c r="CG1520" s="4">
        <v>970</v>
      </c>
      <c r="CH1520" s="4" t="s">
        <v>956</v>
      </c>
      <c r="CJ1520" s="4">
        <v>113.5</v>
      </c>
      <c r="DO1520" s="4">
        <v>3</v>
      </c>
      <c r="EA1520" s="4" t="s">
        <v>1384</v>
      </c>
      <c r="EB1520" s="1">
        <v>2.74</v>
      </c>
      <c r="ED1520" s="4" t="s">
        <v>1384</v>
      </c>
      <c r="FT1520" s="4">
        <v>38.42</v>
      </c>
      <c r="FU1520" s="1">
        <v>2.63</v>
      </c>
      <c r="FW1520" s="4">
        <v>38.42</v>
      </c>
      <c r="GI1520" s="4">
        <v>50.7</v>
      </c>
      <c r="GJ1520" s="1">
        <v>2.59</v>
      </c>
      <c r="GL1520" s="4">
        <v>50.7</v>
      </c>
    </row>
    <row r="1521" customHeight="1" spans="1:313">
      <c r="A1521" s="3">
        <v>51</v>
      </c>
      <c r="B1521" s="4" t="s">
        <v>1366</v>
      </c>
      <c r="C1521" s="5" t="s">
        <v>1367</v>
      </c>
      <c r="D1521" s="4" t="s">
        <v>1368</v>
      </c>
      <c r="E1521" s="4" t="s">
        <v>1369</v>
      </c>
      <c r="R1521" s="4" t="s">
        <v>1370</v>
      </c>
      <c r="S1521" s="4" t="s">
        <v>1371</v>
      </c>
      <c r="T1521" s="4">
        <v>88.37</v>
      </c>
      <c r="X1521" s="4">
        <v>0.41</v>
      </c>
      <c r="Z1521" s="4" t="s">
        <v>1372</v>
      </c>
      <c r="AC1521" s="4" t="s">
        <v>1373</v>
      </c>
      <c r="AD1521" s="4" t="s">
        <v>965</v>
      </c>
      <c r="AE1521" s="4" t="s">
        <v>1374</v>
      </c>
      <c r="AF1521" s="63" t="s">
        <v>1375</v>
      </c>
      <c r="AL1521" s="4" t="s">
        <v>1381</v>
      </c>
      <c r="BD1521" s="4" t="s">
        <v>1382</v>
      </c>
      <c r="BE1521" s="4" t="s">
        <v>1383</v>
      </c>
      <c r="BI1521" s="4" t="s">
        <v>321</v>
      </c>
      <c r="BK1521" s="4">
        <v>40</v>
      </c>
      <c r="BL1521" s="4">
        <v>50</v>
      </c>
      <c r="BM1521" s="4">
        <v>1</v>
      </c>
      <c r="BO1521" s="4">
        <v>0.02</v>
      </c>
      <c r="BV1521" s="4" t="s">
        <v>322</v>
      </c>
      <c r="BW1521" s="4">
        <v>25</v>
      </c>
      <c r="CB1521" s="4" t="s">
        <v>882</v>
      </c>
      <c r="CD1521" s="4">
        <v>619.1</v>
      </c>
      <c r="CE1521" s="4" t="s">
        <v>670</v>
      </c>
      <c r="CG1521" s="4">
        <v>970</v>
      </c>
      <c r="CH1521" s="4" t="s">
        <v>956</v>
      </c>
      <c r="CJ1521" s="4">
        <v>113.5</v>
      </c>
      <c r="DO1521" s="4">
        <v>3</v>
      </c>
      <c r="EA1521" s="4">
        <v>71.11</v>
      </c>
      <c r="EB1521" s="1">
        <v>3.42</v>
      </c>
      <c r="ED1521" s="4">
        <v>71.11</v>
      </c>
      <c r="FT1521" s="4">
        <v>59.47</v>
      </c>
      <c r="FU1521" s="1">
        <v>2.37</v>
      </c>
      <c r="FW1521" s="4">
        <v>59.47</v>
      </c>
      <c r="GI1521" s="4">
        <v>54.73</v>
      </c>
      <c r="GJ1521" s="1">
        <v>2.59</v>
      </c>
      <c r="GL1521" s="4">
        <v>54.73</v>
      </c>
    </row>
    <row r="1522" customHeight="1" spans="1:313">
      <c r="A1522" s="3">
        <v>51</v>
      </c>
      <c r="B1522" s="4" t="s">
        <v>1366</v>
      </c>
      <c r="C1522" s="5" t="s">
        <v>1367</v>
      </c>
      <c r="D1522" s="4" t="s">
        <v>1368</v>
      </c>
      <c r="E1522" s="4" t="s">
        <v>1369</v>
      </c>
      <c r="R1522" s="4" t="s">
        <v>1370</v>
      </c>
      <c r="S1522" s="4" t="s">
        <v>1371</v>
      </c>
      <c r="T1522" s="4">
        <v>88.37</v>
      </c>
      <c r="X1522" s="4">
        <v>0.41</v>
      </c>
      <c r="Z1522" s="4" t="s">
        <v>1372</v>
      </c>
      <c r="AC1522" s="4" t="s">
        <v>1373</v>
      </c>
      <c r="AD1522" s="4" t="s">
        <v>965</v>
      </c>
      <c r="AE1522" s="4" t="s">
        <v>1374</v>
      </c>
      <c r="AF1522" s="63" t="s">
        <v>1375</v>
      </c>
      <c r="AL1522" s="4" t="s">
        <v>1381</v>
      </c>
      <c r="BD1522" s="4" t="s">
        <v>1382</v>
      </c>
      <c r="BE1522" s="4" t="s">
        <v>1383</v>
      </c>
      <c r="BI1522" s="4" t="s">
        <v>321</v>
      </c>
      <c r="BK1522" s="4">
        <v>40</v>
      </c>
      <c r="BL1522" s="4">
        <v>50</v>
      </c>
      <c r="BM1522" s="4">
        <v>2</v>
      </c>
      <c r="BO1522" s="4">
        <v>0.04</v>
      </c>
      <c r="BV1522" s="4" t="s">
        <v>322</v>
      </c>
      <c r="BW1522" s="4">
        <v>25</v>
      </c>
      <c r="CB1522" s="4" t="s">
        <v>882</v>
      </c>
      <c r="CD1522" s="4">
        <v>619.1</v>
      </c>
      <c r="CE1522" s="4" t="s">
        <v>670</v>
      </c>
      <c r="CG1522" s="4">
        <v>970</v>
      </c>
      <c r="CH1522" s="4" t="s">
        <v>956</v>
      </c>
      <c r="CJ1522" s="4">
        <v>113.5</v>
      </c>
      <c r="DO1522" s="4">
        <v>3</v>
      </c>
      <c r="EA1522" s="4">
        <v>79.25</v>
      </c>
      <c r="EB1522" s="1">
        <v>2.39</v>
      </c>
      <c r="ED1522" s="4">
        <v>79.25</v>
      </c>
      <c r="FT1522" s="4">
        <v>61.84</v>
      </c>
      <c r="FU1522" s="1">
        <v>2.89</v>
      </c>
      <c r="FW1522" s="4">
        <v>61.84</v>
      </c>
      <c r="GI1522" s="4">
        <v>64.75</v>
      </c>
      <c r="GJ1522" s="1">
        <v>2.88</v>
      </c>
      <c r="GL1522" s="4">
        <v>64.75</v>
      </c>
    </row>
    <row r="1523" customHeight="1" spans="1:313">
      <c r="A1523" s="3">
        <v>51</v>
      </c>
      <c r="B1523" s="4" t="s">
        <v>1366</v>
      </c>
      <c r="C1523" s="5" t="s">
        <v>1367</v>
      </c>
      <c r="D1523" s="4" t="s">
        <v>1368</v>
      </c>
      <c r="E1523" s="4" t="s">
        <v>1369</v>
      </c>
      <c r="R1523" s="4" t="s">
        <v>1370</v>
      </c>
      <c r="S1523" s="4" t="s">
        <v>1371</v>
      </c>
      <c r="T1523" s="4">
        <v>88.37</v>
      </c>
      <c r="X1523" s="4">
        <v>0.41</v>
      </c>
      <c r="Z1523" s="4" t="s">
        <v>1372</v>
      </c>
      <c r="AC1523" s="4" t="s">
        <v>1373</v>
      </c>
      <c r="AD1523" s="4" t="s">
        <v>965</v>
      </c>
      <c r="AE1523" s="4" t="s">
        <v>1374</v>
      </c>
      <c r="AF1523" s="63" t="s">
        <v>1375</v>
      </c>
      <c r="AL1523" s="4" t="s">
        <v>1381</v>
      </c>
      <c r="BD1523" s="4" t="s">
        <v>1382</v>
      </c>
      <c r="DO1523" s="4">
        <v>3</v>
      </c>
    </row>
    <row r="1524" customHeight="1" spans="1:313">
      <c r="A1524" s="3">
        <v>51</v>
      </c>
      <c r="B1524" s="4" t="s">
        <v>1366</v>
      </c>
      <c r="C1524" s="5" t="s">
        <v>1367</v>
      </c>
      <c r="D1524" s="4" t="s">
        <v>1368</v>
      </c>
      <c r="E1524" s="4" t="s">
        <v>1369</v>
      </c>
      <c r="R1524" s="4" t="s">
        <v>1370</v>
      </c>
      <c r="S1524" s="4" t="s">
        <v>1371</v>
      </c>
      <c r="T1524" s="4">
        <v>88.37</v>
      </c>
      <c r="X1524" s="4">
        <v>0.41</v>
      </c>
      <c r="Z1524" s="4" t="s">
        <v>1372</v>
      </c>
      <c r="AC1524" s="4" t="s">
        <v>1373</v>
      </c>
      <c r="AD1524" s="4" t="s">
        <v>965</v>
      </c>
      <c r="AE1524" s="4" t="s">
        <v>1374</v>
      </c>
      <c r="AF1524" s="63" t="s">
        <v>1375</v>
      </c>
      <c r="AL1524" s="4" t="s">
        <v>1381</v>
      </c>
      <c r="BD1524" s="4" t="s">
        <v>1382</v>
      </c>
      <c r="DO1524" s="4">
        <v>3</v>
      </c>
    </row>
    <row r="1525" customHeight="1" spans="1:313">
      <c r="A1525" s="3">
        <v>51</v>
      </c>
      <c r="B1525" s="4" t="s">
        <v>1366</v>
      </c>
      <c r="C1525" s="5" t="s">
        <v>1367</v>
      </c>
      <c r="D1525" s="4" t="s">
        <v>1368</v>
      </c>
      <c r="E1525" s="4" t="s">
        <v>1369</v>
      </c>
      <c r="R1525" s="4" t="s">
        <v>1370</v>
      </c>
      <c r="S1525" s="4" t="s">
        <v>1371</v>
      </c>
      <c r="T1525" s="4">
        <v>88.37</v>
      </c>
      <c r="X1525" s="4">
        <v>0.41</v>
      </c>
      <c r="Z1525" s="4" t="s">
        <v>1372</v>
      </c>
      <c r="AC1525" s="4" t="s">
        <v>1373</v>
      </c>
      <c r="AD1525" s="4" t="s">
        <v>965</v>
      </c>
      <c r="AE1525" s="4" t="s">
        <v>1374</v>
      </c>
      <c r="AF1525" s="63" t="s">
        <v>1375</v>
      </c>
      <c r="AL1525" s="4" t="s">
        <v>1381</v>
      </c>
      <c r="BD1525" s="4" t="s">
        <v>1382</v>
      </c>
      <c r="DO1525" s="4">
        <v>3</v>
      </c>
    </row>
    <row r="1526" customHeight="1" spans="1:313">
      <c r="A1526" s="3">
        <v>51</v>
      </c>
      <c r="B1526" s="4" t="s">
        <v>1366</v>
      </c>
      <c r="C1526" s="5" t="s">
        <v>1367</v>
      </c>
      <c r="D1526" s="4" t="s">
        <v>1368</v>
      </c>
      <c r="E1526" s="4" t="s">
        <v>1369</v>
      </c>
      <c r="R1526" s="4" t="s">
        <v>1370</v>
      </c>
      <c r="S1526" s="4" t="s">
        <v>1371</v>
      </c>
      <c r="T1526" s="4">
        <v>88.37</v>
      </c>
      <c r="X1526" s="4">
        <v>0.41</v>
      </c>
      <c r="Z1526" s="4" t="s">
        <v>1372</v>
      </c>
      <c r="AC1526" s="4" t="s">
        <v>1373</v>
      </c>
      <c r="AD1526" s="4" t="s">
        <v>965</v>
      </c>
      <c r="AE1526" s="4" t="s">
        <v>1374</v>
      </c>
      <c r="AF1526" s="63" t="s">
        <v>1375</v>
      </c>
      <c r="AL1526" s="4" t="s">
        <v>1381</v>
      </c>
      <c r="BD1526" s="4" t="s">
        <v>1382</v>
      </c>
      <c r="DO1526" s="4">
        <v>3</v>
      </c>
    </row>
    <row r="1527" customHeight="1" spans="1:313">
      <c r="A1527" s="3">
        <v>51</v>
      </c>
      <c r="B1527" s="4" t="s">
        <v>1366</v>
      </c>
      <c r="C1527" s="5" t="s">
        <v>1367</v>
      </c>
      <c r="D1527" s="4" t="s">
        <v>1368</v>
      </c>
      <c r="E1527" s="4" t="s">
        <v>1369</v>
      </c>
      <c r="R1527" s="4" t="s">
        <v>1370</v>
      </c>
      <c r="S1527" s="4" t="s">
        <v>1371</v>
      </c>
      <c r="T1527" s="4">
        <v>88.37</v>
      </c>
      <c r="X1527" s="4">
        <v>0.41</v>
      </c>
      <c r="Z1527" s="4" t="s">
        <v>1372</v>
      </c>
      <c r="AC1527" s="4" t="s">
        <v>1373</v>
      </c>
      <c r="AD1527" s="4" t="s">
        <v>965</v>
      </c>
      <c r="AE1527" s="4" t="s">
        <v>1374</v>
      </c>
      <c r="AF1527" s="63" t="s">
        <v>1375</v>
      </c>
      <c r="AL1527" s="4" t="s">
        <v>1381</v>
      </c>
      <c r="BD1527" s="4" t="s">
        <v>1382</v>
      </c>
      <c r="DO1527" s="4">
        <v>3</v>
      </c>
    </row>
    <row r="1528" customHeight="1" spans="1:313">
      <c r="A1528" s="3">
        <v>51</v>
      </c>
      <c r="B1528" s="4" t="s">
        <v>1366</v>
      </c>
      <c r="C1528" s="5" t="s">
        <v>1385</v>
      </c>
      <c r="D1528" s="4" t="s">
        <v>300</v>
      </c>
      <c r="E1528" s="4" t="s">
        <v>1386</v>
      </c>
      <c r="R1528" s="4" t="s">
        <v>1370</v>
      </c>
      <c r="S1528" s="4" t="s">
        <v>1371</v>
      </c>
      <c r="T1528" s="4">
        <v>53.02</v>
      </c>
      <c r="X1528" s="4">
        <v>0.29</v>
      </c>
      <c r="Z1528" s="4" t="s">
        <v>1387</v>
      </c>
      <c r="AC1528" s="4" t="s">
        <v>1388</v>
      </c>
      <c r="AD1528" s="4" t="s">
        <v>965</v>
      </c>
      <c r="AE1528" s="4" t="s">
        <v>1389</v>
      </c>
      <c r="AF1528" s="63" t="s">
        <v>1390</v>
      </c>
      <c r="BI1528" s="4" t="s">
        <v>309</v>
      </c>
      <c r="BN1528" s="4">
        <v>1</v>
      </c>
      <c r="BS1528" s="4">
        <v>6.7</v>
      </c>
      <c r="BV1528" s="4" t="s">
        <v>1376</v>
      </c>
      <c r="CB1528" s="4" t="s">
        <v>7</v>
      </c>
      <c r="CC1528" s="4">
        <v>300</v>
      </c>
      <c r="CX1528" s="4" t="s">
        <v>314</v>
      </c>
      <c r="CY1528" s="4" t="s">
        <v>1377</v>
      </c>
      <c r="CZ1528" s="4" t="s">
        <v>328</v>
      </c>
      <c r="DA1528" s="4" t="s">
        <v>1301</v>
      </c>
      <c r="DO1528" s="4">
        <v>3</v>
      </c>
      <c r="EA1528" s="4">
        <v>66.07</v>
      </c>
      <c r="EB1528" s="1">
        <v>1.88</v>
      </c>
      <c r="ED1528" s="4">
        <v>66.07</v>
      </c>
    </row>
    <row r="1529" customHeight="1" spans="1:313">
      <c r="A1529" s="3">
        <v>51</v>
      </c>
      <c r="B1529" s="4" t="s">
        <v>1366</v>
      </c>
      <c r="C1529" s="5" t="s">
        <v>1385</v>
      </c>
      <c r="D1529" s="4" t="s">
        <v>300</v>
      </c>
      <c r="E1529" s="4" t="s">
        <v>1386</v>
      </c>
      <c r="R1529" s="4" t="s">
        <v>1370</v>
      </c>
      <c r="S1529" s="4" t="s">
        <v>1371</v>
      </c>
      <c r="T1529" s="4">
        <v>53.02</v>
      </c>
      <c r="X1529" s="4">
        <v>0.29</v>
      </c>
      <c r="Z1529" s="4" t="s">
        <v>1387</v>
      </c>
      <c r="AC1529" s="4" t="s">
        <v>1388</v>
      </c>
      <c r="AD1529" s="4" t="s">
        <v>965</v>
      </c>
      <c r="AE1529" s="4" t="s">
        <v>1389</v>
      </c>
      <c r="AF1529" s="63" t="s">
        <v>1390</v>
      </c>
      <c r="BI1529" s="4" t="s">
        <v>309</v>
      </c>
      <c r="BN1529" s="4">
        <v>1</v>
      </c>
      <c r="BS1529" s="4">
        <v>6.23</v>
      </c>
      <c r="BV1529" s="4" t="s">
        <v>1376</v>
      </c>
      <c r="CB1529" s="4" t="s">
        <v>11</v>
      </c>
      <c r="CC1529" s="4">
        <v>300</v>
      </c>
      <c r="CX1529" s="4" t="s">
        <v>314</v>
      </c>
      <c r="CY1529" s="4" t="s">
        <v>1377</v>
      </c>
      <c r="CZ1529" s="4" t="s">
        <v>328</v>
      </c>
      <c r="DA1529" s="4" t="s">
        <v>1301</v>
      </c>
      <c r="DO1529" s="4">
        <v>3</v>
      </c>
      <c r="GI1529" s="4">
        <v>99.44</v>
      </c>
      <c r="GJ1529" s="1">
        <v>0.85</v>
      </c>
      <c r="GL1529" s="4">
        <v>99.44</v>
      </c>
    </row>
    <row r="1530" customHeight="1" spans="1:313">
      <c r="A1530" s="3">
        <v>51</v>
      </c>
      <c r="B1530" s="4" t="s">
        <v>1366</v>
      </c>
      <c r="C1530" s="5" t="s">
        <v>1385</v>
      </c>
      <c r="D1530" s="4" t="s">
        <v>300</v>
      </c>
      <c r="E1530" s="4" t="s">
        <v>1386</v>
      </c>
      <c r="R1530" s="4" t="s">
        <v>1370</v>
      </c>
      <c r="S1530" s="4" t="s">
        <v>1371</v>
      </c>
      <c r="T1530" s="4">
        <v>53.02</v>
      </c>
      <c r="X1530" s="4">
        <v>0.29</v>
      </c>
      <c r="Z1530" s="4" t="s">
        <v>1387</v>
      </c>
      <c r="AC1530" s="4" t="s">
        <v>1388</v>
      </c>
      <c r="AD1530" s="4" t="s">
        <v>965</v>
      </c>
      <c r="AE1530" s="4" t="s">
        <v>1389</v>
      </c>
      <c r="AF1530" s="63" t="s">
        <v>1390</v>
      </c>
      <c r="BI1530" s="4" t="s">
        <v>309</v>
      </c>
      <c r="BN1530" s="4">
        <v>1</v>
      </c>
      <c r="BS1530" s="4">
        <v>5.36</v>
      </c>
      <c r="BV1530" s="4" t="s">
        <v>1376</v>
      </c>
      <c r="CB1530" s="4" t="s">
        <v>10</v>
      </c>
      <c r="CC1530" s="4">
        <v>100</v>
      </c>
      <c r="CX1530" s="4" t="s">
        <v>314</v>
      </c>
      <c r="CY1530" s="4" t="s">
        <v>1377</v>
      </c>
      <c r="CZ1530" s="4" t="s">
        <v>328</v>
      </c>
      <c r="DA1530" s="4" t="s">
        <v>1301</v>
      </c>
      <c r="DO1530" s="4">
        <v>3</v>
      </c>
      <c r="FT1530" s="4">
        <v>33.84</v>
      </c>
      <c r="FU1530" s="1">
        <v>1.54</v>
      </c>
      <c r="FW1530" s="4">
        <v>33.84</v>
      </c>
    </row>
    <row r="1531" customHeight="1" spans="1:313">
      <c r="A1531" s="3">
        <v>51</v>
      </c>
      <c r="B1531" s="4" t="s">
        <v>1366</v>
      </c>
      <c r="C1531" s="5" t="s">
        <v>1385</v>
      </c>
      <c r="D1531" s="4" t="s">
        <v>300</v>
      </c>
      <c r="E1531" s="4" t="s">
        <v>1386</v>
      </c>
      <c r="R1531" s="4" t="s">
        <v>1370</v>
      </c>
      <c r="S1531" s="4" t="s">
        <v>1371</v>
      </c>
      <c r="T1531" s="4">
        <v>53.02</v>
      </c>
      <c r="X1531" s="4">
        <v>0.29</v>
      </c>
      <c r="Z1531" s="4" t="s">
        <v>1387</v>
      </c>
      <c r="AC1531" s="4" t="s">
        <v>1388</v>
      </c>
      <c r="AD1531" s="4" t="s">
        <v>965</v>
      </c>
      <c r="AE1531" s="4" t="s">
        <v>1389</v>
      </c>
      <c r="AF1531" s="63" t="s">
        <v>1390</v>
      </c>
      <c r="BI1531" s="4" t="s">
        <v>309</v>
      </c>
      <c r="BN1531" s="4">
        <v>1</v>
      </c>
      <c r="CB1531" s="4" t="s">
        <v>7</v>
      </c>
      <c r="CC1531" s="4" t="s">
        <v>950</v>
      </c>
      <c r="DB1531" s="4" t="s">
        <v>951</v>
      </c>
      <c r="DC1531" s="4" t="s">
        <v>462</v>
      </c>
      <c r="DE1531" s="4">
        <v>257.53</v>
      </c>
      <c r="DO1531" s="4">
        <v>3</v>
      </c>
      <c r="DW1531" s="29">
        <v>257.53</v>
      </c>
    </row>
    <row r="1532" customHeight="1" spans="1:313">
      <c r="A1532" s="3">
        <v>51</v>
      </c>
      <c r="B1532" s="4" t="s">
        <v>1366</v>
      </c>
      <c r="C1532" s="5" t="s">
        <v>1385</v>
      </c>
      <c r="D1532" s="4" t="s">
        <v>300</v>
      </c>
      <c r="E1532" s="4" t="s">
        <v>1386</v>
      </c>
      <c r="R1532" s="4" t="s">
        <v>1370</v>
      </c>
      <c r="S1532" s="4" t="s">
        <v>1371</v>
      </c>
      <c r="T1532" s="4">
        <v>53.02</v>
      </c>
      <c r="X1532" s="4">
        <v>0.29</v>
      </c>
      <c r="Z1532" s="4" t="s">
        <v>1387</v>
      </c>
      <c r="AC1532" s="4" t="s">
        <v>1388</v>
      </c>
      <c r="AD1532" s="4" t="s">
        <v>965</v>
      </c>
      <c r="AE1532" s="4" t="s">
        <v>1389</v>
      </c>
      <c r="AF1532" s="63" t="s">
        <v>1390</v>
      </c>
      <c r="BI1532" s="4" t="s">
        <v>309</v>
      </c>
      <c r="BN1532" s="4">
        <v>1</v>
      </c>
      <c r="CB1532" s="4" t="s">
        <v>11</v>
      </c>
      <c r="CC1532" s="4" t="s">
        <v>950</v>
      </c>
      <c r="DB1532" s="4" t="s">
        <v>951</v>
      </c>
      <c r="DC1532" s="4" t="s">
        <v>462</v>
      </c>
      <c r="DE1532" s="4">
        <v>649.35</v>
      </c>
      <c r="DO1532" s="4">
        <v>3</v>
      </c>
      <c r="GE1532" s="29">
        <v>649.35</v>
      </c>
    </row>
    <row r="1533" customHeight="1" spans="1:313">
      <c r="A1533" s="3">
        <v>51</v>
      </c>
      <c r="B1533" s="4" t="s">
        <v>1366</v>
      </c>
      <c r="C1533" s="5" t="s">
        <v>1385</v>
      </c>
      <c r="D1533" s="4" t="s">
        <v>300</v>
      </c>
      <c r="E1533" s="4" t="s">
        <v>1386</v>
      </c>
      <c r="R1533" s="4" t="s">
        <v>1370</v>
      </c>
      <c r="S1533" s="4" t="s">
        <v>1371</v>
      </c>
      <c r="T1533" s="4">
        <v>53.02</v>
      </c>
      <c r="X1533" s="4">
        <v>0.29</v>
      </c>
      <c r="Z1533" s="4" t="s">
        <v>1387</v>
      </c>
      <c r="AC1533" s="4" t="s">
        <v>1388</v>
      </c>
      <c r="AD1533" s="4" t="s">
        <v>965</v>
      </c>
      <c r="AE1533" s="4" t="s">
        <v>1389</v>
      </c>
      <c r="AF1533" s="63" t="s">
        <v>1390</v>
      </c>
      <c r="BI1533" s="4" t="s">
        <v>309</v>
      </c>
      <c r="BN1533" s="4">
        <v>1</v>
      </c>
      <c r="CB1533" s="4" t="s">
        <v>10</v>
      </c>
      <c r="CC1533" s="4" t="s">
        <v>950</v>
      </c>
      <c r="DB1533" s="4" t="s">
        <v>951</v>
      </c>
      <c r="DC1533" s="4" t="s">
        <v>462</v>
      </c>
      <c r="DE1533" s="4">
        <v>30.67</v>
      </c>
      <c r="DO1533" s="4">
        <v>3</v>
      </c>
      <c r="FP1533" s="29">
        <v>30.67</v>
      </c>
    </row>
    <row r="1534" customHeight="1" spans="1:313">
      <c r="A1534" s="39">
        <v>52</v>
      </c>
      <c r="B1534" s="4" t="s">
        <v>1366</v>
      </c>
      <c r="C1534" s="5" t="s">
        <v>1391</v>
      </c>
      <c r="D1534" s="4" t="s">
        <v>1392</v>
      </c>
      <c r="E1534" s="4" t="s">
        <v>1393</v>
      </c>
      <c r="N1534" s="4" t="s">
        <v>567</v>
      </c>
      <c r="O1534" s="4" t="s">
        <v>502</v>
      </c>
      <c r="P1534" s="4">
        <v>2</v>
      </c>
      <c r="R1534" s="4" t="s">
        <v>680</v>
      </c>
      <c r="T1534" s="4">
        <v>245</v>
      </c>
      <c r="U1534" s="4">
        <v>0.54</v>
      </c>
      <c r="V1534" s="4">
        <v>3.5</v>
      </c>
      <c r="Z1534" s="4" t="s">
        <v>1394</v>
      </c>
      <c r="AC1534" s="4" t="s">
        <v>1395</v>
      </c>
      <c r="AD1534" s="4" t="s">
        <v>1396</v>
      </c>
      <c r="AE1534" s="4" t="s">
        <v>1397</v>
      </c>
      <c r="AF1534" s="4" t="s">
        <v>1398</v>
      </c>
      <c r="BI1534" s="4" t="s">
        <v>309</v>
      </c>
      <c r="BK1534" s="4">
        <v>50</v>
      </c>
      <c r="BN1534" s="4">
        <v>0.4</v>
      </c>
      <c r="BV1534" s="4" t="s">
        <v>992</v>
      </c>
      <c r="BW1534" s="4" t="s">
        <v>1322</v>
      </c>
      <c r="CB1534" s="4" t="s">
        <v>11</v>
      </c>
      <c r="CC1534" s="4">
        <v>500</v>
      </c>
      <c r="CX1534" s="4" t="s">
        <v>314</v>
      </c>
      <c r="CY1534" s="4" t="s">
        <v>315</v>
      </c>
      <c r="DO1534" s="4">
        <v>3</v>
      </c>
      <c r="GE1534" s="4">
        <v>1389.81</v>
      </c>
      <c r="GF1534" s="1">
        <v>78.16</v>
      </c>
      <c r="GK1534" s="1">
        <f>GE1534*0.4/5</f>
        <v>111.1848</v>
      </c>
      <c r="GL1534" s="1">
        <v>111.1848</v>
      </c>
      <c r="KZ1534" s="1" t="s">
        <v>664</v>
      </c>
    </row>
    <row r="1535" customHeight="1" spans="1:313">
      <c r="A1535" s="39">
        <v>52</v>
      </c>
      <c r="B1535" s="4" t="s">
        <v>1366</v>
      </c>
      <c r="C1535" s="5" t="s">
        <v>1391</v>
      </c>
      <c r="D1535" s="4" t="s">
        <v>1392</v>
      </c>
      <c r="E1535" s="4" t="s">
        <v>1393</v>
      </c>
      <c r="N1535" s="4" t="s">
        <v>567</v>
      </c>
      <c r="O1535" s="4" t="s">
        <v>502</v>
      </c>
      <c r="P1535" s="4">
        <v>2</v>
      </c>
      <c r="R1535" s="4" t="s">
        <v>680</v>
      </c>
      <c r="T1535" s="4">
        <v>245</v>
      </c>
      <c r="U1535" s="4">
        <v>0.54</v>
      </c>
      <c r="V1535" s="4">
        <v>3.5</v>
      </c>
      <c r="Z1535" s="4" t="s">
        <v>1394</v>
      </c>
      <c r="AC1535" s="4" t="s">
        <v>1395</v>
      </c>
      <c r="AD1535" s="4" t="s">
        <v>1396</v>
      </c>
      <c r="AE1535" s="4" t="s">
        <v>1397</v>
      </c>
      <c r="AF1535" s="4" t="s">
        <v>1398</v>
      </c>
      <c r="BI1535" s="4" t="s">
        <v>309</v>
      </c>
      <c r="BK1535" s="4">
        <v>50</v>
      </c>
      <c r="BN1535" s="4">
        <v>0.4</v>
      </c>
      <c r="BV1535" s="4" t="s">
        <v>992</v>
      </c>
      <c r="BW1535" s="4" t="s">
        <v>1322</v>
      </c>
      <c r="CB1535" s="4" t="s">
        <v>7</v>
      </c>
      <c r="CC1535" s="4">
        <v>500</v>
      </c>
      <c r="CX1535" s="4" t="s">
        <v>314</v>
      </c>
      <c r="CY1535" s="4" t="s">
        <v>315</v>
      </c>
      <c r="DO1535" s="4">
        <v>3</v>
      </c>
      <c r="DW1535" s="4">
        <v>592.31</v>
      </c>
      <c r="DX1535" s="1">
        <v>46.15</v>
      </c>
      <c r="EC1535" s="1">
        <f>DW1535*0.4/500</f>
        <v>0.473848</v>
      </c>
      <c r="ED1535" s="1">
        <v>47.39</v>
      </c>
      <c r="KZ1535" s="1" t="s">
        <v>7</v>
      </c>
      <c r="LA1535" s="1" t="s">
        <v>1399</v>
      </c>
    </row>
    <row r="1536" customHeight="1" spans="1:313">
      <c r="A1536" s="39">
        <v>52</v>
      </c>
      <c r="B1536" s="4" t="s">
        <v>1366</v>
      </c>
      <c r="C1536" s="5" t="s">
        <v>1391</v>
      </c>
      <c r="D1536" s="4" t="s">
        <v>1392</v>
      </c>
      <c r="E1536" s="4" t="s">
        <v>1393</v>
      </c>
      <c r="N1536" s="4" t="s">
        <v>567</v>
      </c>
      <c r="O1536" s="4" t="s">
        <v>502</v>
      </c>
      <c r="P1536" s="4">
        <v>2</v>
      </c>
      <c r="R1536" s="4" t="s">
        <v>680</v>
      </c>
      <c r="T1536" s="4">
        <v>245</v>
      </c>
      <c r="U1536" s="4">
        <v>0.54</v>
      </c>
      <c r="V1536" s="4">
        <v>3.5</v>
      </c>
      <c r="Z1536" s="4" t="s">
        <v>1394</v>
      </c>
      <c r="AC1536" s="4" t="s">
        <v>1395</v>
      </c>
      <c r="AD1536" s="4" t="s">
        <v>1396</v>
      </c>
      <c r="AE1536" s="4" t="s">
        <v>1397</v>
      </c>
      <c r="AF1536" s="4" t="s">
        <v>1398</v>
      </c>
      <c r="BI1536" s="4" t="s">
        <v>309</v>
      </c>
      <c r="BK1536" s="4">
        <v>50</v>
      </c>
      <c r="BN1536" s="4">
        <v>0.4</v>
      </c>
      <c r="BV1536" s="4" t="s">
        <v>992</v>
      </c>
      <c r="BW1536" s="4" t="s">
        <v>1322</v>
      </c>
      <c r="CB1536" s="4" t="s">
        <v>12</v>
      </c>
      <c r="CC1536" s="4">
        <v>500</v>
      </c>
      <c r="CX1536" s="4" t="s">
        <v>314</v>
      </c>
      <c r="CY1536" s="4" t="s">
        <v>315</v>
      </c>
      <c r="DO1536" s="4">
        <v>3</v>
      </c>
      <c r="GT1536" s="4">
        <v>321.3</v>
      </c>
      <c r="GU1536" s="1">
        <v>15.89</v>
      </c>
      <c r="GZ1536" s="1">
        <f>GT1536/5</f>
        <v>64.26</v>
      </c>
      <c r="HA1536" s="1">
        <v>64.26</v>
      </c>
      <c r="KZ1536" s="1" t="s">
        <v>12</v>
      </c>
      <c r="LA1536" s="1" t="s">
        <v>1292</v>
      </c>
    </row>
    <row r="1537" customHeight="1" spans="1:209">
      <c r="A1537" s="39">
        <v>52</v>
      </c>
      <c r="B1537" s="4" t="s">
        <v>1366</v>
      </c>
      <c r="C1537" s="5" t="s">
        <v>1391</v>
      </c>
      <c r="D1537" s="4" t="s">
        <v>1392</v>
      </c>
      <c r="E1537" s="4" t="s">
        <v>1393</v>
      </c>
      <c r="N1537" s="4" t="s">
        <v>567</v>
      </c>
      <c r="O1537" s="4" t="s">
        <v>502</v>
      </c>
      <c r="P1537" s="4">
        <v>2</v>
      </c>
      <c r="R1537" s="4" t="s">
        <v>680</v>
      </c>
      <c r="T1537" s="4">
        <v>245</v>
      </c>
      <c r="U1537" s="4">
        <v>0.54</v>
      </c>
      <c r="V1537" s="4">
        <v>3.5</v>
      </c>
      <c r="Z1537" s="4" t="s">
        <v>1394</v>
      </c>
      <c r="AC1537" s="4" t="s">
        <v>1395</v>
      </c>
      <c r="AD1537" s="4" t="s">
        <v>1396</v>
      </c>
      <c r="AE1537" s="4" t="s">
        <v>1397</v>
      </c>
      <c r="AF1537" s="4" t="s">
        <v>1398</v>
      </c>
      <c r="BI1537" s="4" t="s">
        <v>309</v>
      </c>
      <c r="BK1537" s="4">
        <v>50</v>
      </c>
      <c r="BN1537" s="4">
        <v>0.4</v>
      </c>
      <c r="BW1537" s="4" t="s">
        <v>1322</v>
      </c>
      <c r="CB1537" s="4" t="s">
        <v>11</v>
      </c>
      <c r="CC1537" s="4" t="s">
        <v>582</v>
      </c>
      <c r="DB1537" s="4" t="s">
        <v>951</v>
      </c>
      <c r="DC1537" s="4" t="s">
        <v>1400</v>
      </c>
      <c r="DE1537" s="4">
        <v>1408.57</v>
      </c>
      <c r="DO1537" s="4">
        <v>3</v>
      </c>
      <c r="GE1537" s="29">
        <v>1408.57</v>
      </c>
    </row>
    <row r="1538" customHeight="1" spans="1:209">
      <c r="A1538" s="39">
        <v>52</v>
      </c>
      <c r="B1538" s="4" t="s">
        <v>1366</v>
      </c>
      <c r="C1538" s="5" t="s">
        <v>1391</v>
      </c>
      <c r="D1538" s="4" t="s">
        <v>1392</v>
      </c>
      <c r="E1538" s="4" t="s">
        <v>1393</v>
      </c>
      <c r="N1538" s="4" t="s">
        <v>567</v>
      </c>
      <c r="O1538" s="4" t="s">
        <v>502</v>
      </c>
      <c r="P1538" s="4">
        <v>2</v>
      </c>
      <c r="R1538" s="4" t="s">
        <v>680</v>
      </c>
      <c r="T1538" s="4">
        <v>245</v>
      </c>
      <c r="U1538" s="4">
        <v>0.54</v>
      </c>
      <c r="V1538" s="4">
        <v>3.5</v>
      </c>
      <c r="Z1538" s="4" t="s">
        <v>1394</v>
      </c>
      <c r="AC1538" s="4" t="s">
        <v>1395</v>
      </c>
      <c r="AD1538" s="4" t="s">
        <v>1396</v>
      </c>
      <c r="AE1538" s="4" t="s">
        <v>1397</v>
      </c>
      <c r="AF1538" s="4" t="s">
        <v>1398</v>
      </c>
      <c r="BI1538" s="4" t="s">
        <v>309</v>
      </c>
      <c r="BK1538" s="4">
        <v>50</v>
      </c>
      <c r="BN1538" s="4">
        <v>0.4</v>
      </c>
      <c r="BW1538" s="4" t="s">
        <v>1322</v>
      </c>
      <c r="CB1538" s="4" t="s">
        <v>7</v>
      </c>
      <c r="CC1538" s="4" t="s">
        <v>582</v>
      </c>
      <c r="DB1538" s="4" t="s">
        <v>951</v>
      </c>
      <c r="DC1538" s="4" t="s">
        <v>1400</v>
      </c>
      <c r="DE1538" s="4">
        <v>568.18</v>
      </c>
      <c r="DO1538" s="4">
        <v>3</v>
      </c>
      <c r="DW1538" s="29">
        <v>568.18</v>
      </c>
    </row>
    <row r="1539" customHeight="1" spans="1:209">
      <c r="A1539" s="39">
        <v>52</v>
      </c>
      <c r="B1539" s="4" t="s">
        <v>1366</v>
      </c>
      <c r="C1539" s="5" t="s">
        <v>1391</v>
      </c>
      <c r="D1539" s="4" t="s">
        <v>1392</v>
      </c>
      <c r="E1539" s="4" t="s">
        <v>1393</v>
      </c>
      <c r="N1539" s="4" t="s">
        <v>567</v>
      </c>
      <c r="O1539" s="4" t="s">
        <v>502</v>
      </c>
      <c r="P1539" s="4">
        <v>2</v>
      </c>
      <c r="R1539" s="4" t="s">
        <v>680</v>
      </c>
      <c r="T1539" s="4">
        <v>245</v>
      </c>
      <c r="U1539" s="4">
        <v>0.54</v>
      </c>
      <c r="V1539" s="4">
        <v>3.5</v>
      </c>
      <c r="Z1539" s="4" t="s">
        <v>1394</v>
      </c>
      <c r="AC1539" s="4" t="s">
        <v>1395</v>
      </c>
      <c r="AD1539" s="4" t="s">
        <v>1396</v>
      </c>
      <c r="AE1539" s="4" t="s">
        <v>1397</v>
      </c>
      <c r="AF1539" s="4" t="s">
        <v>1398</v>
      </c>
      <c r="BI1539" s="4" t="s">
        <v>309</v>
      </c>
      <c r="BK1539" s="4">
        <v>50</v>
      </c>
      <c r="BN1539" s="4">
        <v>0.4</v>
      </c>
      <c r="BW1539" s="4" t="s">
        <v>1322</v>
      </c>
      <c r="CB1539" s="4" t="s">
        <v>12</v>
      </c>
      <c r="CC1539" s="4" t="s">
        <v>582</v>
      </c>
      <c r="DB1539" s="4" t="s">
        <v>951</v>
      </c>
      <c r="DC1539" s="4" t="s">
        <v>1400</v>
      </c>
      <c r="DE1539" s="4">
        <v>366.3</v>
      </c>
      <c r="DO1539" s="4">
        <v>3</v>
      </c>
      <c r="GT1539" s="29">
        <v>366.3</v>
      </c>
    </row>
    <row r="1540" customHeight="1" spans="1:209">
      <c r="A1540" s="39">
        <v>52</v>
      </c>
      <c r="B1540" s="4" t="s">
        <v>1366</v>
      </c>
      <c r="C1540" s="5" t="s">
        <v>1391</v>
      </c>
      <c r="D1540" s="4" t="s">
        <v>1392</v>
      </c>
      <c r="E1540" s="4" t="s">
        <v>1393</v>
      </c>
      <c r="N1540" s="4" t="s">
        <v>567</v>
      </c>
      <c r="O1540" s="4" t="s">
        <v>502</v>
      </c>
      <c r="P1540" s="4">
        <v>2</v>
      </c>
      <c r="R1540" s="4" t="s">
        <v>680</v>
      </c>
      <c r="T1540" s="4">
        <v>245</v>
      </c>
      <c r="U1540" s="4">
        <v>0.54</v>
      </c>
      <c r="V1540" s="4">
        <v>3.5</v>
      </c>
      <c r="Z1540" s="4" t="s">
        <v>1394</v>
      </c>
      <c r="AC1540" s="4" t="s">
        <v>1395</v>
      </c>
      <c r="AD1540" s="4" t="s">
        <v>1396</v>
      </c>
      <c r="AE1540" s="4" t="s">
        <v>1397</v>
      </c>
      <c r="AF1540" s="4" t="s">
        <v>1398</v>
      </c>
      <c r="BI1540" s="4" t="s">
        <v>309</v>
      </c>
      <c r="BK1540" s="4">
        <v>50</v>
      </c>
      <c r="BM1540" s="4">
        <v>0.02</v>
      </c>
      <c r="BN1540" s="4">
        <v>0.4</v>
      </c>
      <c r="BS1540" s="4">
        <v>4</v>
      </c>
      <c r="BW1540" s="4">
        <v>25</v>
      </c>
      <c r="CB1540" s="4" t="s">
        <v>11</v>
      </c>
      <c r="CD1540" s="4">
        <v>500</v>
      </c>
      <c r="DO1540" s="4">
        <v>3</v>
      </c>
      <c r="GE1540" s="4">
        <v>1418.7</v>
      </c>
      <c r="GK1540" s="1">
        <f t="shared" ref="GK1540:GK1542" si="47">GE1540*0.4/5</f>
        <v>113.496</v>
      </c>
      <c r="GL1540" s="1">
        <v>113.496</v>
      </c>
    </row>
    <row r="1541" customHeight="1" spans="1:209">
      <c r="A1541" s="39">
        <v>52</v>
      </c>
      <c r="B1541" s="4" t="s">
        <v>1366</v>
      </c>
      <c r="C1541" s="5" t="s">
        <v>1391</v>
      </c>
      <c r="D1541" s="4" t="s">
        <v>1392</v>
      </c>
      <c r="E1541" s="4" t="s">
        <v>1393</v>
      </c>
      <c r="N1541" s="4" t="s">
        <v>567</v>
      </c>
      <c r="O1541" s="4" t="s">
        <v>502</v>
      </c>
      <c r="P1541" s="4">
        <v>2</v>
      </c>
      <c r="R1541" s="4" t="s">
        <v>680</v>
      </c>
      <c r="T1541" s="4">
        <v>245</v>
      </c>
      <c r="U1541" s="4">
        <v>0.54</v>
      </c>
      <c r="V1541" s="4">
        <v>3.5</v>
      </c>
      <c r="Z1541" s="4" t="s">
        <v>1394</v>
      </c>
      <c r="AC1541" s="4" t="s">
        <v>1395</v>
      </c>
      <c r="AD1541" s="4" t="s">
        <v>1396</v>
      </c>
      <c r="AE1541" s="4" t="s">
        <v>1397</v>
      </c>
      <c r="AF1541" s="4" t="s">
        <v>1398</v>
      </c>
      <c r="BI1541" s="4" t="s">
        <v>309</v>
      </c>
      <c r="BK1541" s="4">
        <v>50</v>
      </c>
      <c r="BM1541" s="4">
        <v>0.02</v>
      </c>
      <c r="BN1541" s="4">
        <v>0.4</v>
      </c>
      <c r="BS1541" s="4">
        <v>5</v>
      </c>
      <c r="CB1541" s="4" t="s">
        <v>11</v>
      </c>
      <c r="CD1541" s="4">
        <v>500</v>
      </c>
      <c r="DO1541" s="4">
        <v>3</v>
      </c>
      <c r="GE1541" s="4">
        <v>1436.8</v>
      </c>
      <c r="GK1541" s="1">
        <f t="shared" si="47"/>
        <v>114.944</v>
      </c>
      <c r="GL1541" s="1">
        <v>114.944</v>
      </c>
    </row>
    <row r="1542" customHeight="1" spans="1:209">
      <c r="A1542" s="39">
        <v>52</v>
      </c>
      <c r="B1542" s="4" t="s">
        <v>1366</v>
      </c>
      <c r="C1542" s="5" t="s">
        <v>1391</v>
      </c>
      <c r="D1542" s="4" t="s">
        <v>1392</v>
      </c>
      <c r="E1542" s="4" t="s">
        <v>1393</v>
      </c>
      <c r="N1542" s="4" t="s">
        <v>567</v>
      </c>
      <c r="O1542" s="4" t="s">
        <v>502</v>
      </c>
      <c r="P1542" s="4">
        <v>2</v>
      </c>
      <c r="R1542" s="4" t="s">
        <v>680</v>
      </c>
      <c r="T1542" s="4">
        <v>245</v>
      </c>
      <c r="U1542" s="4">
        <v>0.54</v>
      </c>
      <c r="V1542" s="4">
        <v>3.5</v>
      </c>
      <c r="Z1542" s="4" t="s">
        <v>1394</v>
      </c>
      <c r="AC1542" s="4" t="s">
        <v>1395</v>
      </c>
      <c r="AD1542" s="4" t="s">
        <v>1396</v>
      </c>
      <c r="AE1542" s="4" t="s">
        <v>1397</v>
      </c>
      <c r="AF1542" s="4" t="s">
        <v>1398</v>
      </c>
      <c r="BI1542" s="4" t="s">
        <v>309</v>
      </c>
      <c r="BK1542" s="4">
        <v>50</v>
      </c>
      <c r="BM1542" s="4">
        <v>0.02</v>
      </c>
      <c r="BN1542" s="4">
        <v>0.4</v>
      </c>
      <c r="BS1542" s="4">
        <v>6</v>
      </c>
      <c r="CB1542" s="4" t="s">
        <v>11</v>
      </c>
      <c r="CD1542" s="4">
        <v>500</v>
      </c>
      <c r="DO1542" s="4">
        <v>3</v>
      </c>
      <c r="GE1542" s="4">
        <v>1436.8</v>
      </c>
      <c r="GK1542" s="1">
        <f t="shared" si="47"/>
        <v>114.944</v>
      </c>
      <c r="GL1542" s="1">
        <v>114.944</v>
      </c>
    </row>
    <row r="1543" customHeight="1" spans="1:209">
      <c r="A1543" s="39">
        <v>52</v>
      </c>
      <c r="B1543" s="4" t="s">
        <v>1366</v>
      </c>
      <c r="C1543" s="5" t="s">
        <v>1391</v>
      </c>
      <c r="D1543" s="4" t="s">
        <v>1392</v>
      </c>
      <c r="E1543" s="4" t="s">
        <v>1393</v>
      </c>
      <c r="N1543" s="4" t="s">
        <v>567</v>
      </c>
      <c r="O1543" s="4" t="s">
        <v>502</v>
      </c>
      <c r="P1543" s="4">
        <v>2</v>
      </c>
      <c r="R1543" s="4" t="s">
        <v>680</v>
      </c>
      <c r="T1543" s="4">
        <v>245</v>
      </c>
      <c r="U1543" s="4">
        <v>0.54</v>
      </c>
      <c r="V1543" s="4">
        <v>3.5</v>
      </c>
      <c r="Z1543" s="4" t="s">
        <v>1394</v>
      </c>
      <c r="AC1543" s="4" t="s">
        <v>1395</v>
      </c>
      <c r="AD1543" s="4" t="s">
        <v>1396</v>
      </c>
      <c r="AE1543" s="4" t="s">
        <v>1397</v>
      </c>
      <c r="AF1543" s="4" t="s">
        <v>1398</v>
      </c>
      <c r="BI1543" s="4" t="s">
        <v>309</v>
      </c>
      <c r="BK1543" s="4">
        <v>50</v>
      </c>
      <c r="BM1543" s="4">
        <v>0.02</v>
      </c>
      <c r="BN1543" s="4">
        <v>0.4</v>
      </c>
      <c r="BS1543" s="4">
        <v>4</v>
      </c>
      <c r="CB1543" s="4" t="s">
        <v>7</v>
      </c>
      <c r="CD1543" s="4">
        <v>500</v>
      </c>
      <c r="DO1543" s="4">
        <v>3</v>
      </c>
      <c r="DW1543" s="4">
        <v>559.3</v>
      </c>
      <c r="EC1543" s="1">
        <f t="shared" ref="EC1543:EC1545" si="48">0.02*DW1543/25*100</f>
        <v>44.744</v>
      </c>
      <c r="ED1543" s="1">
        <v>44.744</v>
      </c>
    </row>
    <row r="1544" customHeight="1" spans="1:209">
      <c r="A1544" s="39">
        <v>52</v>
      </c>
      <c r="B1544" s="4" t="s">
        <v>1366</v>
      </c>
      <c r="C1544" s="5" t="s">
        <v>1391</v>
      </c>
      <c r="D1544" s="4" t="s">
        <v>1392</v>
      </c>
      <c r="E1544" s="4" t="s">
        <v>1393</v>
      </c>
      <c r="N1544" s="4" t="s">
        <v>567</v>
      </c>
      <c r="O1544" s="4" t="s">
        <v>502</v>
      </c>
      <c r="P1544" s="4">
        <v>2</v>
      </c>
      <c r="R1544" s="4" t="s">
        <v>680</v>
      </c>
      <c r="T1544" s="4">
        <v>245</v>
      </c>
      <c r="U1544" s="4">
        <v>0.54</v>
      </c>
      <c r="V1544" s="4">
        <v>3.5</v>
      </c>
      <c r="Z1544" s="4" t="s">
        <v>1394</v>
      </c>
      <c r="AC1544" s="4" t="s">
        <v>1395</v>
      </c>
      <c r="AD1544" s="4" t="s">
        <v>1396</v>
      </c>
      <c r="AE1544" s="4" t="s">
        <v>1397</v>
      </c>
      <c r="AF1544" s="4" t="s">
        <v>1398</v>
      </c>
      <c r="BI1544" s="4" t="s">
        <v>309</v>
      </c>
      <c r="BK1544" s="4">
        <v>50</v>
      </c>
      <c r="BM1544" s="4">
        <v>0.02</v>
      </c>
      <c r="BN1544" s="4">
        <v>0.4</v>
      </c>
      <c r="BS1544" s="4">
        <v>5</v>
      </c>
      <c r="CB1544" s="4" t="s">
        <v>7</v>
      </c>
      <c r="CD1544" s="4">
        <v>500</v>
      </c>
      <c r="DO1544" s="4">
        <v>3</v>
      </c>
      <c r="DW1544" s="4">
        <v>599</v>
      </c>
      <c r="EC1544" s="1">
        <f t="shared" si="48"/>
        <v>47.92</v>
      </c>
      <c r="ED1544" s="1">
        <v>47.92</v>
      </c>
    </row>
    <row r="1545" customHeight="1" spans="1:209">
      <c r="A1545" s="39">
        <v>52</v>
      </c>
      <c r="B1545" s="4" t="s">
        <v>1366</v>
      </c>
      <c r="C1545" s="5" t="s">
        <v>1391</v>
      </c>
      <c r="D1545" s="4" t="s">
        <v>1392</v>
      </c>
      <c r="E1545" s="4" t="s">
        <v>1393</v>
      </c>
      <c r="N1545" s="4" t="s">
        <v>567</v>
      </c>
      <c r="O1545" s="4" t="s">
        <v>502</v>
      </c>
      <c r="P1545" s="4">
        <v>2</v>
      </c>
      <c r="R1545" s="4" t="s">
        <v>680</v>
      </c>
      <c r="T1545" s="4">
        <v>245</v>
      </c>
      <c r="U1545" s="4">
        <v>0.54</v>
      </c>
      <c r="V1545" s="4">
        <v>3.5</v>
      </c>
      <c r="Z1545" s="4" t="s">
        <v>1394</v>
      </c>
      <c r="AC1545" s="4" t="s">
        <v>1395</v>
      </c>
      <c r="AD1545" s="4" t="s">
        <v>1396</v>
      </c>
      <c r="AE1545" s="4" t="s">
        <v>1397</v>
      </c>
      <c r="AF1545" s="4" t="s">
        <v>1398</v>
      </c>
      <c r="BI1545" s="4" t="s">
        <v>309</v>
      </c>
      <c r="BK1545" s="4">
        <v>50</v>
      </c>
      <c r="BM1545" s="4">
        <v>0.02</v>
      </c>
      <c r="BN1545" s="4">
        <v>0.4</v>
      </c>
      <c r="BS1545" s="4">
        <v>6</v>
      </c>
      <c r="CB1545" s="4" t="s">
        <v>7</v>
      </c>
      <c r="CD1545" s="4">
        <v>500</v>
      </c>
      <c r="DO1545" s="4">
        <v>3</v>
      </c>
      <c r="DW1545" s="4">
        <v>596</v>
      </c>
      <c r="EC1545" s="1">
        <f t="shared" si="48"/>
        <v>47.68</v>
      </c>
      <c r="ED1545" s="1">
        <v>47.68</v>
      </c>
    </row>
    <row r="1546" customHeight="1" spans="1:209">
      <c r="A1546" s="39">
        <v>52</v>
      </c>
      <c r="B1546" s="4" t="s">
        <v>1366</v>
      </c>
      <c r="C1546" s="5" t="s">
        <v>1391</v>
      </c>
      <c r="D1546" s="4" t="s">
        <v>1392</v>
      </c>
      <c r="E1546" s="4" t="s">
        <v>1393</v>
      </c>
      <c r="N1546" s="4" t="s">
        <v>567</v>
      </c>
      <c r="O1546" s="4" t="s">
        <v>502</v>
      </c>
      <c r="P1546" s="4">
        <v>2</v>
      </c>
      <c r="R1546" s="4" t="s">
        <v>680</v>
      </c>
      <c r="T1546" s="4">
        <v>245</v>
      </c>
      <c r="U1546" s="4">
        <v>0.54</v>
      </c>
      <c r="V1546" s="4">
        <v>3.5</v>
      </c>
      <c r="Z1546" s="4" t="s">
        <v>1394</v>
      </c>
      <c r="AC1546" s="4" t="s">
        <v>1395</v>
      </c>
      <c r="AD1546" s="4" t="s">
        <v>1396</v>
      </c>
      <c r="AE1546" s="4" t="s">
        <v>1397</v>
      </c>
      <c r="AF1546" s="4" t="s">
        <v>1398</v>
      </c>
      <c r="BI1546" s="4" t="s">
        <v>309</v>
      </c>
      <c r="BK1546" s="4">
        <v>50</v>
      </c>
      <c r="BM1546" s="4">
        <v>0.02</v>
      </c>
      <c r="BN1546" s="4">
        <v>0.4</v>
      </c>
      <c r="BS1546" s="4">
        <v>4</v>
      </c>
      <c r="CB1546" s="4" t="s">
        <v>12</v>
      </c>
      <c r="CD1546" s="4">
        <v>500</v>
      </c>
      <c r="DO1546" s="4">
        <v>3</v>
      </c>
      <c r="DW1546" s="4"/>
      <c r="GT1546" s="4">
        <v>308.9</v>
      </c>
      <c r="GZ1546" s="1">
        <f>GT1546/5*0.4</f>
        <v>24.712</v>
      </c>
      <c r="HA1546" s="1">
        <v>24.712</v>
      </c>
    </row>
    <row r="1547" customHeight="1" spans="1:209">
      <c r="A1547" s="39">
        <v>52</v>
      </c>
      <c r="B1547" s="4" t="s">
        <v>1366</v>
      </c>
      <c r="C1547" s="5" t="s">
        <v>1391</v>
      </c>
      <c r="D1547" s="4" t="s">
        <v>1392</v>
      </c>
      <c r="E1547" s="4" t="s">
        <v>1393</v>
      </c>
      <c r="N1547" s="4" t="s">
        <v>567</v>
      </c>
      <c r="O1547" s="4" t="s">
        <v>502</v>
      </c>
      <c r="P1547" s="4">
        <v>2</v>
      </c>
      <c r="R1547" s="4" t="s">
        <v>680</v>
      </c>
      <c r="T1547" s="4">
        <v>245</v>
      </c>
      <c r="U1547" s="4">
        <v>0.54</v>
      </c>
      <c r="V1547" s="4">
        <v>3.5</v>
      </c>
      <c r="Z1547" s="4" t="s">
        <v>1394</v>
      </c>
      <c r="AC1547" s="4" t="s">
        <v>1395</v>
      </c>
      <c r="AD1547" s="4" t="s">
        <v>1396</v>
      </c>
      <c r="AE1547" s="4" t="s">
        <v>1397</v>
      </c>
      <c r="AF1547" s="4" t="s">
        <v>1398</v>
      </c>
      <c r="BI1547" s="4" t="s">
        <v>309</v>
      </c>
      <c r="BK1547" s="4">
        <v>50</v>
      </c>
      <c r="BM1547" s="4">
        <v>0.02</v>
      </c>
      <c r="BN1547" s="4">
        <v>0.4</v>
      </c>
      <c r="BS1547" s="4">
        <v>5</v>
      </c>
      <c r="CB1547" s="4" t="s">
        <v>12</v>
      </c>
      <c r="CD1547" s="4">
        <v>500</v>
      </c>
      <c r="DO1547" s="4">
        <v>3</v>
      </c>
      <c r="DW1547" s="4"/>
      <c r="GT1547" s="4">
        <v>310.8</v>
      </c>
      <c r="GZ1547" s="1">
        <f>GT1547/5*0.4</f>
        <v>24.864</v>
      </c>
      <c r="HA1547" s="1">
        <v>24.864</v>
      </c>
    </row>
    <row r="1548" customHeight="1" spans="1:209">
      <c r="A1548" s="39">
        <v>52</v>
      </c>
      <c r="B1548" s="4" t="s">
        <v>1366</v>
      </c>
      <c r="C1548" s="5" t="s">
        <v>1391</v>
      </c>
      <c r="D1548" s="4" t="s">
        <v>1392</v>
      </c>
      <c r="E1548" s="4" t="s">
        <v>1393</v>
      </c>
      <c r="N1548" s="4" t="s">
        <v>567</v>
      </c>
      <c r="O1548" s="4" t="s">
        <v>502</v>
      </c>
      <c r="P1548" s="4">
        <v>2</v>
      </c>
      <c r="R1548" s="4" t="s">
        <v>680</v>
      </c>
      <c r="T1548" s="4">
        <v>245</v>
      </c>
      <c r="U1548" s="4">
        <v>0.54</v>
      </c>
      <c r="V1548" s="4">
        <v>3.5</v>
      </c>
      <c r="Z1548" s="4" t="s">
        <v>1394</v>
      </c>
      <c r="AC1548" s="4" t="s">
        <v>1395</v>
      </c>
      <c r="AD1548" s="4" t="s">
        <v>1396</v>
      </c>
      <c r="AE1548" s="4" t="s">
        <v>1397</v>
      </c>
      <c r="AF1548" s="4" t="s">
        <v>1398</v>
      </c>
      <c r="BI1548" s="4" t="s">
        <v>309</v>
      </c>
      <c r="BK1548" s="4">
        <v>50</v>
      </c>
      <c r="BM1548" s="4">
        <v>0.02</v>
      </c>
      <c r="BN1548" s="4">
        <v>0.4</v>
      </c>
      <c r="BS1548" s="4">
        <v>6</v>
      </c>
      <c r="CB1548" s="4" t="s">
        <v>12</v>
      </c>
      <c r="CD1548" s="4">
        <v>500</v>
      </c>
      <c r="DO1548" s="4">
        <v>3</v>
      </c>
      <c r="DW1548" s="4"/>
      <c r="GT1548" s="4">
        <v>312.8</v>
      </c>
      <c r="GZ1548" s="1">
        <f>GT1548/5*0.4</f>
        <v>25.024</v>
      </c>
      <c r="HA1548" s="1">
        <v>25.024</v>
      </c>
    </row>
    <row r="1549" customHeight="1" spans="1:209">
      <c r="A1549" s="39">
        <v>52</v>
      </c>
      <c r="B1549" s="4" t="s">
        <v>1366</v>
      </c>
      <c r="C1549" s="5" t="s">
        <v>1391</v>
      </c>
      <c r="D1549" s="4" t="s">
        <v>1392</v>
      </c>
      <c r="E1549" s="4" t="s">
        <v>1393</v>
      </c>
      <c r="N1549" s="4" t="s">
        <v>567</v>
      </c>
      <c r="O1549" s="4" t="s">
        <v>502</v>
      </c>
      <c r="P1549" s="4">
        <v>2</v>
      </c>
      <c r="R1549" s="4" t="s">
        <v>680</v>
      </c>
      <c r="T1549" s="4">
        <v>245</v>
      </c>
      <c r="U1549" s="4">
        <v>0.54</v>
      </c>
      <c r="V1549" s="4">
        <v>3.5</v>
      </c>
      <c r="Z1549" s="4" t="s">
        <v>1394</v>
      </c>
      <c r="AC1549" s="4" t="s">
        <v>1395</v>
      </c>
      <c r="AD1549" s="4" t="s">
        <v>1396</v>
      </c>
      <c r="AE1549" s="4" t="s">
        <v>1397</v>
      </c>
      <c r="AF1549" s="4" t="s">
        <v>1398</v>
      </c>
      <c r="BI1549" s="20" t="s">
        <v>407</v>
      </c>
      <c r="DO1549" s="4">
        <v>3</v>
      </c>
    </row>
    <row r="1550" customHeight="1" spans="1:209">
      <c r="A1550" s="39">
        <v>52</v>
      </c>
      <c r="B1550" s="4" t="s">
        <v>1366</v>
      </c>
      <c r="C1550" s="5" t="s">
        <v>1391</v>
      </c>
      <c r="D1550" s="4" t="s">
        <v>1392</v>
      </c>
      <c r="E1550" s="4" t="s">
        <v>1393</v>
      </c>
      <c r="N1550" s="4" t="s">
        <v>567</v>
      </c>
      <c r="O1550" s="4" t="s">
        <v>502</v>
      </c>
      <c r="P1550" s="4">
        <v>2</v>
      </c>
      <c r="R1550" s="4" t="s">
        <v>680</v>
      </c>
      <c r="T1550" s="4">
        <v>245</v>
      </c>
      <c r="U1550" s="4">
        <v>0.54</v>
      </c>
      <c r="V1550" s="4">
        <v>3.5</v>
      </c>
      <c r="Z1550" s="4" t="s">
        <v>1394</v>
      </c>
      <c r="AC1550" s="4" t="s">
        <v>1395</v>
      </c>
      <c r="AD1550" s="4" t="s">
        <v>1396</v>
      </c>
      <c r="AE1550" s="4" t="s">
        <v>1397</v>
      </c>
      <c r="AF1550" s="4" t="s">
        <v>1398</v>
      </c>
      <c r="BI1550" s="20" t="s">
        <v>321</v>
      </c>
      <c r="DO1550" s="4">
        <v>3</v>
      </c>
    </row>
    <row r="1551" customHeight="1" spans="1:209">
      <c r="A1551" s="39">
        <v>52</v>
      </c>
      <c r="B1551" s="4" t="s">
        <v>1366</v>
      </c>
      <c r="C1551" s="5" t="s">
        <v>1391</v>
      </c>
      <c r="D1551" s="4" t="s">
        <v>1392</v>
      </c>
      <c r="E1551" s="4" t="s">
        <v>1393</v>
      </c>
      <c r="N1551" s="4" t="s">
        <v>567</v>
      </c>
      <c r="O1551" s="4" t="s">
        <v>502</v>
      </c>
      <c r="P1551" s="4">
        <v>2</v>
      </c>
      <c r="R1551" s="4" t="s">
        <v>680</v>
      </c>
      <c r="T1551" s="4">
        <v>245</v>
      </c>
      <c r="U1551" s="4">
        <v>0.54</v>
      </c>
      <c r="V1551" s="4">
        <v>3.5</v>
      </c>
      <c r="Z1551" s="4" t="s">
        <v>1394</v>
      </c>
      <c r="AC1551" s="4" t="s">
        <v>1395</v>
      </c>
      <c r="AD1551" s="4" t="s">
        <v>1396</v>
      </c>
      <c r="AE1551" s="4" t="s">
        <v>1397</v>
      </c>
      <c r="AF1551" s="4" t="s">
        <v>1398</v>
      </c>
      <c r="BI1551" s="20" t="s">
        <v>321</v>
      </c>
      <c r="DO1551" s="4">
        <v>3</v>
      </c>
    </row>
    <row r="1552" customHeight="1" spans="1:209">
      <c r="A1552" s="39">
        <v>52</v>
      </c>
      <c r="B1552" s="4" t="s">
        <v>1366</v>
      </c>
      <c r="C1552" s="5" t="s">
        <v>1391</v>
      </c>
      <c r="D1552" s="4" t="s">
        <v>1392</v>
      </c>
      <c r="E1552" s="4" t="s">
        <v>1393</v>
      </c>
      <c r="N1552" s="4" t="s">
        <v>567</v>
      </c>
      <c r="O1552" s="4" t="s">
        <v>502</v>
      </c>
      <c r="P1552" s="4">
        <v>2</v>
      </c>
      <c r="R1552" s="4" t="s">
        <v>680</v>
      </c>
      <c r="T1552" s="4">
        <v>245</v>
      </c>
      <c r="U1552" s="4">
        <v>0.54</v>
      </c>
      <c r="V1552" s="4">
        <v>3.5</v>
      </c>
      <c r="Z1552" s="4" t="s">
        <v>1394</v>
      </c>
      <c r="AC1552" s="4" t="s">
        <v>1395</v>
      </c>
      <c r="AD1552" s="4" t="s">
        <v>1396</v>
      </c>
      <c r="AE1552" s="4" t="s">
        <v>1397</v>
      </c>
      <c r="AF1552" s="4" t="s">
        <v>1398</v>
      </c>
      <c r="BI1552" s="20" t="s">
        <v>1401</v>
      </c>
      <c r="DO1552" s="4">
        <v>3</v>
      </c>
    </row>
    <row r="1553" customHeight="1" spans="1:209">
      <c r="A1553" s="39">
        <v>52</v>
      </c>
      <c r="B1553" s="4" t="s">
        <v>1366</v>
      </c>
      <c r="C1553" s="5" t="s">
        <v>1391</v>
      </c>
      <c r="D1553" s="4" t="s">
        <v>1392</v>
      </c>
      <c r="E1553" s="4" t="s">
        <v>1393</v>
      </c>
      <c r="N1553" s="4" t="s">
        <v>567</v>
      </c>
      <c r="O1553" s="4" t="s">
        <v>502</v>
      </c>
      <c r="P1553" s="4">
        <v>2</v>
      </c>
      <c r="R1553" s="4" t="s">
        <v>680</v>
      </c>
      <c r="T1553" s="4">
        <v>245</v>
      </c>
      <c r="U1553" s="4">
        <v>0.54</v>
      </c>
      <c r="V1553" s="4">
        <v>3.5</v>
      </c>
      <c r="Z1553" s="4" t="s">
        <v>1394</v>
      </c>
      <c r="AC1553" s="4" t="s">
        <v>1395</v>
      </c>
      <c r="AD1553" s="4" t="s">
        <v>1396</v>
      </c>
      <c r="AE1553" s="4" t="s">
        <v>1397</v>
      </c>
      <c r="AF1553" s="4" t="s">
        <v>1398</v>
      </c>
      <c r="BI1553" s="20" t="s">
        <v>1402</v>
      </c>
      <c r="DO1553" s="4">
        <v>3</v>
      </c>
      <c r="DW1553" s="1">
        <v>128.57</v>
      </c>
      <c r="DX1553" s="1">
        <v>11.82</v>
      </c>
      <c r="GE1553" s="1">
        <v>114.1</v>
      </c>
      <c r="GF1553" s="1">
        <v>10.26</v>
      </c>
      <c r="GT1553" s="1">
        <v>236.41</v>
      </c>
      <c r="GU1553" s="1">
        <v>31.8</v>
      </c>
    </row>
    <row r="1554" customHeight="1" spans="1:209">
      <c r="A1554" s="39">
        <v>52</v>
      </c>
      <c r="B1554" s="4" t="s">
        <v>1366</v>
      </c>
      <c r="C1554" s="5" t="s">
        <v>1391</v>
      </c>
      <c r="D1554" s="4" t="s">
        <v>1392</v>
      </c>
      <c r="E1554" s="4" t="s">
        <v>1393</v>
      </c>
      <c r="N1554" s="4" t="s">
        <v>567</v>
      </c>
      <c r="O1554" s="4" t="s">
        <v>502</v>
      </c>
      <c r="P1554" s="4">
        <v>2</v>
      </c>
      <c r="R1554" s="4" t="s">
        <v>680</v>
      </c>
      <c r="T1554" s="4">
        <v>245</v>
      </c>
      <c r="U1554" s="4">
        <v>0.54</v>
      </c>
      <c r="V1554" s="4">
        <v>3.5</v>
      </c>
      <c r="Z1554" s="4" t="s">
        <v>1394</v>
      </c>
      <c r="AC1554" s="4" t="s">
        <v>1395</v>
      </c>
      <c r="AD1554" s="4" t="s">
        <v>1396</v>
      </c>
      <c r="AE1554" s="4" t="s">
        <v>1397</v>
      </c>
      <c r="AF1554" s="4" t="s">
        <v>1398</v>
      </c>
      <c r="BI1554" s="20" t="s">
        <v>1403</v>
      </c>
      <c r="DO1554" s="4">
        <v>3</v>
      </c>
    </row>
    <row r="1555" customHeight="1" spans="1:209">
      <c r="A1555" s="39">
        <v>52</v>
      </c>
      <c r="B1555" s="4" t="s">
        <v>1366</v>
      </c>
      <c r="C1555" s="5" t="s">
        <v>1391</v>
      </c>
      <c r="D1555" s="4" t="s">
        <v>1392</v>
      </c>
      <c r="E1555" s="4" t="s">
        <v>1393</v>
      </c>
      <c r="N1555" s="4" t="s">
        <v>567</v>
      </c>
      <c r="O1555" s="4" t="s">
        <v>502</v>
      </c>
      <c r="P1555" s="4">
        <v>2</v>
      </c>
      <c r="R1555" s="4" t="s">
        <v>680</v>
      </c>
      <c r="T1555" s="4">
        <v>245</v>
      </c>
      <c r="U1555" s="4">
        <v>0.54</v>
      </c>
      <c r="V1555" s="4">
        <v>3.5</v>
      </c>
      <c r="Z1555" s="4" t="s">
        <v>1394</v>
      </c>
      <c r="AC1555" s="4" t="s">
        <v>1395</v>
      </c>
      <c r="AD1555" s="4" t="s">
        <v>1396</v>
      </c>
      <c r="AE1555" s="4" t="s">
        <v>1397</v>
      </c>
      <c r="AF1555" s="4" t="s">
        <v>1398</v>
      </c>
      <c r="DO1555" s="4">
        <v>3</v>
      </c>
    </row>
    <row r="1556" customHeight="1" spans="1:209">
      <c r="A1556" s="39">
        <v>52</v>
      </c>
      <c r="B1556" s="4" t="s">
        <v>1366</v>
      </c>
      <c r="C1556" s="5" t="s">
        <v>836</v>
      </c>
      <c r="D1556" s="4" t="s">
        <v>1176</v>
      </c>
      <c r="E1556" s="4" t="s">
        <v>1404</v>
      </c>
      <c r="T1556" s="4">
        <v>84</v>
      </c>
      <c r="U1556" s="4">
        <v>0.44</v>
      </c>
      <c r="V1556" s="4">
        <v>3.7</v>
      </c>
      <c r="BI1556" s="20" t="s">
        <v>309</v>
      </c>
      <c r="BJ1556" s="1"/>
      <c r="BK1556" s="1">
        <v>50</v>
      </c>
      <c r="BL1556" s="1"/>
      <c r="BM1556" s="1"/>
      <c r="BN1556" s="1">
        <v>0.4</v>
      </c>
      <c r="BO1556" s="1"/>
      <c r="BP1556" s="1"/>
      <c r="BQ1556" s="1"/>
      <c r="BR1556" s="1"/>
      <c r="BS1556" s="1"/>
      <c r="BT1556" s="1"/>
      <c r="BU1556" s="1" t="s">
        <v>992</v>
      </c>
      <c r="BV1556" s="20" t="s">
        <v>1322</v>
      </c>
      <c r="BW1556" s="20"/>
      <c r="BX1556" s="20"/>
      <c r="BY1556" s="20"/>
      <c r="BZ1556" s="20"/>
      <c r="CA1556" s="20" t="s">
        <v>11</v>
      </c>
      <c r="CB1556" s="20">
        <v>500</v>
      </c>
      <c r="DO1556" s="4">
        <v>3</v>
      </c>
      <c r="GE1556" s="1">
        <v>380.58</v>
      </c>
      <c r="GF1556" s="1">
        <v>61.17</v>
      </c>
    </row>
    <row r="1557" customHeight="1" spans="1:209">
      <c r="A1557" s="39">
        <v>52</v>
      </c>
      <c r="B1557" s="4" t="s">
        <v>1366</v>
      </c>
      <c r="C1557" s="5" t="s">
        <v>836</v>
      </c>
      <c r="D1557" s="4" t="s">
        <v>1176</v>
      </c>
      <c r="BI1557" s="20" t="s">
        <v>309</v>
      </c>
      <c r="BJ1557" s="1"/>
      <c r="BK1557" s="1">
        <v>50</v>
      </c>
      <c r="BL1557" s="1"/>
      <c r="BM1557" s="1"/>
      <c r="BN1557" s="1">
        <v>0.4</v>
      </c>
      <c r="BO1557" s="1"/>
      <c r="BP1557" s="1"/>
      <c r="BQ1557" s="1"/>
      <c r="BR1557" s="1"/>
      <c r="BS1557" s="1"/>
      <c r="BT1557" s="1"/>
      <c r="BU1557" s="1" t="s">
        <v>992</v>
      </c>
      <c r="BV1557" s="20" t="s">
        <v>1322</v>
      </c>
      <c r="BW1557" s="20"/>
      <c r="BX1557" s="20"/>
      <c r="BY1557" s="20"/>
      <c r="BZ1557" s="20"/>
      <c r="CA1557" s="20" t="s">
        <v>7</v>
      </c>
      <c r="CB1557" s="20">
        <v>500</v>
      </c>
      <c r="DS1557" s="4"/>
      <c r="DW1557" s="1">
        <v>138.46</v>
      </c>
      <c r="DX1557" s="1">
        <v>20</v>
      </c>
      <c r="EA1557" s="4"/>
      <c r="ED1557" s="4"/>
      <c r="GA1557" s="4"/>
      <c r="GP1557" s="4"/>
      <c r="GX1557" s="4"/>
      <c r="HA1557" s="4"/>
    </row>
    <row r="1558" customHeight="1" spans="1:209">
      <c r="A1558" s="39">
        <v>52</v>
      </c>
      <c r="B1558" s="4" t="s">
        <v>1366</v>
      </c>
      <c r="C1558" s="5" t="s">
        <v>836</v>
      </c>
      <c r="D1558" s="4" t="s">
        <v>1176</v>
      </c>
      <c r="BI1558" s="20" t="s">
        <v>309</v>
      </c>
      <c r="BJ1558" s="1"/>
      <c r="BK1558" s="1">
        <v>50</v>
      </c>
      <c r="BL1558" s="1"/>
      <c r="BM1558" s="1"/>
      <c r="BN1558" s="1">
        <v>0.4</v>
      </c>
      <c r="BO1558" s="1"/>
      <c r="BP1558" s="1"/>
      <c r="BQ1558" s="1"/>
      <c r="BR1558" s="1"/>
      <c r="BS1558" s="1"/>
      <c r="BT1558" s="1"/>
      <c r="BU1558" s="1" t="s">
        <v>992</v>
      </c>
      <c r="BV1558" s="20" t="s">
        <v>1322</v>
      </c>
      <c r="BW1558" s="20"/>
      <c r="BX1558" s="20"/>
      <c r="BY1558" s="20"/>
      <c r="BZ1558" s="20"/>
      <c r="CA1558" s="20" t="s">
        <v>12</v>
      </c>
      <c r="CB1558" s="20">
        <v>500</v>
      </c>
      <c r="DS1558" s="4"/>
      <c r="EA1558" s="4"/>
      <c r="ED1558" s="4"/>
      <c r="GA1558" s="4"/>
      <c r="GP1558" s="4"/>
      <c r="GT1558" s="1">
        <v>93.78</v>
      </c>
      <c r="GU1558" s="1">
        <v>5.64</v>
      </c>
      <c r="GX1558" s="4"/>
      <c r="HA1558" s="4"/>
    </row>
    <row r="1559" customHeight="1" spans="1:209">
      <c r="A1559" s="3">
        <v>53</v>
      </c>
      <c r="B1559" s="4" t="s">
        <v>1405</v>
      </c>
      <c r="C1559" s="5" t="s">
        <v>1406</v>
      </c>
      <c r="D1559" s="4" t="s">
        <v>1407</v>
      </c>
      <c r="E1559" s="4" t="s">
        <v>1408</v>
      </c>
      <c r="N1559" s="4" t="s">
        <v>567</v>
      </c>
      <c r="O1559" s="4" t="s">
        <v>1409</v>
      </c>
      <c r="AB1559" s="4" t="s">
        <v>1410</v>
      </c>
      <c r="AC1559" s="4" t="s">
        <v>1411</v>
      </c>
      <c r="AD1559" s="4" t="s">
        <v>1412</v>
      </c>
      <c r="AH1559" s="4" t="s">
        <v>1413</v>
      </c>
      <c r="AI1559" s="4" t="s">
        <v>1414</v>
      </c>
      <c r="AQ1559" s="4" t="s">
        <v>11</v>
      </c>
      <c r="AR1559" s="4">
        <v>921.67</v>
      </c>
      <c r="AS1559" s="4" t="s">
        <v>7</v>
      </c>
      <c r="AT1559" s="4">
        <v>11.37</v>
      </c>
      <c r="AU1559" s="4" t="s">
        <v>12</v>
      </c>
      <c r="AV1559" s="4">
        <v>205.5</v>
      </c>
      <c r="BI1559" s="4" t="s">
        <v>321</v>
      </c>
      <c r="BL1559" s="4">
        <v>50</v>
      </c>
      <c r="BM1559" s="4">
        <v>0</v>
      </c>
      <c r="BO1559" s="4">
        <v>0</v>
      </c>
      <c r="BV1559" s="4" t="s">
        <v>1415</v>
      </c>
      <c r="BX1559" s="4">
        <v>60</v>
      </c>
      <c r="CB1559" s="4" t="s">
        <v>11</v>
      </c>
      <c r="CD1559" s="4">
        <v>921.67</v>
      </c>
      <c r="CE1559" s="4" t="s">
        <v>7</v>
      </c>
      <c r="CG1559" s="4">
        <v>11.37</v>
      </c>
      <c r="CH1559" s="4" t="s">
        <v>12</v>
      </c>
      <c r="CJ1559" s="4">
        <v>205.5</v>
      </c>
      <c r="CW1559" s="4">
        <v>5.69</v>
      </c>
      <c r="DO1559" s="4">
        <v>3</v>
      </c>
      <c r="DS1559" s="4">
        <v>4.04</v>
      </c>
      <c r="DT1559" s="1">
        <v>0.21</v>
      </c>
      <c r="EA1559" s="4"/>
      <c r="ED1559" s="4">
        <v>0</v>
      </c>
      <c r="GA1559" s="4">
        <v>367.57</v>
      </c>
      <c r="GB1559" s="1">
        <v>1.57</v>
      </c>
      <c r="GK1559" s="1">
        <f t="shared" ref="GK1559:GK1564" si="49">(CD1559-GA1559)/CD1559*100</f>
        <v>60.1191315763777</v>
      </c>
      <c r="GL1559" s="1">
        <v>60.1191315763777</v>
      </c>
      <c r="GP1559" s="4">
        <v>99.82</v>
      </c>
      <c r="GQ1559" s="1">
        <v>7.55</v>
      </c>
      <c r="GX1559" s="4"/>
      <c r="GZ1559" s="1">
        <f t="shared" ref="GZ1559:GZ1564" si="50">(CJ1559-GP1559)/CJ1559*100</f>
        <v>51.4257907542579</v>
      </c>
      <c r="HA1559" s="4">
        <v>51.4257907542579</v>
      </c>
    </row>
    <row r="1560" customHeight="1" spans="1:209">
      <c r="A1560" s="3">
        <v>53</v>
      </c>
      <c r="B1560" s="4" t="s">
        <v>1405</v>
      </c>
      <c r="C1560" s="5" t="s">
        <v>1406</v>
      </c>
      <c r="D1560" s="4" t="s">
        <v>1407</v>
      </c>
      <c r="E1560" s="4" t="s">
        <v>1408</v>
      </c>
      <c r="N1560" s="4" t="s">
        <v>567</v>
      </c>
      <c r="O1560" s="4" t="s">
        <v>1409</v>
      </c>
      <c r="AB1560" s="4" t="s">
        <v>1410</v>
      </c>
      <c r="AC1560" s="4" t="s">
        <v>1411</v>
      </c>
      <c r="AD1560" s="4" t="s">
        <v>1412</v>
      </c>
      <c r="AH1560" s="4" t="s">
        <v>1413</v>
      </c>
      <c r="AI1560" s="4" t="s">
        <v>1414</v>
      </c>
      <c r="AQ1560" s="4" t="s">
        <v>11</v>
      </c>
      <c r="AR1560" s="4">
        <v>921.67</v>
      </c>
      <c r="AS1560" s="4" t="s">
        <v>7</v>
      </c>
      <c r="AT1560" s="4">
        <v>11.37</v>
      </c>
      <c r="AU1560" s="4" t="s">
        <v>12</v>
      </c>
      <c r="AV1560" s="4">
        <v>205.5</v>
      </c>
      <c r="BI1560" s="4" t="s">
        <v>321</v>
      </c>
      <c r="BL1560" s="4">
        <v>50</v>
      </c>
      <c r="BM1560" s="4">
        <v>0.25</v>
      </c>
      <c r="BO1560" s="4">
        <v>0.005</v>
      </c>
      <c r="BV1560" s="4" t="s">
        <v>1415</v>
      </c>
      <c r="BX1560" s="4">
        <v>60</v>
      </c>
      <c r="CB1560" s="4" t="s">
        <v>11</v>
      </c>
      <c r="CD1560" s="4">
        <v>921.67</v>
      </c>
      <c r="CE1560" s="4" t="s">
        <v>7</v>
      </c>
      <c r="CG1560" s="4">
        <v>11.37</v>
      </c>
      <c r="CH1560" s="4" t="s">
        <v>12</v>
      </c>
      <c r="CJ1560" s="4">
        <v>205.5</v>
      </c>
      <c r="CW1560" s="4">
        <v>6.45</v>
      </c>
      <c r="DO1560" s="4">
        <v>3</v>
      </c>
      <c r="DS1560" s="4">
        <v>2.66</v>
      </c>
      <c r="DT1560" s="1">
        <v>0.08</v>
      </c>
      <c r="EA1560" s="4">
        <v>34.28</v>
      </c>
      <c r="ED1560" s="4">
        <v>34.28</v>
      </c>
      <c r="GA1560" s="4">
        <v>314.52</v>
      </c>
      <c r="GB1560" s="1">
        <v>6.27</v>
      </c>
      <c r="GK1560" s="1">
        <f t="shared" si="49"/>
        <v>65.8749877938959</v>
      </c>
      <c r="GL1560" s="1">
        <v>65.8749877938959</v>
      </c>
      <c r="GP1560" s="4">
        <v>61.92</v>
      </c>
      <c r="GQ1560" s="1">
        <v>1.78</v>
      </c>
      <c r="GX1560" s="4">
        <v>37.9382679053042</v>
      </c>
      <c r="GZ1560" s="1">
        <f t="shared" si="50"/>
        <v>69.8686131386861</v>
      </c>
      <c r="HA1560" s="4">
        <v>69.8686131386861</v>
      </c>
    </row>
    <row r="1561" customHeight="1" spans="1:209">
      <c r="A1561" s="3">
        <v>53</v>
      </c>
      <c r="B1561" s="4" t="s">
        <v>1405</v>
      </c>
      <c r="C1561" s="5" t="s">
        <v>1406</v>
      </c>
      <c r="D1561" s="4" t="s">
        <v>1407</v>
      </c>
      <c r="E1561" s="4" t="s">
        <v>1408</v>
      </c>
      <c r="N1561" s="4" t="s">
        <v>567</v>
      </c>
      <c r="O1561" s="4" t="s">
        <v>1409</v>
      </c>
      <c r="AB1561" s="4" t="s">
        <v>1410</v>
      </c>
      <c r="AC1561" s="4" t="s">
        <v>1411</v>
      </c>
      <c r="AD1561" s="4" t="s">
        <v>1412</v>
      </c>
      <c r="AH1561" s="4" t="s">
        <v>1413</v>
      </c>
      <c r="AI1561" s="4" t="s">
        <v>1414</v>
      </c>
      <c r="AQ1561" s="4" t="s">
        <v>11</v>
      </c>
      <c r="AR1561" s="4">
        <v>921.67</v>
      </c>
      <c r="AS1561" s="4" t="s">
        <v>7</v>
      </c>
      <c r="AT1561" s="4">
        <v>11.37</v>
      </c>
      <c r="AU1561" s="4" t="s">
        <v>12</v>
      </c>
      <c r="AV1561" s="4">
        <v>205.5</v>
      </c>
      <c r="BI1561" s="4" t="s">
        <v>321</v>
      </c>
      <c r="BL1561" s="4">
        <v>50</v>
      </c>
      <c r="BM1561" s="4">
        <v>0.5</v>
      </c>
      <c r="BO1561" s="4">
        <v>0.01</v>
      </c>
      <c r="BV1561" s="4" t="s">
        <v>1415</v>
      </c>
      <c r="BX1561" s="4">
        <v>60</v>
      </c>
      <c r="CB1561" s="4" t="s">
        <v>11</v>
      </c>
      <c r="CD1561" s="4">
        <v>921.67</v>
      </c>
      <c r="CE1561" s="4" t="s">
        <v>7</v>
      </c>
      <c r="CG1561" s="4">
        <v>11.37</v>
      </c>
      <c r="CH1561" s="4" t="s">
        <v>12</v>
      </c>
      <c r="CJ1561" s="4">
        <v>205.5</v>
      </c>
      <c r="CW1561" s="4">
        <v>6.81</v>
      </c>
      <c r="DO1561" s="4">
        <v>3</v>
      </c>
      <c r="DS1561" s="4">
        <v>2.38</v>
      </c>
      <c r="DT1561" s="1">
        <v>0.03</v>
      </c>
      <c r="EA1561" s="4">
        <v>41.0891089108911</v>
      </c>
      <c r="ED1561" s="4">
        <v>41.0891089108911</v>
      </c>
      <c r="GA1561" s="4">
        <v>307.1</v>
      </c>
      <c r="GB1561" s="1">
        <v>4.71</v>
      </c>
      <c r="GK1561" s="1">
        <f t="shared" si="49"/>
        <v>66.6800481734243</v>
      </c>
      <c r="GL1561" s="1">
        <v>66.6800481734243</v>
      </c>
      <c r="GP1561" s="4">
        <v>51.9</v>
      </c>
      <c r="GQ1561" s="1">
        <v>3.57</v>
      </c>
      <c r="GX1561" s="4">
        <v>48.0771151733094</v>
      </c>
      <c r="GZ1561" s="1">
        <f t="shared" si="50"/>
        <v>74.7445255474452</v>
      </c>
      <c r="HA1561" s="4">
        <v>74.7445255474452</v>
      </c>
    </row>
    <row r="1562" customHeight="1" spans="1:209">
      <c r="A1562" s="3">
        <v>53</v>
      </c>
      <c r="B1562" s="4" t="s">
        <v>1405</v>
      </c>
      <c r="C1562" s="5" t="s">
        <v>1406</v>
      </c>
      <c r="D1562" s="4" t="s">
        <v>1407</v>
      </c>
      <c r="E1562" s="4" t="s">
        <v>1408</v>
      </c>
      <c r="N1562" s="4" t="s">
        <v>567</v>
      </c>
      <c r="O1562" s="4" t="s">
        <v>1409</v>
      </c>
      <c r="AB1562" s="4" t="s">
        <v>1410</v>
      </c>
      <c r="AC1562" s="4" t="s">
        <v>1411</v>
      </c>
      <c r="AD1562" s="4" t="s">
        <v>1412</v>
      </c>
      <c r="AH1562" s="4" t="s">
        <v>1413</v>
      </c>
      <c r="AI1562" s="4" t="s">
        <v>1414</v>
      </c>
      <c r="AQ1562" s="4" t="s">
        <v>11</v>
      </c>
      <c r="AR1562" s="4">
        <v>921.67</v>
      </c>
      <c r="AS1562" s="4" t="s">
        <v>7</v>
      </c>
      <c r="AT1562" s="4">
        <v>11.37</v>
      </c>
      <c r="AU1562" s="4" t="s">
        <v>12</v>
      </c>
      <c r="AV1562" s="4">
        <v>205.5</v>
      </c>
      <c r="BI1562" s="4" t="s">
        <v>321</v>
      </c>
      <c r="BL1562" s="4">
        <v>50</v>
      </c>
      <c r="BM1562" s="4">
        <v>0.75</v>
      </c>
      <c r="BO1562" s="4">
        <v>0.015</v>
      </c>
      <c r="BV1562" s="4" t="s">
        <v>1415</v>
      </c>
      <c r="BX1562" s="4">
        <v>60</v>
      </c>
      <c r="CB1562" s="4" t="s">
        <v>11</v>
      </c>
      <c r="CD1562" s="4">
        <v>921.67</v>
      </c>
      <c r="CE1562" s="4" t="s">
        <v>7</v>
      </c>
      <c r="CG1562" s="4">
        <v>11.37</v>
      </c>
      <c r="CH1562" s="4" t="s">
        <v>12</v>
      </c>
      <c r="CJ1562" s="4">
        <v>205.5</v>
      </c>
      <c r="CW1562" s="4">
        <v>7.33</v>
      </c>
      <c r="DO1562" s="4">
        <v>3</v>
      </c>
      <c r="DS1562" s="4">
        <v>2.02</v>
      </c>
      <c r="DT1562" s="1">
        <v>0.02</v>
      </c>
      <c r="EA1562" s="4">
        <v>50</v>
      </c>
      <c r="ED1562" s="4">
        <v>50</v>
      </c>
      <c r="GA1562" s="4">
        <v>290.5</v>
      </c>
      <c r="GB1562" s="1">
        <v>2.35</v>
      </c>
      <c r="GK1562" s="1">
        <f t="shared" si="49"/>
        <v>68.4811266505365</v>
      </c>
      <c r="GL1562" s="1">
        <v>68.4811266505365</v>
      </c>
      <c r="GP1562" s="4">
        <v>43.66</v>
      </c>
      <c r="GQ1562" s="1">
        <v>0.41</v>
      </c>
      <c r="GX1562" s="4">
        <v>56.2980721206673</v>
      </c>
      <c r="GZ1562" s="1">
        <f t="shared" si="50"/>
        <v>78.7542579075426</v>
      </c>
      <c r="HA1562" s="4">
        <v>78.7542579075426</v>
      </c>
    </row>
    <row r="1563" customHeight="1" spans="1:209">
      <c r="A1563" s="3">
        <v>53</v>
      </c>
      <c r="B1563" s="4" t="s">
        <v>1405</v>
      </c>
      <c r="C1563" s="5" t="s">
        <v>1406</v>
      </c>
      <c r="D1563" s="4" t="s">
        <v>1407</v>
      </c>
      <c r="E1563" s="4" t="s">
        <v>1408</v>
      </c>
      <c r="N1563" s="4" t="s">
        <v>567</v>
      </c>
      <c r="O1563" s="4" t="s">
        <v>1409</v>
      </c>
      <c r="AB1563" s="4" t="s">
        <v>1410</v>
      </c>
      <c r="AC1563" s="4" t="s">
        <v>1411</v>
      </c>
      <c r="AD1563" s="4" t="s">
        <v>1412</v>
      </c>
      <c r="AH1563" s="4" t="s">
        <v>1413</v>
      </c>
      <c r="AI1563" s="4" t="s">
        <v>1414</v>
      </c>
      <c r="AQ1563" s="4" t="s">
        <v>11</v>
      </c>
      <c r="AR1563" s="4">
        <v>921.67</v>
      </c>
      <c r="AS1563" s="4" t="s">
        <v>7</v>
      </c>
      <c r="AT1563" s="4">
        <v>11.37</v>
      </c>
      <c r="AU1563" s="4" t="s">
        <v>12</v>
      </c>
      <c r="AV1563" s="4">
        <v>205.5</v>
      </c>
      <c r="BI1563" s="4" t="s">
        <v>321</v>
      </c>
      <c r="BL1563" s="4">
        <v>50</v>
      </c>
      <c r="BM1563" s="4">
        <v>1</v>
      </c>
      <c r="BO1563" s="4">
        <v>0.02</v>
      </c>
      <c r="BV1563" s="4" t="s">
        <v>1415</v>
      </c>
      <c r="BX1563" s="4">
        <v>60</v>
      </c>
      <c r="CB1563" s="4" t="s">
        <v>11</v>
      </c>
      <c r="CD1563" s="4">
        <v>921.67</v>
      </c>
      <c r="CE1563" s="4" t="s">
        <v>7</v>
      </c>
      <c r="CG1563" s="4">
        <v>11.37</v>
      </c>
      <c r="CH1563" s="4" t="s">
        <v>12</v>
      </c>
      <c r="CJ1563" s="4">
        <v>205.5</v>
      </c>
      <c r="CW1563" s="4">
        <v>7.7</v>
      </c>
      <c r="DO1563" s="4">
        <v>3</v>
      </c>
      <c r="DS1563" s="4">
        <v>1.75</v>
      </c>
      <c r="DT1563" s="1">
        <v>0.02</v>
      </c>
      <c r="EA1563" s="4">
        <v>56.6831683168317</v>
      </c>
      <c r="ED1563" s="4">
        <v>56.6831683168317</v>
      </c>
      <c r="GA1563" s="4">
        <v>276</v>
      </c>
      <c r="GB1563" s="1">
        <v>0.78</v>
      </c>
      <c r="GK1563" s="1">
        <f t="shared" si="49"/>
        <v>70.0543578504237</v>
      </c>
      <c r="GL1563" s="1">
        <v>70.0543578504237</v>
      </c>
      <c r="GP1563" s="4">
        <v>38.17</v>
      </c>
      <c r="GQ1563" s="1">
        <v>0.27</v>
      </c>
      <c r="GX1563" s="4">
        <v>61.3724902607132</v>
      </c>
      <c r="GZ1563" s="1">
        <f t="shared" si="50"/>
        <v>81.4257907542579</v>
      </c>
      <c r="HA1563" s="4">
        <v>81.4257907542579</v>
      </c>
    </row>
    <row r="1564" customHeight="1" spans="1:209">
      <c r="A1564" s="3">
        <v>53</v>
      </c>
      <c r="B1564" s="4" t="s">
        <v>1405</v>
      </c>
      <c r="C1564" s="5" t="s">
        <v>1406</v>
      </c>
      <c r="D1564" s="4" t="s">
        <v>1407</v>
      </c>
      <c r="E1564" s="4" t="s">
        <v>1408</v>
      </c>
      <c r="N1564" s="4" t="s">
        <v>567</v>
      </c>
      <c r="O1564" s="4" t="s">
        <v>1409</v>
      </c>
      <c r="AB1564" s="4" t="s">
        <v>1410</v>
      </c>
      <c r="AC1564" s="4" t="s">
        <v>1411</v>
      </c>
      <c r="AD1564" s="4" t="s">
        <v>1412</v>
      </c>
      <c r="AH1564" s="4" t="s">
        <v>1413</v>
      </c>
      <c r="AI1564" s="4" t="s">
        <v>1414</v>
      </c>
      <c r="AQ1564" s="4" t="s">
        <v>11</v>
      </c>
      <c r="AR1564" s="4">
        <v>921.67</v>
      </c>
      <c r="AS1564" s="4" t="s">
        <v>7</v>
      </c>
      <c r="AT1564" s="4">
        <v>11.37</v>
      </c>
      <c r="AU1564" s="4" t="s">
        <v>12</v>
      </c>
      <c r="AV1564" s="4">
        <v>205.5</v>
      </c>
      <c r="BI1564" s="4" t="s">
        <v>321</v>
      </c>
      <c r="BL1564" s="4">
        <v>50</v>
      </c>
      <c r="BM1564" s="4">
        <v>1.25</v>
      </c>
      <c r="BO1564" s="4">
        <v>0.025</v>
      </c>
      <c r="BV1564" s="4" t="s">
        <v>1415</v>
      </c>
      <c r="BX1564" s="4">
        <v>60</v>
      </c>
      <c r="CB1564" s="4" t="s">
        <v>11</v>
      </c>
      <c r="CD1564" s="4">
        <v>921.67</v>
      </c>
      <c r="CE1564" s="4" t="s">
        <v>7</v>
      </c>
      <c r="CG1564" s="4">
        <v>11.37</v>
      </c>
      <c r="CH1564" s="4" t="s">
        <v>12</v>
      </c>
      <c r="CJ1564" s="4">
        <v>205.5</v>
      </c>
      <c r="CW1564" s="4">
        <v>7.95</v>
      </c>
      <c r="DO1564" s="4">
        <v>3</v>
      </c>
      <c r="DS1564" s="4">
        <v>1.45</v>
      </c>
      <c r="DT1564" s="1">
        <v>0.03</v>
      </c>
      <c r="EA1564" s="4">
        <v>64.1</v>
      </c>
      <c r="ED1564" s="4">
        <v>64.1</v>
      </c>
      <c r="GA1564" s="4">
        <v>258.9</v>
      </c>
      <c r="GB1564" s="1">
        <v>1.57</v>
      </c>
      <c r="GK1564" s="1">
        <f t="shared" si="49"/>
        <v>71.9096856792561</v>
      </c>
      <c r="GL1564" s="1">
        <v>71.9096856792561</v>
      </c>
      <c r="GP1564" s="4">
        <v>33.78</v>
      </c>
      <c r="GQ1564" s="1">
        <v>0</v>
      </c>
      <c r="GX1564" s="4">
        <v>65.8875237239037</v>
      </c>
      <c r="GZ1564" s="1">
        <f t="shared" si="50"/>
        <v>83.5620437956204</v>
      </c>
      <c r="HA1564" s="4">
        <v>83.5620437956204</v>
      </c>
    </row>
    <row r="1565" customHeight="1" spans="1:209">
      <c r="A1565" s="43">
        <v>54</v>
      </c>
      <c r="B1565" s="4" t="s">
        <v>1416</v>
      </c>
      <c r="C1565" s="40" t="s">
        <v>1417</v>
      </c>
      <c r="D1565" s="4" t="s">
        <v>300</v>
      </c>
      <c r="E1565" s="4" t="s">
        <v>1418</v>
      </c>
      <c r="T1565" s="4">
        <v>46.9</v>
      </c>
      <c r="U1565" s="4">
        <v>0.259</v>
      </c>
      <c r="V1565" s="4">
        <v>22.1</v>
      </c>
      <c r="X1565" s="4">
        <v>0.767</v>
      </c>
      <c r="AB1565" s="4" t="s">
        <v>1419</v>
      </c>
      <c r="AC1565" s="4" t="s">
        <v>1420</v>
      </c>
      <c r="AD1565" s="4" t="s">
        <v>1421</v>
      </c>
      <c r="BI1565" s="4" t="s">
        <v>309</v>
      </c>
      <c r="BN1565" s="4">
        <v>0.5</v>
      </c>
      <c r="BS1565" s="4">
        <v>5</v>
      </c>
      <c r="BU1565" s="4">
        <v>150</v>
      </c>
      <c r="BV1565" s="4" t="s">
        <v>1422</v>
      </c>
      <c r="BW1565" s="4">
        <v>25</v>
      </c>
      <c r="CB1565" s="4" t="s">
        <v>7</v>
      </c>
      <c r="CC1565" s="4">
        <v>50</v>
      </c>
      <c r="CX1565" s="4" t="s">
        <v>314</v>
      </c>
      <c r="DO1565" s="4">
        <v>3</v>
      </c>
      <c r="DW1565" s="4"/>
      <c r="EA1565" s="4">
        <v>98.99</v>
      </c>
      <c r="EB1565" s="1">
        <v>0.13</v>
      </c>
      <c r="ED1565" s="4">
        <v>98.99</v>
      </c>
    </row>
    <row r="1566" customHeight="1" spans="1:209">
      <c r="A1566" s="43">
        <v>54</v>
      </c>
      <c r="B1566" s="4" t="s">
        <v>1416</v>
      </c>
      <c r="C1566" s="40" t="s">
        <v>1417</v>
      </c>
      <c r="D1566" s="4" t="s">
        <v>300</v>
      </c>
      <c r="E1566" s="4" t="s">
        <v>1418</v>
      </c>
      <c r="T1566" s="4">
        <v>46.9</v>
      </c>
      <c r="U1566" s="4">
        <v>0.259</v>
      </c>
      <c r="V1566" s="4">
        <v>22.1</v>
      </c>
      <c r="X1566" s="4">
        <v>0.767</v>
      </c>
      <c r="AB1566" s="4" t="s">
        <v>1419</v>
      </c>
      <c r="AC1566" s="4" t="s">
        <v>1420</v>
      </c>
      <c r="AD1566" s="4" t="s">
        <v>1421</v>
      </c>
      <c r="BI1566" s="4" t="s">
        <v>309</v>
      </c>
      <c r="BN1566" s="4">
        <v>0.5</v>
      </c>
      <c r="BS1566" s="4">
        <v>5</v>
      </c>
      <c r="BU1566" s="4">
        <v>150</v>
      </c>
      <c r="BV1566" s="4">
        <v>2880</v>
      </c>
      <c r="BW1566" s="4">
        <v>25</v>
      </c>
      <c r="CB1566" s="4" t="s">
        <v>7</v>
      </c>
      <c r="CC1566" s="4" t="s">
        <v>1423</v>
      </c>
      <c r="DE1566" s="4">
        <v>256.4</v>
      </c>
      <c r="DO1566" s="4">
        <v>3</v>
      </c>
      <c r="DW1566" s="29">
        <v>256.4</v>
      </c>
      <c r="EA1566" s="4"/>
      <c r="ED1566" s="4"/>
    </row>
    <row r="1567" customHeight="1" spans="1:209">
      <c r="A1567" s="43">
        <v>54</v>
      </c>
      <c r="B1567" s="4" t="s">
        <v>1416</v>
      </c>
      <c r="C1567" s="40" t="s">
        <v>1424</v>
      </c>
      <c r="D1567" s="4" t="s">
        <v>300</v>
      </c>
      <c r="E1567" s="4" t="s">
        <v>1418</v>
      </c>
      <c r="T1567" s="4">
        <v>82.8</v>
      </c>
      <c r="U1567" s="4">
        <v>0.476</v>
      </c>
      <c r="V1567" s="4">
        <v>23</v>
      </c>
      <c r="X1567" s="4">
        <v>0.784</v>
      </c>
      <c r="AB1567" s="4" t="s">
        <v>1419</v>
      </c>
      <c r="AC1567" s="4" t="s">
        <v>1420</v>
      </c>
      <c r="AD1567" s="4" t="s">
        <v>1421</v>
      </c>
      <c r="BI1567" s="4" t="s">
        <v>309</v>
      </c>
      <c r="BN1567" s="4">
        <v>0.5</v>
      </c>
      <c r="BS1567" s="4">
        <v>5</v>
      </c>
      <c r="BU1567" s="4">
        <v>150</v>
      </c>
      <c r="BV1567" s="4" t="s">
        <v>1422</v>
      </c>
      <c r="BW1567" s="4">
        <v>25</v>
      </c>
      <c r="CB1567" s="4" t="s">
        <v>7</v>
      </c>
      <c r="CC1567" s="4">
        <v>50</v>
      </c>
      <c r="CX1567" s="4" t="s">
        <v>314</v>
      </c>
      <c r="DO1567" s="4">
        <v>3</v>
      </c>
      <c r="DW1567" s="4"/>
      <c r="EA1567" s="4">
        <v>59.62</v>
      </c>
      <c r="EB1567" s="1">
        <v>0.51</v>
      </c>
      <c r="ED1567" s="4">
        <v>59.62</v>
      </c>
    </row>
    <row r="1568" customHeight="1" spans="1:209">
      <c r="A1568" s="43">
        <v>54</v>
      </c>
      <c r="B1568" s="4" t="s">
        <v>1416</v>
      </c>
      <c r="C1568" s="40" t="s">
        <v>1424</v>
      </c>
      <c r="D1568" s="4" t="s">
        <v>300</v>
      </c>
      <c r="E1568" s="4" t="s">
        <v>1418</v>
      </c>
      <c r="T1568" s="4">
        <v>82.8</v>
      </c>
      <c r="U1568" s="4">
        <v>0.476</v>
      </c>
      <c r="V1568" s="4">
        <v>23</v>
      </c>
      <c r="X1568" s="4">
        <v>0.784</v>
      </c>
      <c r="AB1568" s="4" t="s">
        <v>1419</v>
      </c>
      <c r="AC1568" s="4" t="s">
        <v>1420</v>
      </c>
      <c r="AD1568" s="4" t="s">
        <v>1421</v>
      </c>
      <c r="BI1568" s="4" t="s">
        <v>309</v>
      </c>
      <c r="BN1568" s="4">
        <v>0.5</v>
      </c>
      <c r="BS1568" s="4">
        <v>5</v>
      </c>
      <c r="BU1568" s="4">
        <v>150</v>
      </c>
      <c r="BV1568" s="4">
        <v>2880</v>
      </c>
      <c r="BW1568" s="4">
        <v>25</v>
      </c>
      <c r="CB1568" s="4" t="s">
        <v>7</v>
      </c>
      <c r="CC1568" s="4" t="s">
        <v>1423</v>
      </c>
      <c r="DE1568" s="4">
        <v>103</v>
      </c>
      <c r="DO1568" s="4">
        <v>3</v>
      </c>
      <c r="DW1568" s="29">
        <v>103</v>
      </c>
      <c r="EA1568" s="4"/>
      <c r="ED1568" s="4"/>
    </row>
    <row r="1569" customHeight="1" spans="1:134">
      <c r="A1569" s="43">
        <v>54</v>
      </c>
      <c r="B1569" s="4" t="s">
        <v>1416</v>
      </c>
      <c r="C1569" s="40" t="s">
        <v>1425</v>
      </c>
      <c r="D1569" s="4" t="s">
        <v>300</v>
      </c>
      <c r="E1569" s="4" t="s">
        <v>1418</v>
      </c>
      <c r="T1569" s="4">
        <v>61.9</v>
      </c>
      <c r="U1569" s="4">
        <v>0.472</v>
      </c>
      <c r="V1569" s="4">
        <v>30.5</v>
      </c>
      <c r="X1569" s="4">
        <v>0.767</v>
      </c>
      <c r="AB1569" s="4" t="s">
        <v>1419</v>
      </c>
      <c r="AC1569" s="4" t="s">
        <v>1420</v>
      </c>
      <c r="AD1569" s="4" t="s">
        <v>1421</v>
      </c>
      <c r="BI1569" s="4" t="s">
        <v>309</v>
      </c>
      <c r="BN1569" s="4">
        <v>0.5</v>
      </c>
      <c r="BS1569" s="4">
        <v>5</v>
      </c>
      <c r="BU1569" s="4">
        <v>150</v>
      </c>
      <c r="BV1569" s="4">
        <v>2880</v>
      </c>
      <c r="BW1569" s="4">
        <v>25</v>
      </c>
      <c r="CB1569" s="4" t="s">
        <v>7</v>
      </c>
      <c r="CC1569" s="4">
        <v>50</v>
      </c>
      <c r="CX1569" s="4" t="s">
        <v>314</v>
      </c>
      <c r="DO1569" s="4">
        <v>3</v>
      </c>
      <c r="DW1569" s="4"/>
      <c r="EA1569" s="4">
        <v>34.43</v>
      </c>
      <c r="EB1569" s="1">
        <v>0.63</v>
      </c>
      <c r="ED1569" s="4">
        <v>34.43</v>
      </c>
    </row>
    <row r="1570" customHeight="1" spans="1:134">
      <c r="A1570" s="43">
        <v>54</v>
      </c>
      <c r="B1570" s="4" t="s">
        <v>1416</v>
      </c>
      <c r="C1570" s="40" t="s">
        <v>1425</v>
      </c>
      <c r="D1570" s="4" t="s">
        <v>300</v>
      </c>
      <c r="E1570" s="4" t="s">
        <v>1418</v>
      </c>
      <c r="T1570" s="4">
        <v>61.9</v>
      </c>
      <c r="U1570" s="4">
        <v>0.472</v>
      </c>
      <c r="V1570" s="4">
        <v>30.5</v>
      </c>
      <c r="X1570" s="4">
        <v>0.767</v>
      </c>
      <c r="AB1570" s="4" t="s">
        <v>1419</v>
      </c>
      <c r="AC1570" s="4" t="s">
        <v>1420</v>
      </c>
      <c r="AD1570" s="4" t="s">
        <v>1421</v>
      </c>
      <c r="BI1570" s="4" t="s">
        <v>309</v>
      </c>
      <c r="BN1570" s="4">
        <v>0.5</v>
      </c>
      <c r="BS1570" s="4">
        <v>5</v>
      </c>
      <c r="BU1570" s="4">
        <v>150</v>
      </c>
      <c r="BV1570" s="4">
        <v>2880</v>
      </c>
      <c r="BW1570" s="4">
        <v>25</v>
      </c>
      <c r="CB1570" s="4" t="s">
        <v>7</v>
      </c>
      <c r="CC1570" s="4" t="s">
        <v>1423</v>
      </c>
      <c r="DE1570" s="4">
        <v>46.95</v>
      </c>
      <c r="DO1570" s="4">
        <v>3</v>
      </c>
      <c r="DW1570" s="29">
        <v>46.95</v>
      </c>
      <c r="EA1570" s="4"/>
      <c r="ED1570" s="4"/>
    </row>
    <row r="1571" customHeight="1" spans="1:134">
      <c r="A1571" s="43">
        <v>54</v>
      </c>
      <c r="B1571" s="4" t="s">
        <v>1416</v>
      </c>
      <c r="C1571" s="40" t="s">
        <v>1426</v>
      </c>
      <c r="D1571" s="4" t="s">
        <v>300</v>
      </c>
      <c r="E1571" s="4" t="s">
        <v>1427</v>
      </c>
      <c r="T1571" s="4">
        <v>36.8</v>
      </c>
      <c r="U1571" s="4">
        <v>0.212</v>
      </c>
      <c r="V1571" s="4">
        <v>23.1</v>
      </c>
      <c r="X1571" s="4">
        <v>0.783</v>
      </c>
      <c r="AB1571" s="4" t="s">
        <v>1419</v>
      </c>
      <c r="AC1571" s="4" t="s">
        <v>1420</v>
      </c>
      <c r="AD1571" s="4" t="s">
        <v>1421</v>
      </c>
      <c r="BI1571" s="4" t="s">
        <v>309</v>
      </c>
      <c r="BN1571" s="4">
        <v>0.5</v>
      </c>
      <c r="BS1571" s="4">
        <v>5</v>
      </c>
      <c r="BU1571" s="4">
        <v>150</v>
      </c>
      <c r="BV1571" s="4">
        <v>2880</v>
      </c>
      <c r="BW1571" s="4">
        <v>25</v>
      </c>
      <c r="CB1571" s="4" t="s">
        <v>7</v>
      </c>
      <c r="CC1571" s="4">
        <v>50</v>
      </c>
      <c r="DO1571" s="4">
        <v>3</v>
      </c>
      <c r="DW1571" s="4"/>
      <c r="EA1571" s="4">
        <v>21.27</v>
      </c>
      <c r="EB1571" s="1">
        <v>0.63</v>
      </c>
      <c r="ED1571" s="4">
        <v>21.27</v>
      </c>
    </row>
    <row r="1572" customHeight="1" spans="1:134">
      <c r="A1572" s="43">
        <v>54</v>
      </c>
      <c r="B1572" s="4" t="s">
        <v>1416</v>
      </c>
      <c r="C1572" s="40" t="s">
        <v>1426</v>
      </c>
      <c r="D1572" s="4" t="s">
        <v>300</v>
      </c>
      <c r="E1572" s="4" t="s">
        <v>1427</v>
      </c>
      <c r="T1572" s="4">
        <v>36.8</v>
      </c>
      <c r="U1572" s="4">
        <v>0.212</v>
      </c>
      <c r="V1572" s="4">
        <v>23.1</v>
      </c>
      <c r="X1572" s="4">
        <v>0.783</v>
      </c>
      <c r="AB1572" s="4" t="s">
        <v>1419</v>
      </c>
      <c r="AC1572" s="4" t="s">
        <v>1420</v>
      </c>
      <c r="AD1572" s="4" t="s">
        <v>1421</v>
      </c>
      <c r="BI1572" s="4" t="s">
        <v>309</v>
      </c>
      <c r="BN1572" s="4">
        <v>0.5</v>
      </c>
      <c r="BS1572" s="4">
        <v>5</v>
      </c>
      <c r="BU1572" s="4">
        <v>150</v>
      </c>
      <c r="BV1572" s="4">
        <v>2880</v>
      </c>
      <c r="BW1572" s="4">
        <v>25</v>
      </c>
      <c r="CB1572" s="4" t="s">
        <v>7</v>
      </c>
      <c r="CC1572" s="4" t="s">
        <v>1423</v>
      </c>
      <c r="DE1572" s="4">
        <v>26.6</v>
      </c>
      <c r="DO1572" s="4">
        <v>3</v>
      </c>
      <c r="DW1572" s="29">
        <v>26.6</v>
      </c>
      <c r="EA1572" s="4"/>
      <c r="ED1572" s="4"/>
    </row>
    <row r="1573" customHeight="1" spans="1:134">
      <c r="A1573" s="43">
        <v>54</v>
      </c>
      <c r="B1573" s="4" t="s">
        <v>1416</v>
      </c>
      <c r="C1573" s="44" t="s">
        <v>1428</v>
      </c>
      <c r="D1573" s="4" t="s">
        <v>300</v>
      </c>
      <c r="E1573" s="4" t="s">
        <v>1427</v>
      </c>
      <c r="T1573" s="4">
        <v>25.8</v>
      </c>
      <c r="U1573" s="4">
        <v>0.174</v>
      </c>
      <c r="V1573" s="4">
        <v>27.1</v>
      </c>
      <c r="X1573" s="4">
        <v>0.8</v>
      </c>
      <c r="AB1573" s="4" t="s">
        <v>1419</v>
      </c>
      <c r="AC1573" s="4" t="s">
        <v>1420</v>
      </c>
      <c r="AD1573" s="4" t="s">
        <v>1421</v>
      </c>
      <c r="BI1573" s="4" t="s">
        <v>309</v>
      </c>
      <c r="BN1573" s="4">
        <v>0.5</v>
      </c>
      <c r="BS1573" s="4">
        <v>5</v>
      </c>
      <c r="BU1573" s="4">
        <v>150</v>
      </c>
      <c r="BV1573" s="4">
        <v>2880</v>
      </c>
      <c r="BW1573" s="4">
        <v>25</v>
      </c>
      <c r="CB1573" s="4" t="s">
        <v>7</v>
      </c>
      <c r="CC1573" s="4">
        <v>50</v>
      </c>
      <c r="DO1573" s="4">
        <v>3</v>
      </c>
      <c r="DW1573" s="4"/>
      <c r="EA1573" s="4">
        <v>18.61</v>
      </c>
      <c r="EB1573" s="1">
        <v>1.14</v>
      </c>
      <c r="ED1573" s="4">
        <v>18.61</v>
      </c>
    </row>
    <row r="1574" customHeight="1" spans="1:134">
      <c r="A1574" s="43">
        <v>54</v>
      </c>
      <c r="B1574" s="4" t="s">
        <v>1416</v>
      </c>
      <c r="C1574" s="44" t="s">
        <v>1428</v>
      </c>
      <c r="D1574" s="4" t="s">
        <v>300</v>
      </c>
      <c r="E1574" s="4" t="s">
        <v>1427</v>
      </c>
      <c r="T1574" s="4">
        <v>25.8</v>
      </c>
      <c r="U1574" s="4">
        <v>0.174</v>
      </c>
      <c r="V1574" s="4">
        <v>27.1</v>
      </c>
      <c r="X1574" s="4">
        <v>0.8</v>
      </c>
      <c r="AB1574" s="4" t="s">
        <v>1419</v>
      </c>
      <c r="AC1574" s="4" t="s">
        <v>1420</v>
      </c>
      <c r="AD1574" s="4" t="s">
        <v>1421</v>
      </c>
      <c r="BI1574" s="4" t="s">
        <v>309</v>
      </c>
      <c r="BN1574" s="4">
        <v>0.5</v>
      </c>
      <c r="BS1574" s="4">
        <v>5</v>
      </c>
      <c r="BU1574" s="4">
        <v>150</v>
      </c>
      <c r="BV1574" s="4">
        <v>2880</v>
      </c>
      <c r="BW1574" s="4">
        <v>25</v>
      </c>
      <c r="CB1574" s="4" t="s">
        <v>7</v>
      </c>
      <c r="CC1574" s="4" t="s">
        <v>1429</v>
      </c>
      <c r="DE1574" s="4">
        <v>27</v>
      </c>
      <c r="DO1574" s="4">
        <v>3</v>
      </c>
      <c r="DW1574" s="29">
        <v>27</v>
      </c>
      <c r="EA1574" s="4"/>
      <c r="ED1574" s="4"/>
    </row>
    <row r="1575" customHeight="1" spans="1:134">
      <c r="A1575" s="43">
        <v>54</v>
      </c>
      <c r="B1575" s="4" t="s">
        <v>1416</v>
      </c>
      <c r="C1575" s="40" t="s">
        <v>1430</v>
      </c>
      <c r="D1575" s="4" t="s">
        <v>300</v>
      </c>
      <c r="E1575" s="4" t="s">
        <v>1427</v>
      </c>
      <c r="T1575" s="4">
        <v>76</v>
      </c>
      <c r="U1575" s="4">
        <v>0.116</v>
      </c>
      <c r="V1575" s="4">
        <v>6.08</v>
      </c>
      <c r="X1575" s="4">
        <v>0.814</v>
      </c>
      <c r="AB1575" s="4" t="s">
        <v>1419</v>
      </c>
      <c r="AC1575" s="4" t="s">
        <v>1420</v>
      </c>
      <c r="AD1575" s="4" t="s">
        <v>1421</v>
      </c>
      <c r="BI1575" s="4" t="s">
        <v>309</v>
      </c>
      <c r="BN1575" s="4">
        <v>0.5</v>
      </c>
      <c r="BS1575" s="4">
        <v>5</v>
      </c>
      <c r="BU1575" s="4">
        <v>150</v>
      </c>
      <c r="BV1575" s="4">
        <v>2880</v>
      </c>
      <c r="BW1575" s="4">
        <v>25</v>
      </c>
      <c r="CB1575" s="4" t="s">
        <v>7</v>
      </c>
      <c r="CC1575" s="4">
        <v>50</v>
      </c>
      <c r="DO1575" s="4">
        <v>3</v>
      </c>
      <c r="DW1575" s="4"/>
      <c r="EA1575" s="4">
        <v>21.77</v>
      </c>
      <c r="EB1575" s="1">
        <v>0.38</v>
      </c>
      <c r="ED1575" s="4">
        <v>21.77</v>
      </c>
    </row>
    <row r="1576" customHeight="1" spans="1:134">
      <c r="A1576" s="43">
        <v>54</v>
      </c>
      <c r="B1576" s="4" t="s">
        <v>1416</v>
      </c>
      <c r="C1576" s="40" t="s">
        <v>1430</v>
      </c>
      <c r="D1576" s="4" t="s">
        <v>300</v>
      </c>
      <c r="E1576" s="4" t="s">
        <v>1427</v>
      </c>
      <c r="T1576" s="4">
        <v>76</v>
      </c>
      <c r="U1576" s="4">
        <v>0.116</v>
      </c>
      <c r="V1576" s="4">
        <v>6.08</v>
      </c>
      <c r="X1576" s="4">
        <v>0.814</v>
      </c>
      <c r="AB1576" s="4" t="s">
        <v>1419</v>
      </c>
      <c r="AC1576" s="4" t="s">
        <v>1420</v>
      </c>
      <c r="AD1576" s="4" t="s">
        <v>1421</v>
      </c>
      <c r="BI1576" s="4" t="s">
        <v>309</v>
      </c>
      <c r="BN1576" s="4">
        <v>0.5</v>
      </c>
      <c r="BS1576" s="4">
        <v>5</v>
      </c>
      <c r="BU1576" s="4">
        <v>150</v>
      </c>
      <c r="BV1576" s="4">
        <v>2880</v>
      </c>
      <c r="BW1576" s="4">
        <v>25</v>
      </c>
      <c r="CB1576" s="4" t="s">
        <v>7</v>
      </c>
      <c r="CC1576" s="4" t="s">
        <v>1423</v>
      </c>
      <c r="DE1576" s="4">
        <v>37.17</v>
      </c>
      <c r="DO1576" s="4">
        <v>3</v>
      </c>
      <c r="DW1576" s="29">
        <v>37.17</v>
      </c>
      <c r="EA1576" s="4"/>
      <c r="ED1576" s="4"/>
    </row>
    <row r="1577" customHeight="1" spans="1:134">
      <c r="A1577" s="43">
        <v>54</v>
      </c>
      <c r="B1577" s="4" t="s">
        <v>1416</v>
      </c>
      <c r="C1577" s="40" t="s">
        <v>1431</v>
      </c>
      <c r="D1577" s="4" t="s">
        <v>300</v>
      </c>
      <c r="E1577" s="4" t="s">
        <v>1427</v>
      </c>
      <c r="T1577" s="4">
        <v>7.08</v>
      </c>
      <c r="U1577" s="4">
        <v>0.0337</v>
      </c>
      <c r="V1577" s="4">
        <v>18.8</v>
      </c>
      <c r="X1577" s="4">
        <v>0.954</v>
      </c>
      <c r="AB1577" s="4" t="s">
        <v>1419</v>
      </c>
      <c r="AC1577" s="4" t="s">
        <v>1420</v>
      </c>
      <c r="AD1577" s="4" t="s">
        <v>1421</v>
      </c>
      <c r="BI1577" s="4" t="s">
        <v>309</v>
      </c>
      <c r="BN1577" s="4">
        <v>0.5</v>
      </c>
      <c r="BS1577" s="4">
        <v>5</v>
      </c>
      <c r="BU1577" s="4">
        <v>150</v>
      </c>
      <c r="BV1577" s="4" t="s">
        <v>1422</v>
      </c>
      <c r="BW1577" s="4">
        <v>25</v>
      </c>
      <c r="CB1577" s="4" t="s">
        <v>7</v>
      </c>
      <c r="CC1577" s="4">
        <v>50</v>
      </c>
      <c r="CX1577" s="4" t="s">
        <v>314</v>
      </c>
      <c r="DO1577" s="4">
        <v>3</v>
      </c>
      <c r="DW1577" s="4"/>
      <c r="EA1577" s="4">
        <v>56.96</v>
      </c>
      <c r="EB1577" s="1">
        <v>0.38</v>
      </c>
      <c r="ED1577" s="4">
        <v>56.96</v>
      </c>
    </row>
    <row r="1578" customHeight="1" spans="1:134">
      <c r="A1578" s="43">
        <v>54</v>
      </c>
      <c r="B1578" s="4" t="s">
        <v>1416</v>
      </c>
      <c r="C1578" s="40" t="s">
        <v>1431</v>
      </c>
      <c r="D1578" s="4" t="s">
        <v>300</v>
      </c>
      <c r="E1578" s="4" t="s">
        <v>1427</v>
      </c>
      <c r="T1578" s="4">
        <v>7.08</v>
      </c>
      <c r="U1578" s="4">
        <v>0.0337</v>
      </c>
      <c r="V1578" s="4">
        <v>18.8</v>
      </c>
      <c r="X1578" s="4">
        <v>0.954</v>
      </c>
      <c r="AB1578" s="4" t="s">
        <v>1419</v>
      </c>
      <c r="AC1578" s="4" t="s">
        <v>1420</v>
      </c>
      <c r="AD1578" s="4" t="s">
        <v>1421</v>
      </c>
      <c r="BI1578" s="4" t="s">
        <v>309</v>
      </c>
      <c r="BN1578" s="4">
        <v>0.5</v>
      </c>
      <c r="BS1578" s="4">
        <v>5</v>
      </c>
      <c r="BU1578" s="4">
        <v>150</v>
      </c>
      <c r="BV1578" s="4">
        <v>2880</v>
      </c>
      <c r="BW1578" s="4">
        <v>25</v>
      </c>
      <c r="CB1578" s="4" t="s">
        <v>7</v>
      </c>
      <c r="CC1578" s="4" t="s">
        <v>1423</v>
      </c>
      <c r="DE1578" s="4">
        <v>121</v>
      </c>
      <c r="DO1578" s="4">
        <v>3</v>
      </c>
      <c r="DW1578" s="29">
        <v>121</v>
      </c>
      <c r="EA1578" s="4"/>
      <c r="ED1578" s="4"/>
    </row>
    <row r="1579" customHeight="1" spans="1:134">
      <c r="A1579" s="43">
        <v>54</v>
      </c>
      <c r="B1579" s="4" t="s">
        <v>1416</v>
      </c>
      <c r="C1579" s="40" t="s">
        <v>1432</v>
      </c>
      <c r="D1579" s="4" t="s">
        <v>300</v>
      </c>
      <c r="E1579" s="4" t="s">
        <v>1427</v>
      </c>
      <c r="T1579" s="4">
        <v>2.48</v>
      </c>
      <c r="U1579" s="4">
        <v>0.013</v>
      </c>
      <c r="V1579" s="4">
        <v>20.9</v>
      </c>
      <c r="X1579" s="4">
        <v>0.789</v>
      </c>
      <c r="AB1579" s="4" t="s">
        <v>1419</v>
      </c>
      <c r="AC1579" s="4" t="s">
        <v>1420</v>
      </c>
      <c r="AD1579" s="4" t="s">
        <v>1421</v>
      </c>
      <c r="BI1579" s="4" t="s">
        <v>309</v>
      </c>
      <c r="BN1579" s="4">
        <v>0.5</v>
      </c>
      <c r="BS1579" s="4">
        <v>5</v>
      </c>
      <c r="BU1579" s="4">
        <v>150</v>
      </c>
      <c r="BV1579" s="4">
        <v>2880</v>
      </c>
      <c r="BW1579" s="4">
        <v>25</v>
      </c>
      <c r="CB1579" s="4" t="s">
        <v>7</v>
      </c>
      <c r="CC1579" s="4">
        <v>50</v>
      </c>
      <c r="DO1579" s="4">
        <v>3</v>
      </c>
      <c r="DW1579" s="4"/>
      <c r="EA1579" s="4">
        <v>38.61</v>
      </c>
      <c r="EB1579" s="1">
        <v>3.04</v>
      </c>
      <c r="ED1579" s="4">
        <v>38.61</v>
      </c>
    </row>
    <row r="1580" customHeight="1" spans="1:134">
      <c r="A1580" s="43">
        <v>54</v>
      </c>
      <c r="B1580" s="4" t="s">
        <v>1416</v>
      </c>
      <c r="C1580" s="40" t="s">
        <v>1432</v>
      </c>
      <c r="D1580" s="4" t="s">
        <v>300</v>
      </c>
      <c r="E1580" s="4" t="s">
        <v>1427</v>
      </c>
      <c r="T1580" s="4">
        <v>2.48</v>
      </c>
      <c r="U1580" s="4">
        <v>0.013</v>
      </c>
      <c r="V1580" s="4">
        <v>20.9</v>
      </c>
      <c r="X1580" s="4">
        <v>0.789</v>
      </c>
      <c r="AB1580" s="4" t="s">
        <v>1419</v>
      </c>
      <c r="AC1580" s="4" t="s">
        <v>1420</v>
      </c>
      <c r="AD1580" s="4" t="s">
        <v>1421</v>
      </c>
      <c r="BI1580" s="4" t="s">
        <v>309</v>
      </c>
      <c r="BN1580" s="4">
        <v>0.5</v>
      </c>
      <c r="BS1580" s="4">
        <v>5</v>
      </c>
      <c r="BU1580" s="4">
        <v>150</v>
      </c>
      <c r="BV1580" s="4">
        <v>2880</v>
      </c>
      <c r="BW1580" s="4">
        <v>25</v>
      </c>
      <c r="CB1580" s="4" t="s">
        <v>7</v>
      </c>
      <c r="CC1580" s="4" t="s">
        <v>1423</v>
      </c>
      <c r="DB1580" s="4" t="s">
        <v>951</v>
      </c>
      <c r="DE1580" s="4">
        <v>51</v>
      </c>
      <c r="DO1580" s="4">
        <v>3</v>
      </c>
      <c r="DW1580" s="29">
        <v>51</v>
      </c>
      <c r="EA1580" s="4"/>
      <c r="ED1580" s="4"/>
    </row>
    <row r="1581" customHeight="1" spans="1:134">
      <c r="A1581" s="43">
        <v>54</v>
      </c>
      <c r="B1581" s="4" t="s">
        <v>1416</v>
      </c>
      <c r="C1581" s="44" t="s">
        <v>1433</v>
      </c>
      <c r="D1581" s="4" t="s">
        <v>300</v>
      </c>
      <c r="E1581" s="4" t="s">
        <v>1427</v>
      </c>
      <c r="T1581" s="4">
        <v>4.73</v>
      </c>
      <c r="U1581" s="4">
        <v>0.0229</v>
      </c>
      <c r="V1581" s="4">
        <v>19.3</v>
      </c>
      <c r="X1581" s="4">
        <v>0.789</v>
      </c>
      <c r="AB1581" s="4" t="s">
        <v>1419</v>
      </c>
      <c r="AC1581" s="4" t="s">
        <v>1420</v>
      </c>
      <c r="AD1581" s="4" t="s">
        <v>1421</v>
      </c>
      <c r="BI1581" s="4" t="s">
        <v>309</v>
      </c>
      <c r="BN1581" s="4">
        <v>0.5</v>
      </c>
      <c r="BS1581" s="4">
        <v>5</v>
      </c>
      <c r="BU1581" s="4">
        <v>150</v>
      </c>
      <c r="BV1581" s="4" t="s">
        <v>1422</v>
      </c>
      <c r="BW1581" s="4">
        <v>25</v>
      </c>
      <c r="CB1581" s="4" t="s">
        <v>7</v>
      </c>
      <c r="CC1581" s="4">
        <v>50</v>
      </c>
      <c r="CX1581" s="4" t="s">
        <v>314</v>
      </c>
      <c r="DO1581" s="4">
        <v>3</v>
      </c>
      <c r="DW1581" s="4"/>
      <c r="EA1581" s="4">
        <v>100</v>
      </c>
      <c r="EB1581" s="1">
        <v>0</v>
      </c>
      <c r="ED1581" s="4">
        <v>100</v>
      </c>
    </row>
    <row r="1582" customHeight="1" spans="1:134">
      <c r="A1582" s="43">
        <v>54</v>
      </c>
      <c r="B1582" s="4" t="s">
        <v>1416</v>
      </c>
      <c r="C1582" s="44" t="s">
        <v>1433</v>
      </c>
      <c r="D1582" s="4" t="s">
        <v>300</v>
      </c>
      <c r="E1582" s="4" t="s">
        <v>1427</v>
      </c>
      <c r="T1582" s="4">
        <v>4.73</v>
      </c>
      <c r="U1582" s="4">
        <v>0.0229</v>
      </c>
      <c r="V1582" s="4">
        <v>19.3</v>
      </c>
      <c r="X1582" s="4">
        <v>0.789</v>
      </c>
      <c r="AB1582" s="4" t="s">
        <v>1419</v>
      </c>
      <c r="AC1582" s="4" t="s">
        <v>1420</v>
      </c>
      <c r="AD1582" s="4" t="s">
        <v>1421</v>
      </c>
      <c r="BI1582" s="4" t="s">
        <v>309</v>
      </c>
      <c r="BN1582" s="4">
        <v>0.5</v>
      </c>
      <c r="BS1582" s="4">
        <v>5</v>
      </c>
      <c r="BU1582" s="4">
        <v>150</v>
      </c>
      <c r="BV1582" s="4">
        <v>2880</v>
      </c>
      <c r="BW1582" s="4">
        <v>25</v>
      </c>
      <c r="CB1582" s="4" t="s">
        <v>7</v>
      </c>
      <c r="CC1582" s="4" t="s">
        <v>1434</v>
      </c>
      <c r="DB1582" s="4" t="s">
        <v>951</v>
      </c>
      <c r="DE1582" s="4">
        <v>625</v>
      </c>
      <c r="DO1582" s="4">
        <v>3</v>
      </c>
      <c r="DW1582" s="29">
        <v>625</v>
      </c>
      <c r="EA1582" s="4"/>
      <c r="ED1582" s="4"/>
    </row>
    <row r="1583" customHeight="1" spans="1:134">
      <c r="A1583" s="43">
        <v>54</v>
      </c>
      <c r="B1583" s="4" t="s">
        <v>1416</v>
      </c>
      <c r="C1583" s="44" t="s">
        <v>1435</v>
      </c>
      <c r="D1583" s="4" t="s">
        <v>300</v>
      </c>
      <c r="E1583" s="4" t="s">
        <v>1427</v>
      </c>
      <c r="T1583" s="4">
        <v>27.3</v>
      </c>
      <c r="U1583" s="4">
        <v>0.165</v>
      </c>
      <c r="V1583" s="4">
        <v>23.7</v>
      </c>
      <c r="X1583" s="4">
        <v>0.788</v>
      </c>
      <c r="AB1583" s="4" t="s">
        <v>1419</v>
      </c>
      <c r="AC1583" s="4" t="s">
        <v>1420</v>
      </c>
      <c r="AD1583" s="4" t="s">
        <v>1421</v>
      </c>
      <c r="BI1583" s="4" t="s">
        <v>309</v>
      </c>
      <c r="BN1583" s="4">
        <v>0.5</v>
      </c>
      <c r="BS1583" s="4">
        <v>5</v>
      </c>
      <c r="BU1583" s="4">
        <v>150</v>
      </c>
      <c r="BV1583" s="4">
        <v>2880</v>
      </c>
      <c r="BW1583" s="4">
        <v>25</v>
      </c>
      <c r="CB1583" s="4" t="s">
        <v>7</v>
      </c>
      <c r="CC1583" s="4">
        <v>50</v>
      </c>
      <c r="DO1583" s="4">
        <v>3</v>
      </c>
      <c r="DW1583" s="4"/>
      <c r="EA1583" s="4">
        <v>4.81</v>
      </c>
      <c r="EB1583" s="1">
        <v>0.25</v>
      </c>
      <c r="ED1583" s="4">
        <v>4.81</v>
      </c>
    </row>
    <row r="1584" customHeight="1" spans="1:134">
      <c r="A1584" s="43">
        <v>54</v>
      </c>
      <c r="B1584" s="4" t="s">
        <v>1416</v>
      </c>
      <c r="C1584" s="44" t="s">
        <v>1435</v>
      </c>
      <c r="D1584" s="4" t="s">
        <v>300</v>
      </c>
      <c r="E1584" s="4" t="s">
        <v>1427</v>
      </c>
      <c r="T1584" s="4">
        <v>27.3</v>
      </c>
      <c r="U1584" s="4">
        <v>0.165</v>
      </c>
      <c r="V1584" s="4">
        <v>23.7</v>
      </c>
      <c r="X1584" s="4">
        <v>0.788</v>
      </c>
      <c r="AB1584" s="4" t="s">
        <v>1419</v>
      </c>
      <c r="AC1584" s="4" t="s">
        <v>1420</v>
      </c>
      <c r="AD1584" s="4" t="s">
        <v>1421</v>
      </c>
      <c r="BI1584" s="4" t="s">
        <v>309</v>
      </c>
      <c r="BN1584" s="4">
        <v>0.5</v>
      </c>
      <c r="BS1584" s="4">
        <v>5</v>
      </c>
      <c r="BU1584" s="4">
        <v>150</v>
      </c>
      <c r="BV1584" s="4">
        <v>2880</v>
      </c>
      <c r="BW1584" s="4">
        <v>25</v>
      </c>
      <c r="CB1584" s="4" t="s">
        <v>7</v>
      </c>
      <c r="CC1584" s="4" t="s">
        <v>427</v>
      </c>
      <c r="DB1584" s="4" t="s">
        <v>430</v>
      </c>
      <c r="DE1584" s="4">
        <v>9.12</v>
      </c>
      <c r="DO1584" s="4">
        <v>3</v>
      </c>
      <c r="DW1584" s="29">
        <v>9.12</v>
      </c>
      <c r="EA1584" s="4"/>
      <c r="ED1584" s="4"/>
    </row>
    <row r="1585" customHeight="1" spans="1:149">
      <c r="A1585" s="43">
        <v>54</v>
      </c>
      <c r="B1585" s="4" t="s">
        <v>1416</v>
      </c>
      <c r="C1585" s="44" t="s">
        <v>1436</v>
      </c>
      <c r="D1585" s="4" t="s">
        <v>300</v>
      </c>
      <c r="E1585" s="4" t="s">
        <v>1427</v>
      </c>
      <c r="T1585" s="4">
        <v>0.0397</v>
      </c>
      <c r="U1585" s="4">
        <v>0.00281</v>
      </c>
      <c r="V1585" s="4">
        <v>283</v>
      </c>
      <c r="X1585" s="4">
        <v>0.791</v>
      </c>
      <c r="AB1585" s="4" t="s">
        <v>1419</v>
      </c>
      <c r="AC1585" s="4" t="s">
        <v>1420</v>
      </c>
      <c r="AD1585" s="4" t="s">
        <v>1421</v>
      </c>
      <c r="BI1585" s="4" t="s">
        <v>309</v>
      </c>
      <c r="BN1585" s="4">
        <v>0.5</v>
      </c>
      <c r="BS1585" s="4">
        <v>5</v>
      </c>
      <c r="BU1585" s="4">
        <v>150</v>
      </c>
      <c r="BV1585" s="4">
        <v>2880</v>
      </c>
      <c r="BW1585" s="4">
        <v>25</v>
      </c>
      <c r="CB1585" s="4" t="s">
        <v>7</v>
      </c>
      <c r="CC1585" s="4">
        <v>50</v>
      </c>
      <c r="DO1585" s="4">
        <v>3</v>
      </c>
      <c r="DW1585" s="4"/>
      <c r="EA1585" s="4">
        <v>8.1</v>
      </c>
      <c r="EB1585" s="1">
        <v>1.65</v>
      </c>
      <c r="ED1585" s="4">
        <v>8.1</v>
      </c>
    </row>
    <row r="1586" customHeight="1" spans="1:149">
      <c r="A1586" s="43">
        <v>54</v>
      </c>
      <c r="B1586" s="4" t="s">
        <v>1416</v>
      </c>
      <c r="C1586" s="44" t="s">
        <v>1436</v>
      </c>
      <c r="D1586" s="4" t="s">
        <v>300</v>
      </c>
      <c r="E1586" s="4" t="s">
        <v>1427</v>
      </c>
      <c r="T1586" s="4">
        <v>0.0397</v>
      </c>
      <c r="U1586" s="4">
        <v>0.00281</v>
      </c>
      <c r="V1586" s="4">
        <v>283</v>
      </c>
      <c r="X1586" s="4">
        <v>0.791</v>
      </c>
      <c r="AB1586" s="4" t="s">
        <v>1419</v>
      </c>
      <c r="AC1586" s="4" t="s">
        <v>1420</v>
      </c>
      <c r="AD1586" s="4" t="s">
        <v>1421</v>
      </c>
      <c r="BI1586" s="4" t="s">
        <v>309</v>
      </c>
      <c r="BN1586" s="4">
        <v>0.5</v>
      </c>
      <c r="BS1586" s="4">
        <v>5</v>
      </c>
      <c r="BU1586" s="4">
        <v>150</v>
      </c>
      <c r="BV1586" s="4">
        <v>2880</v>
      </c>
      <c r="BW1586" s="4">
        <v>25</v>
      </c>
      <c r="CB1586" s="4" t="s">
        <v>7</v>
      </c>
      <c r="CC1586" s="4" t="s">
        <v>1437</v>
      </c>
      <c r="DB1586" s="4" t="s">
        <v>951</v>
      </c>
      <c r="DE1586" s="4">
        <v>12</v>
      </c>
      <c r="DO1586" s="4">
        <v>3</v>
      </c>
      <c r="DW1586" s="29">
        <v>12</v>
      </c>
      <c r="EA1586" s="4"/>
      <c r="ED1586" s="4"/>
    </row>
    <row r="1587" customHeight="1" spans="1:149">
      <c r="A1587" s="45">
        <v>55</v>
      </c>
      <c r="B1587" s="4" t="s">
        <v>1438</v>
      </c>
      <c r="C1587" s="40" t="s">
        <v>1439</v>
      </c>
      <c r="D1587" s="4" t="s">
        <v>1440</v>
      </c>
      <c r="E1587" s="4" t="s">
        <v>1441</v>
      </c>
      <c r="X1587" s="4">
        <v>0.776</v>
      </c>
      <c r="AC1587" s="4" t="s">
        <v>1442</v>
      </c>
      <c r="AD1587" s="4" t="s">
        <v>1443</v>
      </c>
      <c r="AE1587" s="4" t="s">
        <v>1444</v>
      </c>
      <c r="AF1587" s="63" t="s">
        <v>1445</v>
      </c>
      <c r="AH1587" s="4" t="s">
        <v>596</v>
      </c>
      <c r="AQ1587" s="4" t="s">
        <v>8</v>
      </c>
      <c r="AR1587" s="4">
        <v>0</v>
      </c>
      <c r="BD1587" s="4" t="s">
        <v>1446</v>
      </c>
      <c r="BI1587" s="4" t="s">
        <v>321</v>
      </c>
      <c r="BO1587" s="4">
        <v>0.01</v>
      </c>
      <c r="BS1587" s="4">
        <v>7.82</v>
      </c>
      <c r="BV1587" s="4">
        <v>1440</v>
      </c>
      <c r="CB1587" s="4" t="s">
        <v>8</v>
      </c>
      <c r="CC1587" s="4">
        <v>200</v>
      </c>
      <c r="DO1587" s="4">
        <v>3</v>
      </c>
      <c r="EP1587" s="4">
        <v>34.26</v>
      </c>
      <c r="EQ1587" s="1">
        <v>4.44</v>
      </c>
      <c r="ES1587" s="4">
        <v>34.26</v>
      </c>
    </row>
    <row r="1588" customHeight="1" spans="1:149">
      <c r="A1588" s="45">
        <v>55</v>
      </c>
      <c r="B1588" s="4" t="s">
        <v>1438</v>
      </c>
      <c r="C1588" s="40" t="s">
        <v>1439</v>
      </c>
      <c r="D1588" s="4" t="s">
        <v>1440</v>
      </c>
      <c r="E1588" s="4" t="s">
        <v>1441</v>
      </c>
      <c r="X1588" s="4">
        <v>0.776</v>
      </c>
      <c r="AC1588" s="4" t="s">
        <v>1442</v>
      </c>
      <c r="AD1588" s="4" t="s">
        <v>1443</v>
      </c>
      <c r="AE1588" s="4" t="s">
        <v>1444</v>
      </c>
      <c r="AF1588" s="63" t="s">
        <v>1445</v>
      </c>
      <c r="AH1588" s="4" t="s">
        <v>596</v>
      </c>
      <c r="AQ1588" s="4" t="s">
        <v>8</v>
      </c>
      <c r="AR1588" s="4">
        <v>0</v>
      </c>
      <c r="BD1588" s="4" t="s">
        <v>1446</v>
      </c>
      <c r="BI1588" s="4" t="s">
        <v>321</v>
      </c>
      <c r="BO1588" s="4">
        <v>0.03</v>
      </c>
      <c r="BS1588" s="4">
        <v>7.82</v>
      </c>
      <c r="BV1588" s="4">
        <v>1440</v>
      </c>
      <c r="CB1588" s="4" t="s">
        <v>8</v>
      </c>
      <c r="CC1588" s="4">
        <v>200</v>
      </c>
      <c r="DO1588" s="4">
        <v>3</v>
      </c>
      <c r="EP1588" s="4">
        <v>70.32</v>
      </c>
      <c r="EQ1588" s="1">
        <v>4.44</v>
      </c>
      <c r="ES1588" s="4">
        <v>70.32</v>
      </c>
    </row>
    <row r="1589" customHeight="1" spans="1:149">
      <c r="A1589" s="45">
        <v>55</v>
      </c>
      <c r="B1589" s="4" t="s">
        <v>1438</v>
      </c>
      <c r="C1589" s="40" t="s">
        <v>1439</v>
      </c>
      <c r="D1589" s="4" t="s">
        <v>1440</v>
      </c>
      <c r="E1589" s="4" t="s">
        <v>1441</v>
      </c>
      <c r="X1589" s="4">
        <v>0.776</v>
      </c>
      <c r="AC1589" s="4" t="s">
        <v>1442</v>
      </c>
      <c r="AD1589" s="4" t="s">
        <v>1443</v>
      </c>
      <c r="AE1589" s="4" t="s">
        <v>1444</v>
      </c>
      <c r="AF1589" s="63" t="s">
        <v>1445</v>
      </c>
      <c r="AH1589" s="4" t="s">
        <v>596</v>
      </c>
      <c r="AQ1589" s="4" t="s">
        <v>8</v>
      </c>
      <c r="AR1589" s="4">
        <v>0</v>
      </c>
      <c r="BD1589" s="4" t="s">
        <v>1446</v>
      </c>
      <c r="BI1589" s="4" t="s">
        <v>321</v>
      </c>
      <c r="BO1589" s="4">
        <v>0.05</v>
      </c>
      <c r="BS1589" s="4">
        <v>7.82</v>
      </c>
      <c r="BV1589" s="4">
        <v>1440</v>
      </c>
      <c r="CB1589" s="4" t="s">
        <v>8</v>
      </c>
      <c r="CC1589" s="4">
        <v>200</v>
      </c>
      <c r="DO1589" s="4">
        <v>3</v>
      </c>
      <c r="EP1589" s="4">
        <v>82.25</v>
      </c>
      <c r="EQ1589" s="1">
        <v>2.64</v>
      </c>
      <c r="ES1589" s="4">
        <v>82.25</v>
      </c>
    </row>
    <row r="1590" customHeight="1" spans="1:149">
      <c r="A1590" s="45">
        <v>55</v>
      </c>
      <c r="B1590" s="4" t="s">
        <v>1438</v>
      </c>
      <c r="C1590" s="40" t="s">
        <v>1439</v>
      </c>
      <c r="D1590" s="4" t="s">
        <v>1440</v>
      </c>
      <c r="E1590" s="4" t="s">
        <v>1441</v>
      </c>
      <c r="X1590" s="4">
        <v>0.776</v>
      </c>
      <c r="AC1590" s="4" t="s">
        <v>1442</v>
      </c>
      <c r="AD1590" s="4" t="s">
        <v>1443</v>
      </c>
      <c r="AE1590" s="4" t="s">
        <v>1444</v>
      </c>
      <c r="AF1590" s="63" t="s">
        <v>1445</v>
      </c>
      <c r="AH1590" s="4" t="s">
        <v>596</v>
      </c>
      <c r="AQ1590" s="4" t="s">
        <v>8</v>
      </c>
      <c r="AR1590" s="4">
        <v>0</v>
      </c>
      <c r="BD1590" s="4" t="s">
        <v>1446</v>
      </c>
      <c r="BI1590" s="4" t="s">
        <v>321</v>
      </c>
      <c r="BO1590" s="4">
        <v>0.07</v>
      </c>
      <c r="BS1590" s="4">
        <v>7.82</v>
      </c>
      <c r="BV1590" s="4">
        <v>1440</v>
      </c>
      <c r="CB1590" s="4" t="s">
        <v>8</v>
      </c>
      <c r="CC1590" s="4">
        <v>200</v>
      </c>
      <c r="DO1590" s="4">
        <v>3</v>
      </c>
      <c r="EP1590" s="4">
        <v>89.6</v>
      </c>
      <c r="EQ1590" s="1">
        <v>0.28</v>
      </c>
      <c r="ES1590" s="4">
        <v>89.6</v>
      </c>
    </row>
    <row r="1591" customHeight="1" spans="1:149">
      <c r="A1591" s="45">
        <v>55</v>
      </c>
      <c r="B1591" s="4" t="s">
        <v>1438</v>
      </c>
      <c r="C1591" s="40" t="s">
        <v>1439</v>
      </c>
      <c r="D1591" s="4" t="s">
        <v>1440</v>
      </c>
      <c r="E1591" s="4" t="s">
        <v>1441</v>
      </c>
      <c r="X1591" s="4">
        <v>0.776</v>
      </c>
      <c r="AC1591" s="4" t="s">
        <v>1442</v>
      </c>
      <c r="AD1591" s="4" t="s">
        <v>1443</v>
      </c>
      <c r="AE1591" s="4" t="s">
        <v>1444</v>
      </c>
      <c r="AF1591" s="63" t="s">
        <v>1445</v>
      </c>
      <c r="AH1591" s="4" t="s">
        <v>596</v>
      </c>
      <c r="AQ1591" s="4" t="s">
        <v>8</v>
      </c>
      <c r="AR1591" s="4">
        <v>0</v>
      </c>
      <c r="BD1591" s="4" t="s">
        <v>1446</v>
      </c>
      <c r="BI1591" s="4" t="s">
        <v>321</v>
      </c>
      <c r="BO1591" s="4">
        <v>0.09</v>
      </c>
      <c r="BS1591" s="4">
        <v>7.82</v>
      </c>
      <c r="BV1591" s="4">
        <v>1440</v>
      </c>
      <c r="CB1591" s="4" t="s">
        <v>8</v>
      </c>
      <c r="CC1591" s="4">
        <v>200</v>
      </c>
      <c r="DO1591" s="4">
        <v>3</v>
      </c>
      <c r="EP1591" s="4">
        <v>93.34</v>
      </c>
      <c r="EQ1591" s="1">
        <v>0.55</v>
      </c>
      <c r="ES1591" s="4">
        <v>93.34</v>
      </c>
    </row>
    <row r="1592" customHeight="1" spans="1:149">
      <c r="A1592" s="45">
        <v>55</v>
      </c>
      <c r="B1592" s="4" t="s">
        <v>1438</v>
      </c>
      <c r="C1592" s="40" t="s">
        <v>1439</v>
      </c>
      <c r="D1592" s="4" t="s">
        <v>1440</v>
      </c>
      <c r="E1592" s="4" t="s">
        <v>1441</v>
      </c>
      <c r="X1592" s="4">
        <v>0.776</v>
      </c>
      <c r="AC1592" s="4" t="s">
        <v>1442</v>
      </c>
      <c r="AD1592" s="4" t="s">
        <v>1443</v>
      </c>
      <c r="AE1592" s="4" t="s">
        <v>1444</v>
      </c>
      <c r="AF1592" s="63" t="s">
        <v>1445</v>
      </c>
      <c r="AH1592" s="4" t="s">
        <v>596</v>
      </c>
      <c r="AQ1592" s="4" t="s">
        <v>8</v>
      </c>
      <c r="AR1592" s="4">
        <v>0</v>
      </c>
      <c r="BD1592" s="4" t="s">
        <v>1446</v>
      </c>
      <c r="BI1592" s="4" t="s">
        <v>321</v>
      </c>
      <c r="BO1592" s="4">
        <v>0.1</v>
      </c>
      <c r="BS1592" s="4">
        <v>7.82</v>
      </c>
      <c r="BV1592" s="4">
        <v>1440</v>
      </c>
      <c r="CB1592" s="4" t="s">
        <v>8</v>
      </c>
      <c r="CC1592" s="4">
        <v>200</v>
      </c>
      <c r="DO1592" s="4">
        <v>3</v>
      </c>
      <c r="EP1592" s="4">
        <v>93.9</v>
      </c>
      <c r="EQ1592" s="1">
        <v>0.28</v>
      </c>
      <c r="ES1592" s="4">
        <v>93.9</v>
      </c>
    </row>
    <row r="1593" customHeight="1" spans="1:149">
      <c r="A1593" s="45">
        <v>55</v>
      </c>
      <c r="B1593" s="4" t="s">
        <v>1438</v>
      </c>
      <c r="C1593" s="40" t="s">
        <v>1439</v>
      </c>
      <c r="D1593" s="4" t="s">
        <v>1440</v>
      </c>
      <c r="E1593" s="4" t="s">
        <v>1441</v>
      </c>
      <c r="X1593" s="4">
        <v>0.776</v>
      </c>
      <c r="AC1593" s="4" t="s">
        <v>1442</v>
      </c>
      <c r="AD1593" s="4" t="s">
        <v>1443</v>
      </c>
      <c r="AE1593" s="4" t="s">
        <v>1444</v>
      </c>
      <c r="AF1593" s="63" t="s">
        <v>1445</v>
      </c>
      <c r="AH1593" s="4" t="s">
        <v>596</v>
      </c>
      <c r="AQ1593" s="4" t="s">
        <v>8</v>
      </c>
      <c r="AR1593" s="4">
        <v>0</v>
      </c>
      <c r="BD1593" s="4" t="s">
        <v>1446</v>
      </c>
      <c r="BI1593" s="4" t="s">
        <v>321</v>
      </c>
      <c r="BO1593" s="4">
        <v>0.1</v>
      </c>
      <c r="BS1593" s="4">
        <v>7.82</v>
      </c>
      <c r="BV1593" s="4">
        <v>1440</v>
      </c>
      <c r="CB1593" s="4" t="s">
        <v>8</v>
      </c>
      <c r="CC1593" s="4">
        <v>200</v>
      </c>
      <c r="DO1593" s="4">
        <v>3</v>
      </c>
      <c r="EP1593" s="4">
        <v>93.14</v>
      </c>
      <c r="EQ1593" s="1">
        <v>0.3</v>
      </c>
      <c r="ES1593" s="4">
        <v>93.14</v>
      </c>
    </row>
    <row r="1594" customHeight="1" spans="1:149">
      <c r="A1594" s="45">
        <v>55</v>
      </c>
      <c r="B1594" s="4" t="s">
        <v>1438</v>
      </c>
      <c r="C1594" s="40" t="s">
        <v>1439</v>
      </c>
      <c r="D1594" s="4" t="s">
        <v>1440</v>
      </c>
      <c r="E1594" s="4" t="s">
        <v>1441</v>
      </c>
      <c r="X1594" s="4">
        <v>0.776</v>
      </c>
      <c r="AC1594" s="4" t="s">
        <v>1442</v>
      </c>
      <c r="AD1594" s="4" t="s">
        <v>1443</v>
      </c>
      <c r="AE1594" s="4" t="s">
        <v>1444</v>
      </c>
      <c r="AF1594" s="63" t="s">
        <v>1445</v>
      </c>
      <c r="AH1594" s="4" t="s">
        <v>596</v>
      </c>
      <c r="AQ1594" s="4" t="s">
        <v>8</v>
      </c>
      <c r="AR1594" s="4">
        <v>0</v>
      </c>
      <c r="BD1594" s="4" t="s">
        <v>1446</v>
      </c>
      <c r="BI1594" s="4" t="s">
        <v>321</v>
      </c>
      <c r="BO1594" s="4">
        <v>0.1</v>
      </c>
      <c r="BS1594" s="4">
        <v>7.82</v>
      </c>
      <c r="BV1594" s="4">
        <v>1440</v>
      </c>
      <c r="CB1594" s="4" t="s">
        <v>8</v>
      </c>
      <c r="CC1594" s="4">
        <v>400</v>
      </c>
      <c r="DO1594" s="4">
        <v>3</v>
      </c>
      <c r="EP1594" s="4">
        <v>87.03</v>
      </c>
      <c r="EQ1594" s="1">
        <v>1.49</v>
      </c>
      <c r="ES1594" s="4">
        <v>87.03</v>
      </c>
    </row>
    <row r="1595" customHeight="1" spans="1:149">
      <c r="A1595" s="45">
        <v>55</v>
      </c>
      <c r="B1595" s="4" t="s">
        <v>1438</v>
      </c>
      <c r="C1595" s="40" t="s">
        <v>1439</v>
      </c>
      <c r="D1595" s="4" t="s">
        <v>1440</v>
      </c>
      <c r="E1595" s="4" t="s">
        <v>1441</v>
      </c>
      <c r="X1595" s="4">
        <v>0.776</v>
      </c>
      <c r="AC1595" s="4" t="s">
        <v>1442</v>
      </c>
      <c r="AD1595" s="4" t="s">
        <v>1443</v>
      </c>
      <c r="AE1595" s="4" t="s">
        <v>1444</v>
      </c>
      <c r="AF1595" s="63" t="s">
        <v>1445</v>
      </c>
      <c r="AH1595" s="4" t="s">
        <v>596</v>
      </c>
      <c r="AQ1595" s="4" t="s">
        <v>8</v>
      </c>
      <c r="AR1595" s="4">
        <v>0</v>
      </c>
      <c r="BD1595" s="4" t="s">
        <v>1446</v>
      </c>
      <c r="BI1595" s="4" t="s">
        <v>321</v>
      </c>
      <c r="BO1595" s="4">
        <v>0.1</v>
      </c>
      <c r="BS1595" s="4">
        <v>7.82</v>
      </c>
      <c r="BV1595" s="4">
        <v>1440</v>
      </c>
      <c r="CB1595" s="4" t="s">
        <v>8</v>
      </c>
      <c r="CC1595" s="4">
        <v>600</v>
      </c>
      <c r="DO1595" s="4">
        <v>3</v>
      </c>
      <c r="EP1595" s="4">
        <v>78.54</v>
      </c>
      <c r="EQ1595" s="1">
        <v>2.99</v>
      </c>
      <c r="ES1595" s="4">
        <v>78.54</v>
      </c>
    </row>
    <row r="1596" customHeight="1" spans="1:149">
      <c r="A1596" s="45">
        <v>55</v>
      </c>
      <c r="B1596" s="4" t="s">
        <v>1438</v>
      </c>
      <c r="C1596" s="40" t="s">
        <v>1439</v>
      </c>
      <c r="D1596" s="4" t="s">
        <v>1440</v>
      </c>
      <c r="E1596" s="4" t="s">
        <v>1441</v>
      </c>
      <c r="X1596" s="4">
        <v>0.776</v>
      </c>
      <c r="AC1596" s="4" t="s">
        <v>1442</v>
      </c>
      <c r="AD1596" s="4" t="s">
        <v>1443</v>
      </c>
      <c r="AE1596" s="4" t="s">
        <v>1444</v>
      </c>
      <c r="AF1596" s="63" t="s">
        <v>1445</v>
      </c>
      <c r="AH1596" s="4" t="s">
        <v>596</v>
      </c>
      <c r="AQ1596" s="4" t="s">
        <v>8</v>
      </c>
      <c r="AR1596" s="4">
        <v>0</v>
      </c>
      <c r="BD1596" s="4" t="s">
        <v>1446</v>
      </c>
      <c r="BI1596" s="4" t="s">
        <v>321</v>
      </c>
      <c r="BO1596" s="4">
        <v>0.1</v>
      </c>
      <c r="BS1596" s="4">
        <v>7.82</v>
      </c>
      <c r="BV1596" s="4">
        <v>1440</v>
      </c>
      <c r="CB1596" s="4" t="s">
        <v>8</v>
      </c>
      <c r="CC1596" s="4">
        <v>800</v>
      </c>
      <c r="DO1596" s="4">
        <v>3</v>
      </c>
      <c r="EP1596" s="4">
        <v>75.11</v>
      </c>
      <c r="EQ1596" s="1">
        <v>1.79</v>
      </c>
      <c r="ES1596" s="4">
        <v>75.11</v>
      </c>
    </row>
    <row r="1597" customHeight="1" spans="1:149">
      <c r="A1597" s="45">
        <v>55</v>
      </c>
      <c r="B1597" s="4" t="s">
        <v>1438</v>
      </c>
      <c r="C1597" s="40" t="s">
        <v>1439</v>
      </c>
      <c r="D1597" s="4" t="s">
        <v>1440</v>
      </c>
      <c r="E1597" s="4" t="s">
        <v>1441</v>
      </c>
      <c r="X1597" s="4">
        <v>0.776</v>
      </c>
      <c r="AC1597" s="4" t="s">
        <v>1442</v>
      </c>
      <c r="AD1597" s="4" t="s">
        <v>1443</v>
      </c>
      <c r="AE1597" s="4" t="s">
        <v>1444</v>
      </c>
      <c r="AF1597" s="63" t="s">
        <v>1445</v>
      </c>
      <c r="AH1597" s="4" t="s">
        <v>596</v>
      </c>
      <c r="AQ1597" s="4" t="s">
        <v>8</v>
      </c>
      <c r="AR1597" s="4">
        <v>0</v>
      </c>
      <c r="BD1597" s="4" t="s">
        <v>1446</v>
      </c>
      <c r="BI1597" s="4" t="s">
        <v>321</v>
      </c>
      <c r="BO1597" s="4">
        <v>0.1</v>
      </c>
      <c r="BS1597" s="4">
        <v>7.82</v>
      </c>
      <c r="BV1597" s="4">
        <v>1440</v>
      </c>
      <c r="CB1597" s="4" t="s">
        <v>8</v>
      </c>
      <c r="CC1597" s="4">
        <v>1000</v>
      </c>
      <c r="DO1597" s="4">
        <v>3</v>
      </c>
      <c r="EP1597" s="4">
        <v>73.42</v>
      </c>
      <c r="EQ1597" s="1">
        <v>1.49</v>
      </c>
      <c r="ES1597" s="4">
        <v>73.42</v>
      </c>
    </row>
    <row r="1598" customHeight="1" spans="1:149">
      <c r="A1598" s="45">
        <v>55</v>
      </c>
      <c r="B1598" s="4" t="s">
        <v>1438</v>
      </c>
      <c r="C1598" s="40" t="s">
        <v>1439</v>
      </c>
      <c r="D1598" s="4" t="s">
        <v>1440</v>
      </c>
      <c r="E1598" s="4" t="s">
        <v>1441</v>
      </c>
      <c r="X1598" s="4">
        <v>0.776</v>
      </c>
      <c r="AC1598" s="4" t="s">
        <v>1442</v>
      </c>
      <c r="AD1598" s="4" t="s">
        <v>1443</v>
      </c>
      <c r="AE1598" s="4" t="s">
        <v>1444</v>
      </c>
      <c r="AF1598" s="63" t="s">
        <v>1445</v>
      </c>
      <c r="AH1598" s="4" t="s">
        <v>596</v>
      </c>
      <c r="AQ1598" s="4" t="s">
        <v>8</v>
      </c>
      <c r="AR1598" s="4">
        <v>0</v>
      </c>
      <c r="BD1598" s="4" t="s">
        <v>1446</v>
      </c>
      <c r="BI1598" s="4" t="s">
        <v>321</v>
      </c>
      <c r="BO1598" s="4">
        <v>0.1</v>
      </c>
      <c r="BS1598" s="4">
        <v>3</v>
      </c>
      <c r="BV1598" s="4">
        <v>1440</v>
      </c>
      <c r="CB1598" s="4" t="s">
        <v>8</v>
      </c>
      <c r="CC1598" s="4">
        <v>200</v>
      </c>
      <c r="CW1598" s="4">
        <v>6.03</v>
      </c>
      <c r="DO1598" s="4">
        <v>3</v>
      </c>
      <c r="EP1598" s="4">
        <v>58.89</v>
      </c>
      <c r="EQ1598" s="1">
        <v>0.46</v>
      </c>
      <c r="ES1598" s="4">
        <v>58.89</v>
      </c>
    </row>
    <row r="1599" customHeight="1" spans="1:149">
      <c r="A1599" s="45">
        <v>55</v>
      </c>
      <c r="B1599" s="4" t="s">
        <v>1438</v>
      </c>
      <c r="C1599" s="40" t="s">
        <v>1439</v>
      </c>
      <c r="D1599" s="4" t="s">
        <v>1440</v>
      </c>
      <c r="E1599" s="4" t="s">
        <v>1441</v>
      </c>
      <c r="X1599" s="4">
        <v>0.776</v>
      </c>
      <c r="AC1599" s="4" t="s">
        <v>1442</v>
      </c>
      <c r="AD1599" s="4" t="s">
        <v>1443</v>
      </c>
      <c r="AE1599" s="4" t="s">
        <v>1444</v>
      </c>
      <c r="AF1599" s="63" t="s">
        <v>1445</v>
      </c>
      <c r="AH1599" s="4" t="s">
        <v>596</v>
      </c>
      <c r="AQ1599" s="4" t="s">
        <v>8</v>
      </c>
      <c r="AR1599" s="4">
        <v>0</v>
      </c>
      <c r="BD1599" s="4" t="s">
        <v>1446</v>
      </c>
      <c r="BI1599" s="4" t="s">
        <v>321</v>
      </c>
      <c r="BO1599" s="4">
        <v>0.1</v>
      </c>
      <c r="BS1599" s="4">
        <v>5</v>
      </c>
      <c r="BV1599" s="4">
        <v>1440</v>
      </c>
      <c r="CB1599" s="4" t="s">
        <v>8</v>
      </c>
      <c r="CC1599" s="4">
        <v>200</v>
      </c>
      <c r="CW1599" s="4">
        <v>6.35</v>
      </c>
      <c r="DO1599" s="4">
        <v>3</v>
      </c>
      <c r="EP1599" s="4">
        <v>70.9</v>
      </c>
      <c r="EQ1599" s="1">
        <v>0.23</v>
      </c>
      <c r="ES1599" s="4">
        <v>70.9</v>
      </c>
    </row>
    <row r="1600" customHeight="1" spans="1:149">
      <c r="A1600" s="45">
        <v>55</v>
      </c>
      <c r="B1600" s="4" t="s">
        <v>1438</v>
      </c>
      <c r="C1600" s="40" t="s">
        <v>1439</v>
      </c>
      <c r="D1600" s="4" t="s">
        <v>1440</v>
      </c>
      <c r="E1600" s="4" t="s">
        <v>1441</v>
      </c>
      <c r="X1600" s="4">
        <v>0.776</v>
      </c>
      <c r="AC1600" s="4" t="s">
        <v>1442</v>
      </c>
      <c r="AD1600" s="4" t="s">
        <v>1443</v>
      </c>
      <c r="AE1600" s="4" t="s">
        <v>1444</v>
      </c>
      <c r="AF1600" s="63" t="s">
        <v>1445</v>
      </c>
      <c r="AH1600" s="4" t="s">
        <v>596</v>
      </c>
      <c r="AQ1600" s="4" t="s">
        <v>8</v>
      </c>
      <c r="AR1600" s="4">
        <v>0</v>
      </c>
      <c r="BD1600" s="4" t="s">
        <v>1446</v>
      </c>
      <c r="BI1600" s="4" t="s">
        <v>321</v>
      </c>
      <c r="BO1600" s="4">
        <v>0.1</v>
      </c>
      <c r="BS1600" s="4">
        <v>7</v>
      </c>
      <c r="BV1600" s="4">
        <v>1440</v>
      </c>
      <c r="CB1600" s="4" t="s">
        <v>8</v>
      </c>
      <c r="CC1600" s="4">
        <v>200</v>
      </c>
      <c r="CW1600" s="4">
        <v>7.12</v>
      </c>
      <c r="DO1600" s="4">
        <v>3</v>
      </c>
      <c r="EP1600" s="4">
        <v>83.14</v>
      </c>
      <c r="EQ1600" s="1">
        <v>1.62</v>
      </c>
      <c r="ES1600" s="4">
        <v>83.14</v>
      </c>
    </row>
    <row r="1601" customHeight="1" spans="1:313">
      <c r="A1601" s="45">
        <v>55</v>
      </c>
      <c r="B1601" s="4" t="s">
        <v>1438</v>
      </c>
      <c r="C1601" s="40" t="s">
        <v>1439</v>
      </c>
      <c r="D1601" s="4" t="s">
        <v>1440</v>
      </c>
      <c r="E1601" s="4" t="s">
        <v>1441</v>
      </c>
      <c r="X1601" s="4">
        <v>0.776</v>
      </c>
      <c r="AC1601" s="4" t="s">
        <v>1442</v>
      </c>
      <c r="AD1601" s="4" t="s">
        <v>1443</v>
      </c>
      <c r="AE1601" s="4" t="s">
        <v>1444</v>
      </c>
      <c r="AF1601" s="63" t="s">
        <v>1445</v>
      </c>
      <c r="AH1601" s="4" t="s">
        <v>596</v>
      </c>
      <c r="AQ1601" s="4" t="s">
        <v>8</v>
      </c>
      <c r="AR1601" s="4">
        <v>0</v>
      </c>
      <c r="BD1601" s="4" t="s">
        <v>1446</v>
      </c>
      <c r="BI1601" s="4" t="s">
        <v>321</v>
      </c>
      <c r="BO1601" s="4">
        <v>0.1</v>
      </c>
      <c r="BS1601" s="4">
        <v>10</v>
      </c>
      <c r="BV1601" s="4">
        <v>1440</v>
      </c>
      <c r="CB1601" s="4" t="s">
        <v>8</v>
      </c>
      <c r="CC1601" s="4">
        <v>200</v>
      </c>
      <c r="CW1601" s="4">
        <v>8.82</v>
      </c>
      <c r="DO1601" s="4">
        <v>3</v>
      </c>
      <c r="EP1601" s="4">
        <v>84.99</v>
      </c>
      <c r="EQ1601" s="1">
        <v>0.23</v>
      </c>
      <c r="ES1601" s="4">
        <v>84.99</v>
      </c>
    </row>
    <row r="1602" customHeight="1" spans="1:313">
      <c r="A1602" s="45">
        <v>55</v>
      </c>
      <c r="B1602" s="4" t="s">
        <v>1438</v>
      </c>
      <c r="C1602" s="40" t="s">
        <v>1439</v>
      </c>
      <c r="D1602" s="4" t="s">
        <v>1440</v>
      </c>
      <c r="E1602" s="4" t="s">
        <v>1441</v>
      </c>
      <c r="X1602" s="4">
        <v>0.776</v>
      </c>
      <c r="AC1602" s="4" t="s">
        <v>1442</v>
      </c>
      <c r="AD1602" s="4" t="s">
        <v>1443</v>
      </c>
      <c r="AE1602" s="4" t="s">
        <v>1444</v>
      </c>
      <c r="AF1602" s="63" t="s">
        <v>1445</v>
      </c>
      <c r="AH1602" s="4" t="s">
        <v>596</v>
      </c>
      <c r="AQ1602" s="4" t="s">
        <v>8</v>
      </c>
      <c r="AR1602" s="4">
        <v>0</v>
      </c>
      <c r="BD1602" s="4" t="s">
        <v>1446</v>
      </c>
      <c r="BI1602" s="4" t="s">
        <v>407</v>
      </c>
      <c r="BO1602" s="1">
        <v>0</v>
      </c>
      <c r="BV1602" s="1" t="s">
        <v>1447</v>
      </c>
      <c r="BW1602" s="1">
        <v>25</v>
      </c>
      <c r="BX1602" s="1">
        <v>65</v>
      </c>
      <c r="DO1602" s="4">
        <v>3</v>
      </c>
      <c r="EH1602" s="1">
        <v>8.68</v>
      </c>
    </row>
    <row r="1603" customHeight="1" spans="1:313">
      <c r="A1603" s="45">
        <v>55</v>
      </c>
      <c r="B1603" s="4" t="s">
        <v>1438</v>
      </c>
      <c r="C1603" s="40" t="s">
        <v>1439</v>
      </c>
      <c r="D1603" s="4" t="s">
        <v>1440</v>
      </c>
      <c r="E1603" s="4" t="s">
        <v>1441</v>
      </c>
      <c r="X1603" s="4">
        <v>0.776</v>
      </c>
      <c r="AC1603" s="4" t="s">
        <v>1442</v>
      </c>
      <c r="AD1603" s="4" t="s">
        <v>1443</v>
      </c>
      <c r="AE1603" s="4" t="s">
        <v>1444</v>
      </c>
      <c r="AF1603" s="63" t="s">
        <v>1445</v>
      </c>
      <c r="AH1603" s="4" t="s">
        <v>596</v>
      </c>
      <c r="AQ1603" s="4" t="s">
        <v>8</v>
      </c>
      <c r="AR1603" s="4">
        <v>0</v>
      </c>
      <c r="BD1603" s="4" t="s">
        <v>1446</v>
      </c>
      <c r="BI1603" s="4" t="s">
        <v>321</v>
      </c>
      <c r="BO1603" s="1">
        <v>0</v>
      </c>
      <c r="BV1603" s="1" t="s">
        <v>1447</v>
      </c>
      <c r="BW1603" s="1">
        <v>25</v>
      </c>
      <c r="BX1603" s="1">
        <v>65</v>
      </c>
      <c r="DO1603" s="4">
        <v>3</v>
      </c>
      <c r="EF1603" s="1">
        <v>289.58</v>
      </c>
      <c r="EH1603" s="1">
        <v>289.58</v>
      </c>
      <c r="ER1603" s="1">
        <f>(EF1603-EH1603)/EF1603*100</f>
        <v>0</v>
      </c>
      <c r="ES1603" s="1">
        <v>0</v>
      </c>
    </row>
    <row r="1604" customHeight="1" spans="1:313">
      <c r="A1604" s="45">
        <v>55</v>
      </c>
      <c r="B1604" s="4" t="s">
        <v>1438</v>
      </c>
      <c r="C1604" s="40" t="s">
        <v>1439</v>
      </c>
      <c r="D1604" s="4" t="s">
        <v>1440</v>
      </c>
      <c r="E1604" s="4" t="s">
        <v>1441</v>
      </c>
      <c r="X1604" s="4">
        <v>0.776</v>
      </c>
      <c r="AC1604" s="4" t="s">
        <v>1442</v>
      </c>
      <c r="AD1604" s="4" t="s">
        <v>1443</v>
      </c>
      <c r="AE1604" s="4" t="s">
        <v>1444</v>
      </c>
      <c r="AF1604" s="63" t="s">
        <v>1445</v>
      </c>
      <c r="AH1604" s="4" t="s">
        <v>596</v>
      </c>
      <c r="AQ1604" s="4" t="s">
        <v>8</v>
      </c>
      <c r="AR1604" s="4">
        <v>0</v>
      </c>
      <c r="BD1604" s="4" t="s">
        <v>1446</v>
      </c>
      <c r="BI1604" s="4" t="s">
        <v>321</v>
      </c>
      <c r="BO1604" s="1">
        <v>0.1</v>
      </c>
      <c r="BV1604" s="1" t="s">
        <v>1447</v>
      </c>
      <c r="BW1604" s="1">
        <v>25</v>
      </c>
      <c r="BX1604" s="1">
        <v>65</v>
      </c>
      <c r="DO1604" s="4">
        <v>3</v>
      </c>
      <c r="EF1604" s="1">
        <v>289.58</v>
      </c>
      <c r="EH1604" s="1">
        <v>55.1</v>
      </c>
      <c r="ER1604" s="1">
        <f>(EF1604-EH1604)/EF1604*100</f>
        <v>80.972442848263</v>
      </c>
      <c r="ES1604" s="1">
        <v>80.972442848263</v>
      </c>
    </row>
    <row r="1605" customHeight="1" spans="1:313">
      <c r="A1605" s="3">
        <v>56</v>
      </c>
      <c r="B1605" s="4" t="s">
        <v>1448</v>
      </c>
      <c r="C1605" s="5" t="s">
        <v>358</v>
      </c>
      <c r="D1605" s="4" t="s">
        <v>1232</v>
      </c>
      <c r="E1605" s="4" t="s">
        <v>1449</v>
      </c>
      <c r="N1605" s="4" t="s">
        <v>567</v>
      </c>
      <c r="O1605" s="4" t="s">
        <v>343</v>
      </c>
      <c r="Q1605" s="4" t="s">
        <v>540</v>
      </c>
      <c r="AC1605" s="4" t="s">
        <v>1450</v>
      </c>
      <c r="AD1605" s="4" t="s">
        <v>1451</v>
      </c>
      <c r="AE1605" s="4" t="s">
        <v>1452</v>
      </c>
      <c r="AF1605" s="4" t="s">
        <v>1453</v>
      </c>
      <c r="BI1605" s="4" t="s">
        <v>309</v>
      </c>
      <c r="BN1605" s="4">
        <v>7.5</v>
      </c>
      <c r="BS1605" s="4">
        <v>7</v>
      </c>
      <c r="BU1605" s="4">
        <v>150</v>
      </c>
      <c r="BV1605" s="4" t="s">
        <v>826</v>
      </c>
      <c r="BW1605" s="4">
        <v>25</v>
      </c>
      <c r="CB1605" s="4" t="s">
        <v>8</v>
      </c>
      <c r="CC1605" s="4">
        <v>40</v>
      </c>
      <c r="CV1605" s="4">
        <v>15</v>
      </c>
      <c r="CW1605" s="4">
        <v>8.75</v>
      </c>
      <c r="CX1605" s="4" t="s">
        <v>314</v>
      </c>
      <c r="DO1605" s="4">
        <v>3</v>
      </c>
      <c r="EP1605" s="4">
        <v>12</v>
      </c>
      <c r="ES1605" s="4">
        <v>12</v>
      </c>
      <c r="KZ1605" s="31" t="s">
        <v>8</v>
      </c>
      <c r="LA1605" s="31" t="s">
        <v>1454</v>
      </c>
    </row>
    <row r="1606" customHeight="1" spans="1:313">
      <c r="A1606" s="3">
        <v>56</v>
      </c>
      <c r="B1606" s="4" t="s">
        <v>1448</v>
      </c>
      <c r="C1606" s="5" t="s">
        <v>358</v>
      </c>
      <c r="D1606" s="4" t="s">
        <v>1232</v>
      </c>
      <c r="E1606" s="4" t="s">
        <v>1449</v>
      </c>
      <c r="N1606" s="4" t="s">
        <v>567</v>
      </c>
      <c r="O1606" s="4" t="s">
        <v>343</v>
      </c>
      <c r="Q1606" s="4" t="s">
        <v>540</v>
      </c>
      <c r="AC1606" s="4" t="s">
        <v>1450</v>
      </c>
      <c r="AD1606" s="4" t="s">
        <v>1451</v>
      </c>
      <c r="AE1606" s="4" t="s">
        <v>1452</v>
      </c>
      <c r="AF1606" s="4" t="s">
        <v>1453</v>
      </c>
      <c r="BI1606" s="4" t="s">
        <v>309</v>
      </c>
      <c r="BN1606" s="4">
        <v>2.5</v>
      </c>
      <c r="BS1606" s="4">
        <v>7</v>
      </c>
      <c r="BU1606" s="4">
        <v>150</v>
      </c>
      <c r="BW1606" s="4">
        <v>25</v>
      </c>
      <c r="CB1606" s="4" t="s">
        <v>8</v>
      </c>
      <c r="CC1606" s="4">
        <v>40</v>
      </c>
      <c r="DO1606" s="4">
        <v>3</v>
      </c>
      <c r="EP1606" s="4">
        <v>0</v>
      </c>
      <c r="ES1606" s="4">
        <v>0</v>
      </c>
    </row>
    <row r="1607" customHeight="1" spans="1:313">
      <c r="A1607" s="3">
        <v>56</v>
      </c>
      <c r="B1607" s="4" t="s">
        <v>1448</v>
      </c>
      <c r="C1607" s="5" t="s">
        <v>358</v>
      </c>
      <c r="D1607" s="4" t="s">
        <v>1232</v>
      </c>
      <c r="E1607" s="4" t="s">
        <v>1449</v>
      </c>
      <c r="N1607" s="4" t="s">
        <v>567</v>
      </c>
      <c r="O1607" s="4" t="s">
        <v>343</v>
      </c>
      <c r="Q1607" s="4" t="s">
        <v>540</v>
      </c>
      <c r="AC1607" s="4" t="s">
        <v>1450</v>
      </c>
      <c r="AD1607" s="4" t="s">
        <v>1451</v>
      </c>
      <c r="AE1607" s="4" t="s">
        <v>1452</v>
      </c>
      <c r="AF1607" s="4" t="s">
        <v>1453</v>
      </c>
      <c r="BI1607" s="4" t="s">
        <v>309</v>
      </c>
      <c r="BN1607" s="4">
        <v>5</v>
      </c>
      <c r="BS1607" s="4">
        <v>7</v>
      </c>
      <c r="BU1607" s="4">
        <v>150</v>
      </c>
      <c r="BW1607" s="4">
        <v>25</v>
      </c>
      <c r="CB1607" s="4" t="s">
        <v>8</v>
      </c>
      <c r="CC1607" s="4">
        <v>40</v>
      </c>
      <c r="DO1607" s="4">
        <v>3</v>
      </c>
      <c r="EP1607" s="4">
        <v>9.1</v>
      </c>
      <c r="ES1607" s="4">
        <v>9.1</v>
      </c>
    </row>
    <row r="1608" customHeight="1" spans="1:313">
      <c r="A1608" s="3">
        <v>56</v>
      </c>
      <c r="B1608" s="4" t="s">
        <v>1448</v>
      </c>
      <c r="C1608" s="5" t="s">
        <v>358</v>
      </c>
      <c r="D1608" s="4" t="s">
        <v>1232</v>
      </c>
      <c r="E1608" s="4" t="s">
        <v>1449</v>
      </c>
      <c r="N1608" s="4" t="s">
        <v>567</v>
      </c>
      <c r="O1608" s="4" t="s">
        <v>343</v>
      </c>
      <c r="Q1608" s="4" t="s">
        <v>540</v>
      </c>
      <c r="AC1608" s="4" t="s">
        <v>1450</v>
      </c>
      <c r="AD1608" s="4" t="s">
        <v>1451</v>
      </c>
      <c r="AE1608" s="4" t="s">
        <v>1452</v>
      </c>
      <c r="AF1608" s="4" t="s">
        <v>1453</v>
      </c>
      <c r="BI1608" s="4" t="s">
        <v>309</v>
      </c>
      <c r="BN1608" s="4">
        <v>6.25</v>
      </c>
      <c r="BS1608" s="4">
        <v>7</v>
      </c>
      <c r="BU1608" s="4">
        <v>150</v>
      </c>
      <c r="BW1608" s="4">
        <v>25</v>
      </c>
      <c r="CB1608" s="4" t="s">
        <v>8</v>
      </c>
      <c r="CC1608" s="4">
        <v>40</v>
      </c>
      <c r="DO1608" s="4">
        <v>3</v>
      </c>
      <c r="EP1608" s="4">
        <v>5.5</v>
      </c>
      <c r="ES1608" s="4">
        <v>5.5</v>
      </c>
    </row>
    <row r="1609" customHeight="1" spans="1:313">
      <c r="A1609" s="3">
        <v>56</v>
      </c>
      <c r="B1609" s="4" t="s">
        <v>1448</v>
      </c>
      <c r="C1609" s="5" t="s">
        <v>358</v>
      </c>
      <c r="D1609" s="4" t="s">
        <v>1232</v>
      </c>
      <c r="E1609" s="4" t="s">
        <v>1449</v>
      </c>
      <c r="N1609" s="4" t="s">
        <v>567</v>
      </c>
      <c r="O1609" s="4" t="s">
        <v>343</v>
      </c>
      <c r="Q1609" s="4" t="s">
        <v>540</v>
      </c>
      <c r="AC1609" s="4" t="s">
        <v>1450</v>
      </c>
      <c r="AD1609" s="4" t="s">
        <v>1451</v>
      </c>
      <c r="AE1609" s="4" t="s">
        <v>1452</v>
      </c>
      <c r="AF1609" s="4" t="s">
        <v>1453</v>
      </c>
      <c r="BI1609" s="4" t="s">
        <v>309</v>
      </c>
      <c r="BN1609" s="4">
        <v>10</v>
      </c>
      <c r="BS1609" s="4">
        <v>7</v>
      </c>
      <c r="BU1609" s="4">
        <v>150</v>
      </c>
      <c r="BW1609" s="4">
        <v>25</v>
      </c>
      <c r="CB1609" s="4" t="s">
        <v>8</v>
      </c>
      <c r="CC1609" s="4">
        <v>40</v>
      </c>
      <c r="DO1609" s="4">
        <v>3</v>
      </c>
      <c r="EP1609" s="4">
        <v>16.4</v>
      </c>
      <c r="ES1609" s="4">
        <v>16.4</v>
      </c>
    </row>
    <row r="1610" customHeight="1" spans="1:313">
      <c r="A1610" s="3">
        <v>56</v>
      </c>
      <c r="B1610" s="4" t="s">
        <v>1448</v>
      </c>
      <c r="C1610" s="5" t="s">
        <v>358</v>
      </c>
      <c r="D1610" s="4" t="s">
        <v>1232</v>
      </c>
      <c r="E1610" s="4" t="s">
        <v>1449</v>
      </c>
      <c r="N1610" s="4" t="s">
        <v>567</v>
      </c>
      <c r="O1610" s="4" t="s">
        <v>343</v>
      </c>
      <c r="Q1610" s="4" t="s">
        <v>540</v>
      </c>
      <c r="AC1610" s="4" t="s">
        <v>1450</v>
      </c>
      <c r="AD1610" s="4" t="s">
        <v>1451</v>
      </c>
      <c r="AE1610" s="4" t="s">
        <v>1452</v>
      </c>
      <c r="AF1610" s="4" t="s">
        <v>1453</v>
      </c>
      <c r="BI1610" s="4" t="s">
        <v>309</v>
      </c>
      <c r="BN1610" s="4">
        <v>10</v>
      </c>
      <c r="BS1610" s="4">
        <v>7</v>
      </c>
      <c r="BU1610" s="4">
        <v>150</v>
      </c>
      <c r="BW1610" s="4">
        <v>25</v>
      </c>
      <c r="CB1610" s="4" t="s">
        <v>8</v>
      </c>
      <c r="CC1610" s="4" t="s">
        <v>1423</v>
      </c>
      <c r="DB1610" s="4" t="s">
        <v>430</v>
      </c>
      <c r="DE1610" s="4">
        <v>0.73</v>
      </c>
      <c r="DO1610" s="4">
        <v>3</v>
      </c>
      <c r="EP1610" s="4"/>
      <c r="ES1610" s="4"/>
    </row>
    <row r="1611" customHeight="1" spans="1:313">
      <c r="A1611" s="3">
        <v>56</v>
      </c>
      <c r="B1611" s="4" t="s">
        <v>1448</v>
      </c>
      <c r="C1611" s="5" t="s">
        <v>358</v>
      </c>
      <c r="D1611" s="4" t="s">
        <v>1232</v>
      </c>
      <c r="E1611" s="4" t="s">
        <v>1449</v>
      </c>
      <c r="N1611" s="4" t="s">
        <v>567</v>
      </c>
      <c r="O1611" s="4" t="s">
        <v>343</v>
      </c>
      <c r="Q1611" s="4" t="s">
        <v>540</v>
      </c>
      <c r="AC1611" s="4" t="s">
        <v>1450</v>
      </c>
      <c r="AD1611" s="4" t="s">
        <v>1451</v>
      </c>
      <c r="AE1611" s="4" t="s">
        <v>1452</v>
      </c>
      <c r="AF1611" s="4" t="s">
        <v>1453</v>
      </c>
      <c r="BI1611" s="4" t="s">
        <v>309</v>
      </c>
      <c r="BN1611" s="4">
        <v>7.5</v>
      </c>
      <c r="BS1611" s="4">
        <v>7</v>
      </c>
      <c r="BU1611" s="4">
        <v>150</v>
      </c>
      <c r="BW1611" s="4">
        <v>25</v>
      </c>
      <c r="CB1611" s="4" t="s">
        <v>8</v>
      </c>
      <c r="CC1611" s="4">
        <v>40</v>
      </c>
      <c r="CR1611" s="4" t="s">
        <v>512</v>
      </c>
      <c r="CS1611" s="4">
        <v>0</v>
      </c>
      <c r="DO1611" s="4">
        <v>3</v>
      </c>
      <c r="EP1611" s="4">
        <v>12</v>
      </c>
      <c r="ES1611" s="4">
        <v>12</v>
      </c>
    </row>
    <row r="1612" customHeight="1" spans="1:313">
      <c r="A1612" s="3">
        <v>56</v>
      </c>
      <c r="B1612" s="4" t="s">
        <v>1448</v>
      </c>
      <c r="C1612" s="5" t="s">
        <v>358</v>
      </c>
      <c r="D1612" s="4" t="s">
        <v>1232</v>
      </c>
      <c r="E1612" s="4" t="s">
        <v>1449</v>
      </c>
      <c r="N1612" s="4" t="s">
        <v>567</v>
      </c>
      <c r="O1612" s="4" t="s">
        <v>343</v>
      </c>
      <c r="Q1612" s="4" t="s">
        <v>540</v>
      </c>
      <c r="AC1612" s="4" t="s">
        <v>1450</v>
      </c>
      <c r="AD1612" s="4" t="s">
        <v>1451</v>
      </c>
      <c r="AE1612" s="4" t="s">
        <v>1452</v>
      </c>
      <c r="AF1612" s="4" t="s">
        <v>1453</v>
      </c>
      <c r="BI1612" s="4" t="s">
        <v>309</v>
      </c>
      <c r="BN1612" s="4">
        <v>7.5</v>
      </c>
      <c r="BS1612" s="4">
        <v>7</v>
      </c>
      <c r="BU1612" s="4">
        <v>150</v>
      </c>
      <c r="BW1612" s="4">
        <v>25</v>
      </c>
      <c r="CB1612" s="4" t="s">
        <v>8</v>
      </c>
      <c r="CC1612" s="4">
        <v>40</v>
      </c>
      <c r="CR1612" s="4" t="s">
        <v>540</v>
      </c>
      <c r="CS1612" s="4">
        <v>40</v>
      </c>
      <c r="DO1612" s="4">
        <v>3</v>
      </c>
      <c r="EP1612" s="4">
        <v>8.7</v>
      </c>
      <c r="ES1612" s="4">
        <v>8.7</v>
      </c>
    </row>
    <row r="1613" customHeight="1" spans="1:313">
      <c r="A1613" s="3">
        <v>56</v>
      </c>
      <c r="B1613" s="4" t="s">
        <v>1448</v>
      </c>
      <c r="C1613" s="5" t="s">
        <v>358</v>
      </c>
      <c r="D1613" s="4" t="s">
        <v>1232</v>
      </c>
      <c r="E1613" s="4" t="s">
        <v>1449</v>
      </c>
      <c r="N1613" s="4" t="s">
        <v>567</v>
      </c>
      <c r="O1613" s="4" t="s">
        <v>343</v>
      </c>
      <c r="Q1613" s="4" t="s">
        <v>540</v>
      </c>
      <c r="AC1613" s="4" t="s">
        <v>1450</v>
      </c>
      <c r="AD1613" s="4" t="s">
        <v>1451</v>
      </c>
      <c r="AE1613" s="4" t="s">
        <v>1452</v>
      </c>
      <c r="AF1613" s="4" t="s">
        <v>1453</v>
      </c>
      <c r="BI1613" s="4" t="s">
        <v>309</v>
      </c>
      <c r="BN1613" s="4">
        <v>7.5</v>
      </c>
      <c r="BS1613" s="4">
        <v>7</v>
      </c>
      <c r="BU1613" s="4">
        <v>150</v>
      </c>
      <c r="BW1613" s="4">
        <v>25</v>
      </c>
      <c r="CB1613" s="4" t="s">
        <v>8</v>
      </c>
      <c r="CC1613" s="4">
        <v>40</v>
      </c>
      <c r="CR1613" s="4" t="s">
        <v>542</v>
      </c>
      <c r="CS1613" s="4">
        <v>40</v>
      </c>
      <c r="DO1613" s="4">
        <v>3</v>
      </c>
      <c r="EP1613" s="4">
        <v>8.7</v>
      </c>
      <c r="ES1613" s="4">
        <v>8.7</v>
      </c>
    </row>
    <row r="1614" customHeight="1" spans="1:313">
      <c r="A1614" s="3">
        <v>56</v>
      </c>
      <c r="B1614" s="4" t="s">
        <v>1448</v>
      </c>
      <c r="C1614" s="5" t="s">
        <v>358</v>
      </c>
      <c r="D1614" s="4" t="s">
        <v>1232</v>
      </c>
      <c r="E1614" s="4" t="s">
        <v>1449</v>
      </c>
      <c r="N1614" s="4" t="s">
        <v>567</v>
      </c>
      <c r="O1614" s="4" t="s">
        <v>343</v>
      </c>
      <c r="Q1614" s="4" t="s">
        <v>540</v>
      </c>
      <c r="AC1614" s="4" t="s">
        <v>1450</v>
      </c>
      <c r="AD1614" s="4" t="s">
        <v>1451</v>
      </c>
      <c r="AE1614" s="4" t="s">
        <v>1452</v>
      </c>
      <c r="AF1614" s="4" t="s">
        <v>1453</v>
      </c>
      <c r="BI1614" s="4" t="s">
        <v>309</v>
      </c>
      <c r="BN1614" s="4">
        <v>7.5</v>
      </c>
      <c r="BS1614" s="4">
        <v>7</v>
      </c>
      <c r="BU1614" s="4">
        <v>150</v>
      </c>
      <c r="BW1614" s="4">
        <v>25</v>
      </c>
      <c r="CB1614" s="4" t="s">
        <v>8</v>
      </c>
      <c r="CC1614" s="4">
        <v>40</v>
      </c>
      <c r="CR1614" s="4" t="s">
        <v>541</v>
      </c>
      <c r="CS1614" s="4">
        <v>40</v>
      </c>
      <c r="DO1614" s="4">
        <v>3</v>
      </c>
      <c r="EP1614" s="4">
        <v>9</v>
      </c>
      <c r="ES1614" s="4">
        <v>9</v>
      </c>
    </row>
    <row r="1615" customHeight="1" spans="1:313">
      <c r="A1615" s="3">
        <v>56</v>
      </c>
      <c r="B1615" s="4" t="s">
        <v>1448</v>
      </c>
      <c r="C1615" s="5" t="s">
        <v>358</v>
      </c>
      <c r="D1615" s="4" t="s">
        <v>1232</v>
      </c>
      <c r="E1615" s="4" t="s">
        <v>1449</v>
      </c>
      <c r="N1615" s="4" t="s">
        <v>567</v>
      </c>
      <c r="O1615" s="4" t="s">
        <v>343</v>
      </c>
      <c r="Q1615" s="4" t="s">
        <v>540</v>
      </c>
      <c r="AC1615" s="4" t="s">
        <v>1450</v>
      </c>
      <c r="AD1615" s="4" t="s">
        <v>1451</v>
      </c>
      <c r="AE1615" s="4" t="s">
        <v>1452</v>
      </c>
      <c r="AF1615" s="4" t="s">
        <v>1453</v>
      </c>
      <c r="BI1615" s="4" t="s">
        <v>309</v>
      </c>
      <c r="BN1615" s="4">
        <v>7.5</v>
      </c>
      <c r="BS1615" s="4">
        <v>3</v>
      </c>
      <c r="BU1615" s="4">
        <v>150</v>
      </c>
      <c r="BW1615" s="4">
        <v>25</v>
      </c>
      <c r="CB1615" s="4" t="s">
        <v>8</v>
      </c>
      <c r="CC1615" s="4">
        <v>40</v>
      </c>
      <c r="DO1615" s="4">
        <v>3</v>
      </c>
      <c r="EP1615" s="4">
        <v>15.17</v>
      </c>
      <c r="ES1615" s="4">
        <v>15.17</v>
      </c>
    </row>
    <row r="1616" customHeight="1" spans="1:313">
      <c r="A1616" s="3">
        <v>56</v>
      </c>
      <c r="B1616" s="4" t="s">
        <v>1448</v>
      </c>
      <c r="C1616" s="5" t="s">
        <v>358</v>
      </c>
      <c r="D1616" s="4" t="s">
        <v>1232</v>
      </c>
      <c r="E1616" s="4" t="s">
        <v>1449</v>
      </c>
      <c r="N1616" s="4" t="s">
        <v>567</v>
      </c>
      <c r="O1616" s="4" t="s">
        <v>343</v>
      </c>
      <c r="Q1616" s="4" t="s">
        <v>540</v>
      </c>
      <c r="AC1616" s="4" t="s">
        <v>1450</v>
      </c>
      <c r="AD1616" s="4" t="s">
        <v>1451</v>
      </c>
      <c r="AE1616" s="4" t="s">
        <v>1452</v>
      </c>
      <c r="AF1616" s="4" t="s">
        <v>1453</v>
      </c>
      <c r="BI1616" s="4" t="s">
        <v>309</v>
      </c>
      <c r="BN1616" s="4">
        <v>7.5</v>
      </c>
      <c r="BS1616" s="4">
        <v>5</v>
      </c>
      <c r="BU1616" s="4">
        <v>150</v>
      </c>
      <c r="BW1616" s="4">
        <v>25</v>
      </c>
      <c r="CB1616" s="4" t="s">
        <v>8</v>
      </c>
      <c r="CC1616" s="4">
        <v>40</v>
      </c>
      <c r="DO1616" s="4">
        <v>3</v>
      </c>
      <c r="EP1616" s="4">
        <v>18.21</v>
      </c>
      <c r="ES1616" s="4">
        <v>18.21</v>
      </c>
    </row>
    <row r="1617" customHeight="1" spans="1:149">
      <c r="A1617" s="3">
        <v>56</v>
      </c>
      <c r="B1617" s="4" t="s">
        <v>1448</v>
      </c>
      <c r="C1617" s="5" t="s">
        <v>358</v>
      </c>
      <c r="D1617" s="4" t="s">
        <v>1232</v>
      </c>
      <c r="E1617" s="4" t="s">
        <v>1449</v>
      </c>
      <c r="N1617" s="4" t="s">
        <v>567</v>
      </c>
      <c r="O1617" s="4" t="s">
        <v>343</v>
      </c>
      <c r="Q1617" s="4" t="s">
        <v>540</v>
      </c>
      <c r="AC1617" s="4" t="s">
        <v>1450</v>
      </c>
      <c r="AD1617" s="4" t="s">
        <v>1451</v>
      </c>
      <c r="AE1617" s="4" t="s">
        <v>1452</v>
      </c>
      <c r="AF1617" s="4" t="s">
        <v>1453</v>
      </c>
      <c r="BI1617" s="4" t="s">
        <v>309</v>
      </c>
      <c r="BN1617" s="4">
        <v>7.5</v>
      </c>
      <c r="BS1617" s="4">
        <v>7</v>
      </c>
      <c r="BU1617" s="4">
        <v>150</v>
      </c>
      <c r="BW1617" s="4">
        <v>25</v>
      </c>
      <c r="CB1617" s="4" t="s">
        <v>8</v>
      </c>
      <c r="CC1617" s="4">
        <v>40</v>
      </c>
      <c r="DO1617" s="4">
        <v>3</v>
      </c>
      <c r="EP1617" s="4">
        <v>12.29</v>
      </c>
      <c r="ES1617" s="4">
        <v>12.29</v>
      </c>
    </row>
    <row r="1618" customHeight="1" spans="1:149">
      <c r="A1618" s="3">
        <v>56</v>
      </c>
      <c r="B1618" s="4" t="s">
        <v>1448</v>
      </c>
      <c r="C1618" s="5" t="s">
        <v>358</v>
      </c>
      <c r="D1618" s="4" t="s">
        <v>1232</v>
      </c>
      <c r="E1618" s="4" t="s">
        <v>1449</v>
      </c>
      <c r="N1618" s="4" t="s">
        <v>567</v>
      </c>
      <c r="O1618" s="4" t="s">
        <v>343</v>
      </c>
      <c r="Q1618" s="4" t="s">
        <v>540</v>
      </c>
      <c r="AC1618" s="4" t="s">
        <v>1450</v>
      </c>
      <c r="AD1618" s="4" t="s">
        <v>1451</v>
      </c>
      <c r="AE1618" s="4" t="s">
        <v>1452</v>
      </c>
      <c r="AF1618" s="4" t="s">
        <v>1453</v>
      </c>
      <c r="BI1618" s="4" t="s">
        <v>309</v>
      </c>
      <c r="BN1618" s="4">
        <v>7.5</v>
      </c>
      <c r="BS1618" s="4">
        <v>10</v>
      </c>
      <c r="BU1618" s="4">
        <v>150</v>
      </c>
      <c r="BW1618" s="4">
        <v>25</v>
      </c>
      <c r="CB1618" s="4" t="s">
        <v>8</v>
      </c>
      <c r="CC1618" s="4">
        <v>40</v>
      </c>
      <c r="DO1618" s="4">
        <v>3</v>
      </c>
      <c r="EP1618" s="4">
        <v>9.41</v>
      </c>
      <c r="ES1618" s="4">
        <v>9.41</v>
      </c>
    </row>
    <row r="1619" customHeight="1" spans="1:149">
      <c r="A1619" s="3">
        <v>56</v>
      </c>
      <c r="B1619" s="4" t="s">
        <v>1448</v>
      </c>
      <c r="C1619" s="5" t="s">
        <v>358</v>
      </c>
      <c r="D1619" s="4" t="s">
        <v>1232</v>
      </c>
      <c r="E1619" s="4" t="s">
        <v>1449</v>
      </c>
      <c r="N1619" s="4" t="s">
        <v>567</v>
      </c>
      <c r="O1619" s="4" t="s">
        <v>343</v>
      </c>
      <c r="Q1619" s="4" t="s">
        <v>540</v>
      </c>
      <c r="AC1619" s="4" t="s">
        <v>1450</v>
      </c>
      <c r="AD1619" s="4" t="s">
        <v>1451</v>
      </c>
      <c r="AE1619" s="4" t="s">
        <v>1452</v>
      </c>
      <c r="AF1619" s="4" t="s">
        <v>1453</v>
      </c>
      <c r="AH1619" s="4" t="s">
        <v>596</v>
      </c>
      <c r="AI1619" s="4" t="s">
        <v>1455</v>
      </c>
      <c r="BD1619" s="4" t="s">
        <v>1456</v>
      </c>
      <c r="BI1619" s="4" t="s">
        <v>321</v>
      </c>
      <c r="BL1619" s="4">
        <v>1</v>
      </c>
      <c r="BM1619" s="4">
        <v>0.01</v>
      </c>
      <c r="BN1619" s="4">
        <v>2</v>
      </c>
      <c r="BS1619" s="4">
        <v>6.21</v>
      </c>
      <c r="BV1619" s="4">
        <v>90</v>
      </c>
      <c r="CB1619" s="4" t="s">
        <v>8</v>
      </c>
      <c r="CD1619" s="4">
        <v>200</v>
      </c>
      <c r="DO1619" s="4">
        <v>3</v>
      </c>
      <c r="EL1619" s="4">
        <v>0.98</v>
      </c>
      <c r="EP1619" s="4"/>
      <c r="ER1619" s="1">
        <f>EL1619/CD1619*100</f>
        <v>0.49</v>
      </c>
      <c r="ES1619" s="4">
        <v>0.49</v>
      </c>
    </row>
    <row r="1620" customHeight="1" spans="1:149">
      <c r="A1620" s="3">
        <v>56</v>
      </c>
      <c r="B1620" s="4" t="s">
        <v>1448</v>
      </c>
      <c r="C1620" s="5" t="s">
        <v>358</v>
      </c>
      <c r="D1620" s="4" t="s">
        <v>1232</v>
      </c>
      <c r="E1620" s="4" t="s">
        <v>1449</v>
      </c>
      <c r="N1620" s="4" t="s">
        <v>567</v>
      </c>
      <c r="O1620" s="4" t="s">
        <v>343</v>
      </c>
      <c r="Q1620" s="4" t="s">
        <v>540</v>
      </c>
      <c r="AC1620" s="4" t="s">
        <v>1450</v>
      </c>
      <c r="AD1620" s="4" t="s">
        <v>1451</v>
      </c>
      <c r="AE1620" s="4" t="s">
        <v>1452</v>
      </c>
      <c r="AF1620" s="4" t="s">
        <v>1453</v>
      </c>
      <c r="AH1620" s="4" t="s">
        <v>596</v>
      </c>
      <c r="AI1620" s="4" t="s">
        <v>1455</v>
      </c>
      <c r="BD1620" s="4" t="s">
        <v>1456</v>
      </c>
      <c r="BI1620" s="4" t="s">
        <v>321</v>
      </c>
      <c r="BL1620" s="4">
        <v>1</v>
      </c>
      <c r="BM1620" s="4">
        <v>0.01</v>
      </c>
      <c r="BN1620" s="4">
        <v>2</v>
      </c>
      <c r="BS1620" s="4">
        <v>6.21</v>
      </c>
      <c r="BV1620" s="4">
        <v>90</v>
      </c>
      <c r="CB1620" s="4" t="s">
        <v>8</v>
      </c>
      <c r="CD1620" s="4">
        <v>400</v>
      </c>
      <c r="DO1620" s="4">
        <v>3</v>
      </c>
      <c r="EL1620" s="4">
        <v>1.35</v>
      </c>
      <c r="EP1620" s="4"/>
      <c r="ER1620" s="1">
        <f>EL1620/CD1620*100</f>
        <v>0.3375</v>
      </c>
      <c r="ES1620" s="4">
        <v>0.3375</v>
      </c>
    </row>
    <row r="1621" customHeight="1" spans="1:149">
      <c r="A1621" s="3">
        <v>56</v>
      </c>
      <c r="B1621" s="4" t="s">
        <v>1448</v>
      </c>
      <c r="C1621" s="5" t="s">
        <v>358</v>
      </c>
      <c r="D1621" s="4" t="s">
        <v>1232</v>
      </c>
      <c r="E1621" s="4" t="s">
        <v>1449</v>
      </c>
      <c r="N1621" s="4" t="s">
        <v>567</v>
      </c>
      <c r="O1621" s="4" t="s">
        <v>343</v>
      </c>
      <c r="Q1621" s="4" t="s">
        <v>540</v>
      </c>
      <c r="AC1621" s="4" t="s">
        <v>1450</v>
      </c>
      <c r="AD1621" s="4" t="s">
        <v>1451</v>
      </c>
      <c r="AE1621" s="4" t="s">
        <v>1452</v>
      </c>
      <c r="AF1621" s="4" t="s">
        <v>1453</v>
      </c>
      <c r="AH1621" s="4" t="s">
        <v>596</v>
      </c>
      <c r="AI1621" s="4" t="s">
        <v>1455</v>
      </c>
      <c r="BD1621" s="4" t="s">
        <v>1456</v>
      </c>
      <c r="BI1621" s="4" t="s">
        <v>321</v>
      </c>
      <c r="BL1621" s="4">
        <v>1</v>
      </c>
      <c r="BM1621" s="4">
        <v>0.01</v>
      </c>
      <c r="BN1621" s="4">
        <v>2</v>
      </c>
      <c r="BS1621" s="4">
        <v>6.21</v>
      </c>
      <c r="BV1621" s="4">
        <v>90</v>
      </c>
      <c r="CB1621" s="4" t="s">
        <v>8</v>
      </c>
      <c r="CD1621" s="4">
        <v>600</v>
      </c>
      <c r="DO1621" s="4">
        <v>3</v>
      </c>
      <c r="EL1621" s="4">
        <v>1.54</v>
      </c>
      <c r="EP1621" s="4"/>
      <c r="ER1621" s="1">
        <f>EL1621/CD1621*100</f>
        <v>0.256666666666667</v>
      </c>
      <c r="ES1621" s="4">
        <v>0.256666666666667</v>
      </c>
    </row>
    <row r="1622" customHeight="1" spans="1:149">
      <c r="A1622" s="3">
        <v>56</v>
      </c>
      <c r="B1622" s="4" t="s">
        <v>1448</v>
      </c>
      <c r="C1622" s="5" t="s">
        <v>358</v>
      </c>
      <c r="D1622" s="4" t="s">
        <v>1232</v>
      </c>
      <c r="E1622" s="4" t="s">
        <v>1449</v>
      </c>
      <c r="N1622" s="4" t="s">
        <v>567</v>
      </c>
      <c r="O1622" s="4" t="s">
        <v>343</v>
      </c>
      <c r="Q1622" s="4" t="s">
        <v>540</v>
      </c>
      <c r="AC1622" s="4" t="s">
        <v>1450</v>
      </c>
      <c r="AD1622" s="4" t="s">
        <v>1451</v>
      </c>
      <c r="AE1622" s="4" t="s">
        <v>1452</v>
      </c>
      <c r="AF1622" s="4" t="s">
        <v>1453</v>
      </c>
      <c r="AH1622" s="4" t="s">
        <v>596</v>
      </c>
      <c r="AI1622" s="4" t="s">
        <v>1455</v>
      </c>
      <c r="BD1622" s="4" t="s">
        <v>1456</v>
      </c>
      <c r="BI1622" s="4" t="s">
        <v>321</v>
      </c>
      <c r="BL1622" s="4">
        <v>1</v>
      </c>
      <c r="BM1622" s="4">
        <v>0.01</v>
      </c>
      <c r="BN1622" s="4">
        <v>2</v>
      </c>
      <c r="BS1622" s="4">
        <v>6.21</v>
      </c>
      <c r="BV1622" s="4">
        <v>90</v>
      </c>
      <c r="CB1622" s="4" t="s">
        <v>8</v>
      </c>
      <c r="CD1622" s="4">
        <v>1000</v>
      </c>
      <c r="DO1622" s="4">
        <v>3</v>
      </c>
      <c r="EL1622" s="4">
        <v>1.54</v>
      </c>
      <c r="EP1622" s="4"/>
      <c r="ER1622" s="1">
        <f>EL1622/CD1622*100</f>
        <v>0.154</v>
      </c>
      <c r="ES1622" s="4">
        <v>0.154</v>
      </c>
    </row>
    <row r="1623" customHeight="1" spans="1:149">
      <c r="A1623" s="3">
        <v>56</v>
      </c>
      <c r="B1623" s="4" t="s">
        <v>1448</v>
      </c>
      <c r="C1623" s="5" t="s">
        <v>358</v>
      </c>
      <c r="D1623" s="4" t="s">
        <v>1232</v>
      </c>
      <c r="E1623" s="4" t="s">
        <v>1449</v>
      </c>
      <c r="N1623" s="4" t="s">
        <v>567</v>
      </c>
      <c r="O1623" s="4" t="s">
        <v>343</v>
      </c>
      <c r="Q1623" s="4" t="s">
        <v>540</v>
      </c>
      <c r="AC1623" s="4" t="s">
        <v>1450</v>
      </c>
      <c r="AD1623" s="4" t="s">
        <v>1451</v>
      </c>
      <c r="AE1623" s="4" t="s">
        <v>1452</v>
      </c>
      <c r="AF1623" s="4" t="s">
        <v>1453</v>
      </c>
      <c r="AH1623" s="4" t="s">
        <v>596</v>
      </c>
      <c r="AI1623" s="4" t="s">
        <v>1455</v>
      </c>
      <c r="BD1623" s="4" t="s">
        <v>1456</v>
      </c>
      <c r="BI1623" s="4" t="s">
        <v>321</v>
      </c>
      <c r="BL1623" s="4">
        <v>1</v>
      </c>
      <c r="BM1623" s="4">
        <v>0.05</v>
      </c>
      <c r="BS1623" s="4">
        <v>6.21</v>
      </c>
      <c r="BV1623" s="4" t="s">
        <v>1457</v>
      </c>
      <c r="CB1623" s="4" t="s">
        <v>8</v>
      </c>
      <c r="CD1623" s="4">
        <v>1000</v>
      </c>
      <c r="CV1623" s="4">
        <v>10</v>
      </c>
      <c r="DM1623" s="4">
        <v>90</v>
      </c>
      <c r="DO1623" s="4">
        <v>3</v>
      </c>
      <c r="EH1623" s="4">
        <v>100</v>
      </c>
      <c r="EP1623" s="4"/>
      <c r="ER1623" s="1">
        <f>(CD1623-EH1623)/CD1623*100</f>
        <v>90</v>
      </c>
      <c r="ES1623" s="4">
        <v>90</v>
      </c>
    </row>
    <row r="1624" customHeight="1" spans="1:149">
      <c r="A1624" s="3">
        <v>56</v>
      </c>
      <c r="B1624" s="4" t="s">
        <v>1448</v>
      </c>
      <c r="C1624" s="5" t="s">
        <v>358</v>
      </c>
      <c r="D1624" s="4" t="s">
        <v>1232</v>
      </c>
      <c r="E1624" s="4" t="s">
        <v>1449</v>
      </c>
      <c r="N1624" s="4" t="s">
        <v>567</v>
      </c>
      <c r="O1624" s="4" t="s">
        <v>343</v>
      </c>
      <c r="Q1624" s="4" t="s">
        <v>540</v>
      </c>
      <c r="AC1624" s="4" t="s">
        <v>1450</v>
      </c>
      <c r="AD1624" s="4" t="s">
        <v>1451</v>
      </c>
      <c r="AE1624" s="4" t="s">
        <v>1452</v>
      </c>
      <c r="AF1624" s="4" t="s">
        <v>1453</v>
      </c>
      <c r="AH1624" s="4" t="s">
        <v>596</v>
      </c>
      <c r="AI1624" s="4" t="s">
        <v>1455</v>
      </c>
      <c r="DO1624" s="4">
        <v>3</v>
      </c>
      <c r="EP1624" s="4"/>
      <c r="ES1624" s="4"/>
    </row>
    <row r="1625" customHeight="1" spans="1:149">
      <c r="A1625" s="3">
        <v>56</v>
      </c>
      <c r="B1625" s="4" t="s">
        <v>1448</v>
      </c>
      <c r="C1625" s="5" t="s">
        <v>358</v>
      </c>
      <c r="D1625" s="4" t="s">
        <v>1232</v>
      </c>
      <c r="E1625" s="4" t="s">
        <v>1449</v>
      </c>
      <c r="N1625" s="4" t="s">
        <v>567</v>
      </c>
      <c r="O1625" s="4" t="s">
        <v>343</v>
      </c>
      <c r="Q1625" s="4" t="s">
        <v>540</v>
      </c>
      <c r="AC1625" s="4" t="s">
        <v>1450</v>
      </c>
      <c r="AD1625" s="4" t="s">
        <v>1451</v>
      </c>
      <c r="AE1625" s="4" t="s">
        <v>1452</v>
      </c>
      <c r="AF1625" s="4" t="s">
        <v>1453</v>
      </c>
      <c r="AH1625" s="4" t="s">
        <v>596</v>
      </c>
      <c r="AI1625" s="4" t="s">
        <v>1455</v>
      </c>
      <c r="DO1625" s="4">
        <v>3</v>
      </c>
      <c r="EP1625" s="4"/>
      <c r="ES1625" s="4"/>
    </row>
    <row r="1626" customHeight="1" spans="1:149">
      <c r="A1626" s="3">
        <v>56</v>
      </c>
      <c r="B1626" s="4" t="s">
        <v>1448</v>
      </c>
      <c r="C1626" s="5" t="s">
        <v>358</v>
      </c>
      <c r="D1626" s="4" t="s">
        <v>1232</v>
      </c>
      <c r="E1626" s="4" t="s">
        <v>1449</v>
      </c>
      <c r="N1626" s="4" t="s">
        <v>567</v>
      </c>
      <c r="O1626" s="4" t="s">
        <v>343</v>
      </c>
      <c r="Q1626" s="4" t="s">
        <v>540</v>
      </c>
      <c r="AC1626" s="4" t="s">
        <v>1450</v>
      </c>
      <c r="AD1626" s="4" t="s">
        <v>1451</v>
      </c>
      <c r="AE1626" s="4" t="s">
        <v>1452</v>
      </c>
      <c r="AF1626" s="4" t="s">
        <v>1453</v>
      </c>
      <c r="AH1626" s="4" t="s">
        <v>596</v>
      </c>
      <c r="AI1626" s="4" t="s">
        <v>1455</v>
      </c>
      <c r="DO1626" s="4">
        <v>3</v>
      </c>
      <c r="EP1626" s="4"/>
      <c r="ES1626" s="4"/>
    </row>
    <row r="1627" customHeight="1" spans="1:149">
      <c r="A1627" s="3">
        <v>56</v>
      </c>
      <c r="B1627" s="4" t="s">
        <v>1448</v>
      </c>
      <c r="C1627" s="5" t="s">
        <v>1458</v>
      </c>
      <c r="D1627" s="4" t="s">
        <v>1459</v>
      </c>
      <c r="E1627" s="4" t="s">
        <v>1460</v>
      </c>
      <c r="F1627" s="4" t="s">
        <v>328</v>
      </c>
      <c r="G1627" s="4" t="s">
        <v>1461</v>
      </c>
      <c r="N1627" s="4" t="s">
        <v>567</v>
      </c>
      <c r="O1627" s="4" t="s">
        <v>343</v>
      </c>
      <c r="Q1627" s="4" t="s">
        <v>540</v>
      </c>
      <c r="AC1627" s="4" t="s">
        <v>1462</v>
      </c>
      <c r="AD1627" s="4" t="s">
        <v>1461</v>
      </c>
      <c r="AE1627" s="4" t="s">
        <v>1463</v>
      </c>
      <c r="AF1627" s="4" t="s">
        <v>1464</v>
      </c>
      <c r="BI1627" s="4" t="s">
        <v>309</v>
      </c>
      <c r="BN1627" s="4">
        <v>7.5</v>
      </c>
      <c r="BS1627" s="4">
        <v>7</v>
      </c>
      <c r="BU1627" s="4">
        <v>150</v>
      </c>
      <c r="BV1627" s="4" t="s">
        <v>826</v>
      </c>
      <c r="BW1627" s="4">
        <v>25</v>
      </c>
      <c r="CB1627" s="4" t="s">
        <v>8</v>
      </c>
      <c r="CC1627" s="4">
        <v>40</v>
      </c>
      <c r="CV1627" s="4">
        <v>15</v>
      </c>
      <c r="CW1627" s="4">
        <v>8.26</v>
      </c>
      <c r="CX1627" s="4" t="s">
        <v>314</v>
      </c>
      <c r="DO1627" s="4">
        <v>3</v>
      </c>
      <c r="EP1627" s="4">
        <v>77</v>
      </c>
      <c r="ES1627" s="4">
        <v>77</v>
      </c>
    </row>
    <row r="1628" customHeight="1" spans="1:149">
      <c r="A1628" s="3">
        <v>56</v>
      </c>
      <c r="B1628" s="4" t="s">
        <v>1448</v>
      </c>
      <c r="C1628" s="5" t="s">
        <v>1458</v>
      </c>
      <c r="D1628" s="4" t="s">
        <v>1459</v>
      </c>
      <c r="E1628" s="4" t="s">
        <v>1460</v>
      </c>
      <c r="F1628" s="4" t="s">
        <v>328</v>
      </c>
      <c r="G1628" s="4" t="s">
        <v>1461</v>
      </c>
      <c r="N1628" s="4" t="s">
        <v>567</v>
      </c>
      <c r="O1628" s="4" t="s">
        <v>343</v>
      </c>
      <c r="Q1628" s="4" t="s">
        <v>540</v>
      </c>
      <c r="AC1628" s="4" t="s">
        <v>1462</v>
      </c>
      <c r="AD1628" s="4" t="s">
        <v>1461</v>
      </c>
      <c r="AE1628" s="4" t="s">
        <v>1463</v>
      </c>
      <c r="AF1628" s="4" t="s">
        <v>1464</v>
      </c>
      <c r="BI1628" s="4" t="s">
        <v>309</v>
      </c>
      <c r="BN1628" s="4">
        <v>2.5</v>
      </c>
      <c r="BS1628" s="4">
        <v>7</v>
      </c>
      <c r="BU1628" s="4">
        <v>150</v>
      </c>
      <c r="BW1628" s="4">
        <v>25</v>
      </c>
      <c r="CB1628" s="4" t="s">
        <v>8</v>
      </c>
      <c r="CC1628" s="4">
        <v>40</v>
      </c>
      <c r="DO1628" s="4">
        <v>3</v>
      </c>
      <c r="EP1628" s="4">
        <v>10.5</v>
      </c>
      <c r="ES1628" s="4">
        <v>10.5</v>
      </c>
    </row>
    <row r="1629" customHeight="1" spans="1:149">
      <c r="A1629" s="3">
        <v>56</v>
      </c>
      <c r="B1629" s="4" t="s">
        <v>1448</v>
      </c>
      <c r="C1629" s="5" t="s">
        <v>1458</v>
      </c>
      <c r="D1629" s="4" t="s">
        <v>1459</v>
      </c>
      <c r="E1629" s="4" t="s">
        <v>1460</v>
      </c>
      <c r="F1629" s="4" t="s">
        <v>328</v>
      </c>
      <c r="G1629" s="4" t="s">
        <v>1461</v>
      </c>
      <c r="N1629" s="4" t="s">
        <v>567</v>
      </c>
      <c r="O1629" s="4" t="s">
        <v>343</v>
      </c>
      <c r="Q1629" s="4" t="s">
        <v>540</v>
      </c>
      <c r="AC1629" s="4" t="s">
        <v>1462</v>
      </c>
      <c r="AD1629" s="4" t="s">
        <v>1461</v>
      </c>
      <c r="AE1629" s="4" t="s">
        <v>1463</v>
      </c>
      <c r="AF1629" s="4" t="s">
        <v>1464</v>
      </c>
      <c r="BI1629" s="4" t="s">
        <v>309</v>
      </c>
      <c r="BN1629" s="4">
        <v>5</v>
      </c>
      <c r="BS1629" s="4">
        <v>7</v>
      </c>
      <c r="BU1629" s="4">
        <v>150</v>
      </c>
      <c r="BW1629" s="4">
        <v>25</v>
      </c>
      <c r="CB1629" s="4" t="s">
        <v>8</v>
      </c>
      <c r="CC1629" s="4">
        <v>40</v>
      </c>
      <c r="DO1629" s="4">
        <v>3</v>
      </c>
      <c r="EP1629" s="4">
        <v>25.3</v>
      </c>
      <c r="ES1629" s="4">
        <v>25.3</v>
      </c>
    </row>
    <row r="1630" customHeight="1" spans="1:149">
      <c r="A1630" s="3">
        <v>56</v>
      </c>
      <c r="B1630" s="4" t="s">
        <v>1448</v>
      </c>
      <c r="C1630" s="5" t="s">
        <v>1458</v>
      </c>
      <c r="D1630" s="4" t="s">
        <v>1459</v>
      </c>
      <c r="E1630" s="4" t="s">
        <v>1460</v>
      </c>
      <c r="F1630" s="4" t="s">
        <v>328</v>
      </c>
      <c r="G1630" s="4" t="s">
        <v>1461</v>
      </c>
      <c r="N1630" s="4" t="s">
        <v>567</v>
      </c>
      <c r="O1630" s="4" t="s">
        <v>343</v>
      </c>
      <c r="Q1630" s="4" t="s">
        <v>540</v>
      </c>
      <c r="AC1630" s="4" t="s">
        <v>1462</v>
      </c>
      <c r="AD1630" s="4" t="s">
        <v>1461</v>
      </c>
      <c r="AE1630" s="4" t="s">
        <v>1463</v>
      </c>
      <c r="AF1630" s="4" t="s">
        <v>1464</v>
      </c>
      <c r="BI1630" s="4" t="s">
        <v>309</v>
      </c>
      <c r="BN1630" s="4">
        <v>6.25</v>
      </c>
      <c r="BS1630" s="4">
        <v>7</v>
      </c>
      <c r="BU1630" s="4">
        <v>150</v>
      </c>
      <c r="BW1630" s="4">
        <v>25</v>
      </c>
      <c r="CB1630" s="4" t="s">
        <v>8</v>
      </c>
      <c r="CC1630" s="4">
        <v>40</v>
      </c>
      <c r="DO1630" s="4">
        <v>3</v>
      </c>
      <c r="EP1630" s="4">
        <v>32.7</v>
      </c>
      <c r="ES1630" s="4">
        <v>32.7</v>
      </c>
    </row>
    <row r="1631" customHeight="1" spans="1:149">
      <c r="A1631" s="3">
        <v>56</v>
      </c>
      <c r="B1631" s="4" t="s">
        <v>1448</v>
      </c>
      <c r="C1631" s="5" t="s">
        <v>1458</v>
      </c>
      <c r="D1631" s="4" t="s">
        <v>1459</v>
      </c>
      <c r="E1631" s="4" t="s">
        <v>1460</v>
      </c>
      <c r="F1631" s="4" t="s">
        <v>328</v>
      </c>
      <c r="G1631" s="4" t="s">
        <v>1461</v>
      </c>
      <c r="N1631" s="4" t="s">
        <v>567</v>
      </c>
      <c r="O1631" s="4" t="s">
        <v>343</v>
      </c>
      <c r="Q1631" s="4" t="s">
        <v>540</v>
      </c>
      <c r="AC1631" s="4" t="s">
        <v>1462</v>
      </c>
      <c r="AD1631" s="4" t="s">
        <v>1461</v>
      </c>
      <c r="AE1631" s="4" t="s">
        <v>1463</v>
      </c>
      <c r="AF1631" s="4" t="s">
        <v>1464</v>
      </c>
      <c r="BI1631" s="4" t="s">
        <v>309</v>
      </c>
      <c r="BN1631" s="4">
        <v>10</v>
      </c>
      <c r="BS1631" s="4">
        <v>7</v>
      </c>
      <c r="BU1631" s="4">
        <v>150</v>
      </c>
      <c r="BW1631" s="4">
        <v>25</v>
      </c>
      <c r="CB1631" s="4" t="s">
        <v>8</v>
      </c>
      <c r="CC1631" s="4">
        <v>40</v>
      </c>
      <c r="DO1631" s="4">
        <v>3</v>
      </c>
      <c r="EP1631" s="4">
        <v>48.6</v>
      </c>
      <c r="ES1631" s="4">
        <v>48.6</v>
      </c>
    </row>
    <row r="1632" customHeight="1" spans="1:149">
      <c r="A1632" s="3">
        <v>56</v>
      </c>
      <c r="B1632" s="4" t="s">
        <v>1448</v>
      </c>
      <c r="C1632" s="5" t="s">
        <v>1458</v>
      </c>
      <c r="D1632" s="4" t="s">
        <v>1459</v>
      </c>
      <c r="E1632" s="4" t="s">
        <v>1460</v>
      </c>
      <c r="F1632" s="4" t="s">
        <v>328</v>
      </c>
      <c r="G1632" s="4" t="s">
        <v>1461</v>
      </c>
      <c r="N1632" s="4" t="s">
        <v>567</v>
      </c>
      <c r="O1632" s="4" t="s">
        <v>343</v>
      </c>
      <c r="Q1632" s="4" t="s">
        <v>540</v>
      </c>
      <c r="AC1632" s="4" t="s">
        <v>1462</v>
      </c>
      <c r="AD1632" s="4" t="s">
        <v>1461</v>
      </c>
      <c r="AE1632" s="4" t="s">
        <v>1463</v>
      </c>
      <c r="AF1632" s="4" t="s">
        <v>1464</v>
      </c>
      <c r="BI1632" s="4" t="s">
        <v>309</v>
      </c>
      <c r="BN1632" s="4">
        <v>10</v>
      </c>
      <c r="BS1632" s="4">
        <v>7</v>
      </c>
      <c r="BU1632" s="4">
        <v>150</v>
      </c>
      <c r="BW1632" s="4">
        <v>25</v>
      </c>
      <c r="CB1632" s="4" t="s">
        <v>8</v>
      </c>
      <c r="CC1632" s="4" t="s">
        <v>1423</v>
      </c>
      <c r="DB1632" s="4" t="s">
        <v>430</v>
      </c>
      <c r="DE1632" s="4">
        <v>2.8</v>
      </c>
      <c r="DO1632" s="4">
        <v>3</v>
      </c>
      <c r="EP1632" s="4"/>
      <c r="ES1632" s="4"/>
    </row>
    <row r="1633" customHeight="1" spans="1:149">
      <c r="A1633" s="3">
        <v>56</v>
      </c>
      <c r="B1633" s="4" t="s">
        <v>1448</v>
      </c>
      <c r="C1633" s="5" t="s">
        <v>1458</v>
      </c>
      <c r="D1633" s="4" t="s">
        <v>1459</v>
      </c>
      <c r="E1633" s="4" t="s">
        <v>1460</v>
      </c>
      <c r="F1633" s="4" t="s">
        <v>328</v>
      </c>
      <c r="G1633" s="4" t="s">
        <v>1461</v>
      </c>
      <c r="N1633" s="4" t="s">
        <v>567</v>
      </c>
      <c r="O1633" s="4" t="s">
        <v>343</v>
      </c>
      <c r="Q1633" s="4" t="s">
        <v>540</v>
      </c>
      <c r="AC1633" s="4" t="s">
        <v>1462</v>
      </c>
      <c r="AD1633" s="4" t="s">
        <v>1461</v>
      </c>
      <c r="AE1633" s="4" t="s">
        <v>1463</v>
      </c>
      <c r="AF1633" s="4" t="s">
        <v>1464</v>
      </c>
      <c r="BI1633" s="4" t="s">
        <v>309</v>
      </c>
      <c r="BN1633" s="4">
        <v>7.5</v>
      </c>
      <c r="BS1633" s="4">
        <v>7</v>
      </c>
      <c r="BU1633" s="4">
        <v>150</v>
      </c>
      <c r="BW1633" s="4">
        <v>25</v>
      </c>
      <c r="CB1633" s="4" t="s">
        <v>8</v>
      </c>
      <c r="CC1633" s="4">
        <v>40</v>
      </c>
      <c r="CR1633" s="4" t="s">
        <v>512</v>
      </c>
      <c r="CS1633" s="4">
        <v>0</v>
      </c>
      <c r="DO1633" s="4">
        <v>3</v>
      </c>
      <c r="EP1633" s="4">
        <v>53.3</v>
      </c>
      <c r="ES1633" s="4">
        <v>53.3</v>
      </c>
    </row>
    <row r="1634" customHeight="1" spans="1:149">
      <c r="A1634" s="3">
        <v>56</v>
      </c>
      <c r="B1634" s="4" t="s">
        <v>1448</v>
      </c>
      <c r="C1634" s="5" t="s">
        <v>1458</v>
      </c>
      <c r="D1634" s="4" t="s">
        <v>1459</v>
      </c>
      <c r="E1634" s="4" t="s">
        <v>1460</v>
      </c>
      <c r="F1634" s="4" t="s">
        <v>328</v>
      </c>
      <c r="G1634" s="4" t="s">
        <v>1461</v>
      </c>
      <c r="N1634" s="4" t="s">
        <v>567</v>
      </c>
      <c r="O1634" s="4" t="s">
        <v>343</v>
      </c>
      <c r="Q1634" s="4" t="s">
        <v>540</v>
      </c>
      <c r="AC1634" s="4" t="s">
        <v>1462</v>
      </c>
      <c r="AD1634" s="4" t="s">
        <v>1461</v>
      </c>
      <c r="AE1634" s="4" t="s">
        <v>1463</v>
      </c>
      <c r="AF1634" s="4" t="s">
        <v>1464</v>
      </c>
      <c r="BI1634" s="4" t="s">
        <v>309</v>
      </c>
      <c r="BN1634" s="4">
        <v>7.5</v>
      </c>
      <c r="BS1634" s="4">
        <v>7</v>
      </c>
      <c r="BU1634" s="4">
        <v>150</v>
      </c>
      <c r="BW1634" s="4">
        <v>25</v>
      </c>
      <c r="CB1634" s="4" t="s">
        <v>8</v>
      </c>
      <c r="CC1634" s="4">
        <v>40</v>
      </c>
      <c r="CR1634" s="4" t="s">
        <v>540</v>
      </c>
      <c r="CS1634" s="4">
        <v>40</v>
      </c>
      <c r="DO1634" s="4">
        <v>3</v>
      </c>
      <c r="EP1634" s="4">
        <v>67.1</v>
      </c>
      <c r="ES1634" s="4">
        <v>67.1</v>
      </c>
    </row>
    <row r="1635" customHeight="1" spans="1:149">
      <c r="A1635" s="3">
        <v>56</v>
      </c>
      <c r="B1635" s="4" t="s">
        <v>1448</v>
      </c>
      <c r="C1635" s="5" t="s">
        <v>1458</v>
      </c>
      <c r="D1635" s="4" t="s">
        <v>1459</v>
      </c>
      <c r="E1635" s="4" t="s">
        <v>1460</v>
      </c>
      <c r="F1635" s="4" t="s">
        <v>328</v>
      </c>
      <c r="G1635" s="4" t="s">
        <v>1461</v>
      </c>
      <c r="N1635" s="4" t="s">
        <v>567</v>
      </c>
      <c r="O1635" s="4" t="s">
        <v>343</v>
      </c>
      <c r="Q1635" s="4" t="s">
        <v>540</v>
      </c>
      <c r="AC1635" s="4" t="s">
        <v>1462</v>
      </c>
      <c r="AD1635" s="4" t="s">
        <v>1461</v>
      </c>
      <c r="AE1635" s="4" t="s">
        <v>1463</v>
      </c>
      <c r="AF1635" s="4" t="s">
        <v>1464</v>
      </c>
      <c r="BI1635" s="4" t="s">
        <v>309</v>
      </c>
      <c r="BN1635" s="4">
        <v>7.5</v>
      </c>
      <c r="BS1635" s="4">
        <v>7</v>
      </c>
      <c r="BU1635" s="4">
        <v>150</v>
      </c>
      <c r="BW1635" s="4">
        <v>25</v>
      </c>
      <c r="CB1635" s="4" t="s">
        <v>8</v>
      </c>
      <c r="CC1635" s="4">
        <v>40</v>
      </c>
      <c r="CR1635" s="4" t="s">
        <v>542</v>
      </c>
      <c r="CS1635" s="4">
        <v>40</v>
      </c>
      <c r="DO1635" s="4">
        <v>3</v>
      </c>
      <c r="EP1635" s="4">
        <v>62.7</v>
      </c>
      <c r="ES1635" s="4">
        <v>62.7</v>
      </c>
    </row>
    <row r="1636" customHeight="1" spans="1:149">
      <c r="A1636" s="3">
        <v>56</v>
      </c>
      <c r="B1636" s="4" t="s">
        <v>1448</v>
      </c>
      <c r="C1636" s="5" t="s">
        <v>1458</v>
      </c>
      <c r="D1636" s="4" t="s">
        <v>1459</v>
      </c>
      <c r="E1636" s="4" t="s">
        <v>1460</v>
      </c>
      <c r="F1636" s="4" t="s">
        <v>328</v>
      </c>
      <c r="G1636" s="4" t="s">
        <v>1461</v>
      </c>
      <c r="N1636" s="4" t="s">
        <v>567</v>
      </c>
      <c r="O1636" s="4" t="s">
        <v>343</v>
      </c>
      <c r="Q1636" s="4" t="s">
        <v>540</v>
      </c>
      <c r="AC1636" s="4" t="s">
        <v>1462</v>
      </c>
      <c r="AD1636" s="4" t="s">
        <v>1461</v>
      </c>
      <c r="AE1636" s="4" t="s">
        <v>1463</v>
      </c>
      <c r="AF1636" s="4" t="s">
        <v>1464</v>
      </c>
      <c r="BI1636" s="4" t="s">
        <v>309</v>
      </c>
      <c r="BN1636" s="4">
        <v>7.5</v>
      </c>
      <c r="BS1636" s="4">
        <v>7</v>
      </c>
      <c r="BU1636" s="4">
        <v>150</v>
      </c>
      <c r="BW1636" s="4">
        <v>25</v>
      </c>
      <c r="CB1636" s="4" t="s">
        <v>8</v>
      </c>
      <c r="CC1636" s="4">
        <v>40</v>
      </c>
      <c r="CR1636" s="4" t="s">
        <v>541</v>
      </c>
      <c r="CS1636" s="4">
        <v>40</v>
      </c>
      <c r="DO1636" s="4">
        <v>3</v>
      </c>
      <c r="EP1636" s="4">
        <v>48.8</v>
      </c>
      <c r="ES1636" s="4">
        <v>48.8</v>
      </c>
    </row>
    <row r="1637" customHeight="1" spans="1:149">
      <c r="A1637" s="3">
        <v>56</v>
      </c>
      <c r="B1637" s="4" t="s">
        <v>1448</v>
      </c>
      <c r="C1637" s="5" t="s">
        <v>1458</v>
      </c>
      <c r="D1637" s="4" t="s">
        <v>1459</v>
      </c>
      <c r="E1637" s="4" t="s">
        <v>1460</v>
      </c>
      <c r="F1637" s="4" t="s">
        <v>328</v>
      </c>
      <c r="G1637" s="4" t="s">
        <v>1461</v>
      </c>
      <c r="N1637" s="4" t="s">
        <v>567</v>
      </c>
      <c r="O1637" s="4" t="s">
        <v>343</v>
      </c>
      <c r="Q1637" s="4" t="s">
        <v>540</v>
      </c>
      <c r="AC1637" s="4" t="s">
        <v>1462</v>
      </c>
      <c r="AD1637" s="4" t="s">
        <v>1461</v>
      </c>
      <c r="AE1637" s="4" t="s">
        <v>1463</v>
      </c>
      <c r="AF1637" s="4" t="s">
        <v>1464</v>
      </c>
      <c r="BI1637" s="4" t="s">
        <v>309</v>
      </c>
      <c r="BN1637" s="4">
        <v>7.5</v>
      </c>
      <c r="BS1637" s="4">
        <v>3</v>
      </c>
      <c r="BU1637" s="4">
        <v>150</v>
      </c>
      <c r="BW1637" s="4">
        <v>25</v>
      </c>
      <c r="CB1637" s="4" t="s">
        <v>8</v>
      </c>
      <c r="CC1637" s="4">
        <v>40</v>
      </c>
      <c r="DO1637" s="4">
        <v>3</v>
      </c>
      <c r="EP1637" s="4">
        <v>50.99</v>
      </c>
      <c r="ES1637" s="4">
        <v>50.99</v>
      </c>
    </row>
    <row r="1638" customHeight="1" spans="1:149">
      <c r="A1638" s="3">
        <v>56</v>
      </c>
      <c r="B1638" s="4" t="s">
        <v>1448</v>
      </c>
      <c r="C1638" s="5" t="s">
        <v>1458</v>
      </c>
      <c r="D1638" s="4" t="s">
        <v>1459</v>
      </c>
      <c r="E1638" s="4" t="s">
        <v>1460</v>
      </c>
      <c r="F1638" s="4" t="s">
        <v>328</v>
      </c>
      <c r="G1638" s="4" t="s">
        <v>1461</v>
      </c>
      <c r="N1638" s="4" t="s">
        <v>567</v>
      </c>
      <c r="O1638" s="4" t="s">
        <v>343</v>
      </c>
      <c r="Q1638" s="4" t="s">
        <v>540</v>
      </c>
      <c r="AC1638" s="4" t="s">
        <v>1462</v>
      </c>
      <c r="AD1638" s="4" t="s">
        <v>1461</v>
      </c>
      <c r="AE1638" s="4" t="s">
        <v>1463</v>
      </c>
      <c r="AF1638" s="4" t="s">
        <v>1464</v>
      </c>
      <c r="BI1638" s="4" t="s">
        <v>309</v>
      </c>
      <c r="BN1638" s="4">
        <v>7.5</v>
      </c>
      <c r="BS1638" s="4">
        <v>5</v>
      </c>
      <c r="BU1638" s="4">
        <v>150</v>
      </c>
      <c r="BW1638" s="4">
        <v>25</v>
      </c>
      <c r="CB1638" s="4" t="s">
        <v>8</v>
      </c>
      <c r="CC1638" s="4">
        <v>40</v>
      </c>
      <c r="DO1638" s="4">
        <v>3</v>
      </c>
      <c r="EP1638" s="4">
        <v>40.21</v>
      </c>
      <c r="ES1638" s="4">
        <v>40.21</v>
      </c>
    </row>
    <row r="1639" customHeight="1" spans="1:149">
      <c r="A1639" s="3">
        <v>56</v>
      </c>
      <c r="B1639" s="4" t="s">
        <v>1448</v>
      </c>
      <c r="C1639" s="5" t="s">
        <v>1458</v>
      </c>
      <c r="D1639" s="4" t="s">
        <v>1459</v>
      </c>
      <c r="E1639" s="4" t="s">
        <v>1460</v>
      </c>
      <c r="F1639" s="4" t="s">
        <v>328</v>
      </c>
      <c r="G1639" s="4" t="s">
        <v>1461</v>
      </c>
      <c r="N1639" s="4" t="s">
        <v>567</v>
      </c>
      <c r="O1639" s="4" t="s">
        <v>343</v>
      </c>
      <c r="Q1639" s="4" t="s">
        <v>540</v>
      </c>
      <c r="AC1639" s="4" t="s">
        <v>1462</v>
      </c>
      <c r="AD1639" s="4" t="s">
        <v>1461</v>
      </c>
      <c r="AE1639" s="4" t="s">
        <v>1463</v>
      </c>
      <c r="AF1639" s="4" t="s">
        <v>1464</v>
      </c>
      <c r="BI1639" s="4" t="s">
        <v>309</v>
      </c>
      <c r="BN1639" s="4">
        <v>7.5</v>
      </c>
      <c r="BS1639" s="4">
        <v>7</v>
      </c>
      <c r="BU1639" s="4">
        <v>150</v>
      </c>
      <c r="BW1639" s="4">
        <v>25</v>
      </c>
      <c r="CB1639" s="4" t="s">
        <v>8</v>
      </c>
      <c r="CC1639" s="4">
        <v>40</v>
      </c>
      <c r="DO1639" s="4">
        <v>3</v>
      </c>
      <c r="EP1639" s="4">
        <v>53.41</v>
      </c>
      <c r="ES1639" s="4">
        <v>53.41</v>
      </c>
    </row>
    <row r="1640" customHeight="1" spans="1:149">
      <c r="A1640" s="3">
        <v>56</v>
      </c>
      <c r="B1640" s="4" t="s">
        <v>1448</v>
      </c>
      <c r="C1640" s="5" t="s">
        <v>1458</v>
      </c>
      <c r="D1640" s="4" t="s">
        <v>1459</v>
      </c>
      <c r="E1640" s="4" t="s">
        <v>1460</v>
      </c>
      <c r="F1640" s="4" t="s">
        <v>328</v>
      </c>
      <c r="G1640" s="4" t="s">
        <v>1461</v>
      </c>
      <c r="N1640" s="4" t="s">
        <v>567</v>
      </c>
      <c r="O1640" s="4" t="s">
        <v>343</v>
      </c>
      <c r="Q1640" s="4" t="s">
        <v>540</v>
      </c>
      <c r="AC1640" s="4" t="s">
        <v>1462</v>
      </c>
      <c r="AD1640" s="4" t="s">
        <v>1461</v>
      </c>
      <c r="AE1640" s="4" t="s">
        <v>1463</v>
      </c>
      <c r="AF1640" s="4" t="s">
        <v>1464</v>
      </c>
      <c r="BI1640" s="4" t="s">
        <v>309</v>
      </c>
      <c r="BN1640" s="4">
        <v>7.5</v>
      </c>
      <c r="BS1640" s="4">
        <v>10</v>
      </c>
      <c r="BU1640" s="4">
        <v>150</v>
      </c>
      <c r="BW1640" s="4">
        <v>25</v>
      </c>
      <c r="CB1640" s="4" t="s">
        <v>8</v>
      </c>
      <c r="CC1640" s="4">
        <v>40</v>
      </c>
      <c r="DO1640" s="4">
        <v>3</v>
      </c>
      <c r="EP1640" s="4">
        <v>34.29</v>
      </c>
      <c r="ES1640" s="4">
        <v>34.29</v>
      </c>
    </row>
    <row r="1641" customHeight="1" spans="1:149">
      <c r="A1641" s="3">
        <v>56</v>
      </c>
      <c r="B1641" s="4" t="s">
        <v>1448</v>
      </c>
      <c r="C1641" s="5" t="s">
        <v>1458</v>
      </c>
      <c r="D1641" s="4" t="s">
        <v>1459</v>
      </c>
      <c r="E1641" s="4" t="s">
        <v>1460</v>
      </c>
      <c r="F1641" s="4" t="s">
        <v>328</v>
      </c>
      <c r="G1641" s="4" t="s">
        <v>1461</v>
      </c>
      <c r="N1641" s="4" t="s">
        <v>567</v>
      </c>
      <c r="O1641" s="4" t="s">
        <v>343</v>
      </c>
      <c r="Q1641" s="4" t="s">
        <v>540</v>
      </c>
      <c r="AC1641" s="4" t="s">
        <v>1462</v>
      </c>
      <c r="AD1641" s="4" t="s">
        <v>1461</v>
      </c>
      <c r="AE1641" s="4" t="s">
        <v>1463</v>
      </c>
      <c r="AF1641" s="4" t="s">
        <v>1464</v>
      </c>
      <c r="AH1641" s="4" t="s">
        <v>596</v>
      </c>
      <c r="AI1641" s="4" t="s">
        <v>1455</v>
      </c>
      <c r="BD1641" s="4" t="s">
        <v>1456</v>
      </c>
      <c r="BI1641" s="4" t="s">
        <v>321</v>
      </c>
      <c r="BL1641" s="4">
        <v>1</v>
      </c>
      <c r="BM1641" s="4">
        <v>0.01</v>
      </c>
      <c r="BN1641" s="4">
        <v>2</v>
      </c>
      <c r="BS1641" s="4">
        <v>6.21</v>
      </c>
      <c r="BV1641" s="4">
        <v>90</v>
      </c>
      <c r="CB1641" s="4" t="s">
        <v>8</v>
      </c>
      <c r="CD1641" s="4">
        <v>200</v>
      </c>
      <c r="DO1641" s="4">
        <v>3</v>
      </c>
      <c r="EL1641" s="4">
        <v>4.98</v>
      </c>
      <c r="EP1641" s="4"/>
      <c r="ER1641" s="1">
        <f t="shared" ref="ER1641:ER1644" si="51">EL1641/CD1641*100</f>
        <v>2.49</v>
      </c>
      <c r="ES1641" s="4">
        <v>2.49</v>
      </c>
    </row>
    <row r="1642" customHeight="1" spans="1:149">
      <c r="A1642" s="3">
        <v>56</v>
      </c>
      <c r="B1642" s="4" t="s">
        <v>1448</v>
      </c>
      <c r="C1642" s="5" t="s">
        <v>1458</v>
      </c>
      <c r="D1642" s="4" t="s">
        <v>1459</v>
      </c>
      <c r="E1642" s="4" t="s">
        <v>1460</v>
      </c>
      <c r="F1642" s="4" t="s">
        <v>328</v>
      </c>
      <c r="G1642" s="4" t="s">
        <v>1461</v>
      </c>
      <c r="N1642" s="4" t="s">
        <v>567</v>
      </c>
      <c r="O1642" s="4" t="s">
        <v>343</v>
      </c>
      <c r="Q1642" s="4" t="s">
        <v>540</v>
      </c>
      <c r="AC1642" s="4" t="s">
        <v>1462</v>
      </c>
      <c r="AD1642" s="4" t="s">
        <v>1461</v>
      </c>
      <c r="AE1642" s="4" t="s">
        <v>1463</v>
      </c>
      <c r="AF1642" s="4" t="s">
        <v>1464</v>
      </c>
      <c r="AH1642" s="4" t="s">
        <v>596</v>
      </c>
      <c r="AI1642" s="4" t="s">
        <v>1455</v>
      </c>
      <c r="BD1642" s="4" t="s">
        <v>1456</v>
      </c>
      <c r="BI1642" s="4" t="s">
        <v>321</v>
      </c>
      <c r="BL1642" s="4">
        <v>1</v>
      </c>
      <c r="BM1642" s="4">
        <v>0.01</v>
      </c>
      <c r="BN1642" s="4">
        <v>2</v>
      </c>
      <c r="BS1642" s="4">
        <v>6.21</v>
      </c>
      <c r="BV1642" s="4">
        <v>90</v>
      </c>
      <c r="CB1642" s="4" t="s">
        <v>8</v>
      </c>
      <c r="CD1642" s="4">
        <v>400</v>
      </c>
      <c r="DO1642" s="4">
        <v>3</v>
      </c>
      <c r="EL1642" s="4">
        <v>6.57</v>
      </c>
      <c r="EP1642" s="4"/>
      <c r="ER1642" s="1">
        <f t="shared" si="51"/>
        <v>1.6425</v>
      </c>
      <c r="ES1642" s="4">
        <v>1.6425</v>
      </c>
    </row>
    <row r="1643" customHeight="1" spans="1:149">
      <c r="A1643" s="3">
        <v>56</v>
      </c>
      <c r="B1643" s="4" t="s">
        <v>1448</v>
      </c>
      <c r="C1643" s="5" t="s">
        <v>1458</v>
      </c>
      <c r="D1643" s="4" t="s">
        <v>1459</v>
      </c>
      <c r="E1643" s="4" t="s">
        <v>1460</v>
      </c>
      <c r="F1643" s="4" t="s">
        <v>328</v>
      </c>
      <c r="G1643" s="4" t="s">
        <v>1461</v>
      </c>
      <c r="N1643" s="4" t="s">
        <v>567</v>
      </c>
      <c r="O1643" s="4" t="s">
        <v>343</v>
      </c>
      <c r="Q1643" s="4" t="s">
        <v>540</v>
      </c>
      <c r="AC1643" s="4" t="s">
        <v>1462</v>
      </c>
      <c r="AD1643" s="4" t="s">
        <v>1461</v>
      </c>
      <c r="AE1643" s="4" t="s">
        <v>1463</v>
      </c>
      <c r="AF1643" s="4" t="s">
        <v>1464</v>
      </c>
      <c r="AH1643" s="4" t="s">
        <v>596</v>
      </c>
      <c r="AI1643" s="4" t="s">
        <v>1455</v>
      </c>
      <c r="BD1643" s="4" t="s">
        <v>1456</v>
      </c>
      <c r="BI1643" s="4" t="s">
        <v>321</v>
      </c>
      <c r="BL1643" s="4">
        <v>1</v>
      </c>
      <c r="BM1643" s="4">
        <v>0.01</v>
      </c>
      <c r="BN1643" s="4">
        <v>2</v>
      </c>
      <c r="BS1643" s="4">
        <v>6.21</v>
      </c>
      <c r="BV1643" s="4">
        <v>90</v>
      </c>
      <c r="CB1643" s="4" t="s">
        <v>8</v>
      </c>
      <c r="CD1643" s="4">
        <v>600</v>
      </c>
      <c r="DO1643" s="4">
        <v>3</v>
      </c>
      <c r="EL1643" s="4">
        <v>6.76</v>
      </c>
      <c r="EP1643" s="4"/>
      <c r="ER1643" s="1">
        <f t="shared" si="51"/>
        <v>1.12666666666667</v>
      </c>
      <c r="ES1643" s="4">
        <v>1.12666666666667</v>
      </c>
    </row>
    <row r="1644" customHeight="1" spans="1:149">
      <c r="A1644" s="3">
        <v>56</v>
      </c>
      <c r="B1644" s="4" t="s">
        <v>1448</v>
      </c>
      <c r="C1644" s="5" t="s">
        <v>1458</v>
      </c>
      <c r="D1644" s="4" t="s">
        <v>1459</v>
      </c>
      <c r="E1644" s="4" t="s">
        <v>1460</v>
      </c>
      <c r="F1644" s="4" t="s">
        <v>328</v>
      </c>
      <c r="G1644" s="4" t="s">
        <v>1461</v>
      </c>
      <c r="N1644" s="4" t="s">
        <v>567</v>
      </c>
      <c r="O1644" s="4" t="s">
        <v>343</v>
      </c>
      <c r="Q1644" s="4" t="s">
        <v>540</v>
      </c>
      <c r="AC1644" s="4" t="s">
        <v>1462</v>
      </c>
      <c r="AD1644" s="4" t="s">
        <v>1461</v>
      </c>
      <c r="AE1644" s="4" t="s">
        <v>1463</v>
      </c>
      <c r="AF1644" s="4" t="s">
        <v>1464</v>
      </c>
      <c r="AH1644" s="4" t="s">
        <v>596</v>
      </c>
      <c r="AI1644" s="4" t="s">
        <v>1455</v>
      </c>
      <c r="BD1644" s="4" t="s">
        <v>1456</v>
      </c>
      <c r="BI1644" s="4" t="s">
        <v>321</v>
      </c>
      <c r="BL1644" s="4">
        <v>1</v>
      </c>
      <c r="BM1644" s="4">
        <v>0.01</v>
      </c>
      <c r="BN1644" s="4">
        <v>2</v>
      </c>
      <c r="BS1644" s="4">
        <v>6.21</v>
      </c>
      <c r="BV1644" s="4">
        <v>90</v>
      </c>
      <c r="CB1644" s="4" t="s">
        <v>8</v>
      </c>
      <c r="CD1644" s="4">
        <v>1000</v>
      </c>
      <c r="DO1644" s="4">
        <v>3</v>
      </c>
      <c r="EL1644" s="4">
        <v>5.16</v>
      </c>
      <c r="EP1644" s="4"/>
      <c r="ER1644" s="1">
        <f t="shared" si="51"/>
        <v>0.516</v>
      </c>
      <c r="ES1644" s="4">
        <v>0.516</v>
      </c>
    </row>
    <row r="1645" customHeight="1" spans="1:149">
      <c r="A1645" s="3">
        <v>56</v>
      </c>
      <c r="B1645" s="4" t="s">
        <v>1448</v>
      </c>
      <c r="C1645" s="5" t="s">
        <v>1458</v>
      </c>
      <c r="D1645" s="4" t="s">
        <v>1459</v>
      </c>
      <c r="E1645" s="4" t="s">
        <v>1460</v>
      </c>
      <c r="F1645" s="4" t="s">
        <v>328</v>
      </c>
      <c r="G1645" s="4" t="s">
        <v>1461</v>
      </c>
      <c r="N1645" s="4" t="s">
        <v>567</v>
      </c>
      <c r="O1645" s="4" t="s">
        <v>343</v>
      </c>
      <c r="Q1645" s="4" t="s">
        <v>540</v>
      </c>
      <c r="AC1645" s="4" t="s">
        <v>1462</v>
      </c>
      <c r="AD1645" s="4" t="s">
        <v>1461</v>
      </c>
      <c r="AE1645" s="4" t="s">
        <v>1463</v>
      </c>
      <c r="AF1645" s="4" t="s">
        <v>1464</v>
      </c>
      <c r="AH1645" s="4" t="s">
        <v>596</v>
      </c>
      <c r="AI1645" s="4" t="s">
        <v>1455</v>
      </c>
      <c r="BD1645" s="4" t="s">
        <v>1456</v>
      </c>
      <c r="BI1645" s="4" t="s">
        <v>321</v>
      </c>
      <c r="BL1645" s="4">
        <v>1</v>
      </c>
      <c r="BM1645" s="4">
        <v>0.05</v>
      </c>
      <c r="BS1645" s="4">
        <v>6.21</v>
      </c>
      <c r="BV1645" s="4" t="s">
        <v>1457</v>
      </c>
      <c r="CB1645" s="4" t="s">
        <v>8</v>
      </c>
      <c r="CD1645" s="4">
        <v>1000</v>
      </c>
      <c r="CV1645" s="4">
        <v>10</v>
      </c>
      <c r="DM1645" s="4">
        <v>90</v>
      </c>
      <c r="DO1645" s="4">
        <v>3</v>
      </c>
      <c r="EH1645" s="4">
        <v>85.4</v>
      </c>
      <c r="EP1645" s="4"/>
      <c r="ER1645" s="1">
        <f>(CD1645-EH1645)/CD1645*100</f>
        <v>91.46</v>
      </c>
      <c r="ES1645" s="4">
        <v>91.46</v>
      </c>
    </row>
    <row r="1646" customHeight="1" spans="1:149">
      <c r="A1646" s="3">
        <v>56</v>
      </c>
      <c r="B1646" s="4" t="s">
        <v>1448</v>
      </c>
      <c r="C1646" s="5" t="s">
        <v>1458</v>
      </c>
      <c r="D1646" s="4" t="s">
        <v>1459</v>
      </c>
      <c r="E1646" s="4" t="s">
        <v>1460</v>
      </c>
      <c r="F1646" s="4" t="s">
        <v>328</v>
      </c>
      <c r="G1646" s="4" t="s">
        <v>1461</v>
      </c>
      <c r="N1646" s="4" t="s">
        <v>567</v>
      </c>
      <c r="O1646" s="4" t="s">
        <v>343</v>
      </c>
      <c r="Q1646" s="4" t="s">
        <v>540</v>
      </c>
      <c r="AC1646" s="4" t="s">
        <v>1462</v>
      </c>
      <c r="AD1646" s="4" t="s">
        <v>1461</v>
      </c>
      <c r="AE1646" s="4" t="s">
        <v>1463</v>
      </c>
      <c r="AF1646" s="4" t="s">
        <v>1464</v>
      </c>
      <c r="AH1646" s="4" t="s">
        <v>596</v>
      </c>
      <c r="AI1646" s="4" t="s">
        <v>1455</v>
      </c>
      <c r="BD1646" s="4" t="s">
        <v>1456</v>
      </c>
      <c r="DO1646" s="4">
        <v>3</v>
      </c>
      <c r="EP1646" s="4"/>
      <c r="ES1646" s="4"/>
    </row>
    <row r="1647" customHeight="1" spans="1:149">
      <c r="A1647" s="3">
        <v>56</v>
      </c>
      <c r="B1647" s="4" t="s">
        <v>1448</v>
      </c>
      <c r="C1647" s="5" t="s">
        <v>1458</v>
      </c>
      <c r="D1647" s="4" t="s">
        <v>1459</v>
      </c>
      <c r="E1647" s="4" t="s">
        <v>1460</v>
      </c>
      <c r="F1647" s="4" t="s">
        <v>328</v>
      </c>
      <c r="G1647" s="4" t="s">
        <v>1461</v>
      </c>
      <c r="N1647" s="4" t="s">
        <v>567</v>
      </c>
      <c r="O1647" s="4" t="s">
        <v>343</v>
      </c>
      <c r="Q1647" s="4" t="s">
        <v>540</v>
      </c>
      <c r="AC1647" s="4" t="s">
        <v>1462</v>
      </c>
      <c r="AD1647" s="4" t="s">
        <v>1461</v>
      </c>
      <c r="AE1647" s="4" t="s">
        <v>1463</v>
      </c>
      <c r="AF1647" s="4" t="s">
        <v>1464</v>
      </c>
      <c r="AH1647" s="4" t="s">
        <v>596</v>
      </c>
      <c r="AI1647" s="4" t="s">
        <v>1455</v>
      </c>
      <c r="BD1647" s="4" t="s">
        <v>1456</v>
      </c>
      <c r="DO1647" s="4">
        <v>3</v>
      </c>
      <c r="EP1647" s="4"/>
      <c r="ES1647" s="4"/>
    </row>
    <row r="1648" customHeight="1" spans="1:149">
      <c r="A1648" s="3">
        <v>56</v>
      </c>
      <c r="B1648" s="4" t="s">
        <v>1448</v>
      </c>
      <c r="C1648" s="5" t="s">
        <v>1458</v>
      </c>
      <c r="D1648" s="4" t="s">
        <v>1459</v>
      </c>
      <c r="E1648" s="4" t="s">
        <v>1460</v>
      </c>
      <c r="F1648" s="4" t="s">
        <v>328</v>
      </c>
      <c r="G1648" s="4" t="s">
        <v>1461</v>
      </c>
      <c r="N1648" s="4" t="s">
        <v>567</v>
      </c>
      <c r="O1648" s="4" t="s">
        <v>343</v>
      </c>
      <c r="Q1648" s="4" t="s">
        <v>540</v>
      </c>
      <c r="AC1648" s="4" t="s">
        <v>1462</v>
      </c>
      <c r="AD1648" s="4" t="s">
        <v>1461</v>
      </c>
      <c r="AE1648" s="4" t="s">
        <v>1463</v>
      </c>
      <c r="AF1648" s="4" t="s">
        <v>1464</v>
      </c>
      <c r="AH1648" s="4" t="s">
        <v>596</v>
      </c>
      <c r="AI1648" s="4" t="s">
        <v>1455</v>
      </c>
      <c r="BD1648" s="4" t="s">
        <v>1456</v>
      </c>
      <c r="DO1648" s="4">
        <v>3</v>
      </c>
      <c r="EP1648" s="4"/>
      <c r="ES1648" s="4"/>
    </row>
    <row r="1649" customHeight="1" spans="1:313">
      <c r="A1649" s="3">
        <v>56</v>
      </c>
      <c r="B1649" s="4" t="s">
        <v>1448</v>
      </c>
      <c r="C1649" s="5" t="s">
        <v>1465</v>
      </c>
      <c r="D1649" s="4" t="s">
        <v>1466</v>
      </c>
      <c r="E1649" s="4" t="s">
        <v>1467</v>
      </c>
      <c r="F1649" s="4" t="s">
        <v>328</v>
      </c>
      <c r="G1649" s="4" t="s">
        <v>1461</v>
      </c>
      <c r="N1649" s="4" t="s">
        <v>567</v>
      </c>
      <c r="O1649" s="4" t="s">
        <v>343</v>
      </c>
      <c r="Q1649" s="4" t="s">
        <v>540</v>
      </c>
      <c r="AC1649" s="4" t="s">
        <v>1462</v>
      </c>
      <c r="AD1649" s="4" t="s">
        <v>1461</v>
      </c>
      <c r="AE1649" s="4" t="s">
        <v>1463</v>
      </c>
      <c r="AF1649" s="4" t="s">
        <v>1464</v>
      </c>
      <c r="BI1649" s="4" t="s">
        <v>309</v>
      </c>
      <c r="BN1649" s="4">
        <v>7.5</v>
      </c>
      <c r="BS1649" s="4">
        <v>7</v>
      </c>
      <c r="BU1649" s="4">
        <v>150</v>
      </c>
      <c r="BV1649" s="4" t="s">
        <v>826</v>
      </c>
      <c r="BW1649" s="4">
        <v>25</v>
      </c>
      <c r="CB1649" s="4" t="s">
        <v>8</v>
      </c>
      <c r="CC1649" s="4">
        <v>40</v>
      </c>
      <c r="CV1649" s="4">
        <v>15</v>
      </c>
      <c r="CW1649" s="4">
        <v>7.2</v>
      </c>
      <c r="CX1649" s="4" t="s">
        <v>314</v>
      </c>
      <c r="DO1649" s="4">
        <v>3</v>
      </c>
      <c r="EP1649" s="4">
        <v>100</v>
      </c>
      <c r="ES1649" s="4">
        <v>100</v>
      </c>
      <c r="KZ1649" s="31" t="s">
        <v>8</v>
      </c>
      <c r="LA1649" s="31" t="s">
        <v>1468</v>
      </c>
    </row>
    <row r="1650" customHeight="1" spans="1:313">
      <c r="A1650" s="3">
        <v>56</v>
      </c>
      <c r="B1650" s="4" t="s">
        <v>1448</v>
      </c>
      <c r="C1650" s="5" t="s">
        <v>1465</v>
      </c>
      <c r="D1650" s="4" t="s">
        <v>1466</v>
      </c>
      <c r="E1650" s="4" t="s">
        <v>1467</v>
      </c>
      <c r="F1650" s="4" t="s">
        <v>328</v>
      </c>
      <c r="G1650" s="4" t="s">
        <v>1461</v>
      </c>
      <c r="N1650" s="4" t="s">
        <v>567</v>
      </c>
      <c r="O1650" s="4" t="s">
        <v>343</v>
      </c>
      <c r="Q1650" s="4" t="s">
        <v>540</v>
      </c>
      <c r="AC1650" s="4" t="s">
        <v>1462</v>
      </c>
      <c r="AD1650" s="4" t="s">
        <v>1461</v>
      </c>
      <c r="AE1650" s="4" t="s">
        <v>1463</v>
      </c>
      <c r="AF1650" s="4" t="s">
        <v>1464</v>
      </c>
      <c r="BI1650" s="4" t="s">
        <v>309</v>
      </c>
      <c r="BN1650" s="4">
        <v>2.5</v>
      </c>
      <c r="BS1650" s="4">
        <v>7</v>
      </c>
      <c r="BU1650" s="4">
        <v>150</v>
      </c>
      <c r="BW1650" s="4">
        <v>25</v>
      </c>
      <c r="CB1650" s="4" t="s">
        <v>8</v>
      </c>
      <c r="CC1650" s="4">
        <v>40</v>
      </c>
      <c r="DO1650" s="4">
        <v>3</v>
      </c>
      <c r="EP1650" s="4">
        <v>32.1</v>
      </c>
      <c r="ES1650" s="4">
        <v>32.1</v>
      </c>
    </row>
    <row r="1651" customHeight="1" spans="1:313">
      <c r="A1651" s="3">
        <v>56</v>
      </c>
      <c r="B1651" s="4" t="s">
        <v>1448</v>
      </c>
      <c r="C1651" s="5" t="s">
        <v>1465</v>
      </c>
      <c r="D1651" s="4" t="s">
        <v>1466</v>
      </c>
      <c r="E1651" s="4" t="s">
        <v>1467</v>
      </c>
      <c r="F1651" s="4" t="s">
        <v>328</v>
      </c>
      <c r="G1651" s="4" t="s">
        <v>1461</v>
      </c>
      <c r="N1651" s="4" t="s">
        <v>567</v>
      </c>
      <c r="O1651" s="4" t="s">
        <v>343</v>
      </c>
      <c r="Q1651" s="4" t="s">
        <v>540</v>
      </c>
      <c r="AC1651" s="4" t="s">
        <v>1462</v>
      </c>
      <c r="AD1651" s="4" t="s">
        <v>1461</v>
      </c>
      <c r="AE1651" s="4" t="s">
        <v>1463</v>
      </c>
      <c r="AF1651" s="4" t="s">
        <v>1464</v>
      </c>
      <c r="BI1651" s="4" t="s">
        <v>309</v>
      </c>
      <c r="BN1651" s="4">
        <v>5</v>
      </c>
      <c r="BS1651" s="4">
        <v>7</v>
      </c>
      <c r="BU1651" s="4">
        <v>150</v>
      </c>
      <c r="BW1651" s="4">
        <v>25</v>
      </c>
      <c r="CB1651" s="4" t="s">
        <v>8</v>
      </c>
      <c r="CC1651" s="4">
        <v>40</v>
      </c>
      <c r="DO1651" s="4">
        <v>3</v>
      </c>
      <c r="EP1651" s="4">
        <v>67.6</v>
      </c>
      <c r="ES1651" s="4">
        <v>67.6</v>
      </c>
    </row>
    <row r="1652" customHeight="1" spans="1:313">
      <c r="A1652" s="3">
        <v>56</v>
      </c>
      <c r="B1652" s="4" t="s">
        <v>1448</v>
      </c>
      <c r="C1652" s="5" t="s">
        <v>1465</v>
      </c>
      <c r="D1652" s="4" t="s">
        <v>1466</v>
      </c>
      <c r="E1652" s="4" t="s">
        <v>1467</v>
      </c>
      <c r="F1652" s="4" t="s">
        <v>328</v>
      </c>
      <c r="G1652" s="4" t="s">
        <v>1461</v>
      </c>
      <c r="N1652" s="4" t="s">
        <v>567</v>
      </c>
      <c r="O1652" s="4" t="s">
        <v>343</v>
      </c>
      <c r="Q1652" s="4" t="s">
        <v>540</v>
      </c>
      <c r="AC1652" s="4" t="s">
        <v>1462</v>
      </c>
      <c r="AD1652" s="4" t="s">
        <v>1461</v>
      </c>
      <c r="AE1652" s="4" t="s">
        <v>1463</v>
      </c>
      <c r="AF1652" s="4" t="s">
        <v>1464</v>
      </c>
      <c r="BI1652" s="4" t="s">
        <v>309</v>
      </c>
      <c r="BN1652" s="4">
        <v>6.25</v>
      </c>
      <c r="BS1652" s="4">
        <v>7</v>
      </c>
      <c r="BU1652" s="4">
        <v>150</v>
      </c>
      <c r="BW1652" s="4">
        <v>25</v>
      </c>
      <c r="CB1652" s="4" t="s">
        <v>8</v>
      </c>
      <c r="CC1652" s="4">
        <v>40</v>
      </c>
      <c r="DO1652" s="4">
        <v>3</v>
      </c>
      <c r="EP1652" s="4">
        <v>99.9</v>
      </c>
      <c r="ES1652" s="4">
        <v>99.9</v>
      </c>
    </row>
    <row r="1653" customHeight="1" spans="1:313">
      <c r="A1653" s="3">
        <v>56</v>
      </c>
      <c r="B1653" s="4" t="s">
        <v>1448</v>
      </c>
      <c r="C1653" s="5" t="s">
        <v>1465</v>
      </c>
      <c r="D1653" s="4" t="s">
        <v>1466</v>
      </c>
      <c r="E1653" s="4" t="s">
        <v>1467</v>
      </c>
      <c r="F1653" s="4" t="s">
        <v>328</v>
      </c>
      <c r="G1653" s="4" t="s">
        <v>1461</v>
      </c>
      <c r="N1653" s="4" t="s">
        <v>567</v>
      </c>
      <c r="O1653" s="4" t="s">
        <v>343</v>
      </c>
      <c r="Q1653" s="4" t="s">
        <v>540</v>
      </c>
      <c r="AC1653" s="4" t="s">
        <v>1462</v>
      </c>
      <c r="AD1653" s="4" t="s">
        <v>1461</v>
      </c>
      <c r="AE1653" s="4" t="s">
        <v>1463</v>
      </c>
      <c r="AF1653" s="4" t="s">
        <v>1464</v>
      </c>
      <c r="BI1653" s="4" t="s">
        <v>309</v>
      </c>
      <c r="BN1653" s="4">
        <v>10</v>
      </c>
      <c r="BS1653" s="4">
        <v>7</v>
      </c>
      <c r="BU1653" s="4">
        <v>150</v>
      </c>
      <c r="BW1653" s="4">
        <v>25</v>
      </c>
      <c r="CB1653" s="4" t="s">
        <v>8</v>
      </c>
      <c r="CC1653" s="4">
        <v>40</v>
      </c>
      <c r="DO1653" s="4">
        <v>3</v>
      </c>
      <c r="EP1653" s="4">
        <v>99.9</v>
      </c>
      <c r="ES1653" s="4">
        <v>99.9</v>
      </c>
    </row>
    <row r="1654" customHeight="1" spans="1:313">
      <c r="A1654" s="3">
        <v>56</v>
      </c>
      <c r="B1654" s="4" t="s">
        <v>1448</v>
      </c>
      <c r="C1654" s="5" t="s">
        <v>1465</v>
      </c>
      <c r="D1654" s="4" t="s">
        <v>1466</v>
      </c>
      <c r="E1654" s="4" t="s">
        <v>1467</v>
      </c>
      <c r="F1654" s="4" t="s">
        <v>328</v>
      </c>
      <c r="G1654" s="4" t="s">
        <v>1461</v>
      </c>
      <c r="N1654" s="4" t="s">
        <v>567</v>
      </c>
      <c r="O1654" s="4" t="s">
        <v>343</v>
      </c>
      <c r="Q1654" s="4" t="s">
        <v>540</v>
      </c>
      <c r="AC1654" s="4" t="s">
        <v>1462</v>
      </c>
      <c r="AD1654" s="4" t="s">
        <v>1461</v>
      </c>
      <c r="AE1654" s="4" t="s">
        <v>1463</v>
      </c>
      <c r="AF1654" s="4" t="s">
        <v>1464</v>
      </c>
      <c r="BI1654" s="4" t="s">
        <v>309</v>
      </c>
      <c r="BN1654" s="4">
        <v>10</v>
      </c>
      <c r="BS1654" s="4">
        <v>7</v>
      </c>
      <c r="BU1654" s="4">
        <v>150</v>
      </c>
      <c r="BW1654" s="4">
        <v>25</v>
      </c>
      <c r="CB1654" s="4" t="s">
        <v>8</v>
      </c>
      <c r="CC1654" s="4" t="s">
        <v>1423</v>
      </c>
      <c r="DB1654" s="4" t="s">
        <v>430</v>
      </c>
      <c r="DE1654" s="4">
        <v>7.3</v>
      </c>
      <c r="DO1654" s="4">
        <v>3</v>
      </c>
      <c r="EP1654" s="4"/>
      <c r="ES1654" s="4"/>
    </row>
    <row r="1655" customHeight="1" spans="1:313">
      <c r="A1655" s="3">
        <v>56</v>
      </c>
      <c r="B1655" s="4" t="s">
        <v>1448</v>
      </c>
      <c r="C1655" s="5" t="s">
        <v>1465</v>
      </c>
      <c r="D1655" s="4" t="s">
        <v>1466</v>
      </c>
      <c r="E1655" s="4" t="s">
        <v>1467</v>
      </c>
      <c r="F1655" s="4" t="s">
        <v>328</v>
      </c>
      <c r="G1655" s="4" t="s">
        <v>1461</v>
      </c>
      <c r="N1655" s="4" t="s">
        <v>567</v>
      </c>
      <c r="O1655" s="4" t="s">
        <v>343</v>
      </c>
      <c r="Q1655" s="4" t="s">
        <v>540</v>
      </c>
      <c r="AC1655" s="4" t="s">
        <v>1462</v>
      </c>
      <c r="AD1655" s="4" t="s">
        <v>1461</v>
      </c>
      <c r="AE1655" s="4" t="s">
        <v>1463</v>
      </c>
      <c r="AF1655" s="4" t="s">
        <v>1464</v>
      </c>
      <c r="BI1655" s="4" t="s">
        <v>309</v>
      </c>
      <c r="BN1655" s="4">
        <v>7.5</v>
      </c>
      <c r="BS1655" s="4">
        <v>7</v>
      </c>
      <c r="BU1655" s="4">
        <v>150</v>
      </c>
      <c r="BW1655" s="4">
        <v>25</v>
      </c>
      <c r="CB1655" s="4" t="s">
        <v>8</v>
      </c>
      <c r="CC1655" s="4">
        <v>40</v>
      </c>
      <c r="CR1655" s="4" t="s">
        <v>512</v>
      </c>
      <c r="CS1655" s="4">
        <v>0</v>
      </c>
      <c r="DO1655" s="4">
        <v>3</v>
      </c>
      <c r="EP1655" s="4">
        <v>100</v>
      </c>
      <c r="ES1655" s="4">
        <v>100</v>
      </c>
    </row>
    <row r="1656" customHeight="1" spans="1:313">
      <c r="A1656" s="3">
        <v>56</v>
      </c>
      <c r="B1656" s="4" t="s">
        <v>1448</v>
      </c>
      <c r="C1656" s="5" t="s">
        <v>1465</v>
      </c>
      <c r="D1656" s="4" t="s">
        <v>1466</v>
      </c>
      <c r="E1656" s="4" t="s">
        <v>1467</v>
      </c>
      <c r="F1656" s="4" t="s">
        <v>328</v>
      </c>
      <c r="G1656" s="4" t="s">
        <v>1461</v>
      </c>
      <c r="N1656" s="4" t="s">
        <v>567</v>
      </c>
      <c r="O1656" s="4" t="s">
        <v>343</v>
      </c>
      <c r="Q1656" s="4" t="s">
        <v>540</v>
      </c>
      <c r="AC1656" s="4" t="s">
        <v>1462</v>
      </c>
      <c r="AD1656" s="4" t="s">
        <v>1461</v>
      </c>
      <c r="AE1656" s="4" t="s">
        <v>1463</v>
      </c>
      <c r="AF1656" s="4" t="s">
        <v>1464</v>
      </c>
      <c r="BI1656" s="4" t="s">
        <v>309</v>
      </c>
      <c r="BN1656" s="4">
        <v>7.5</v>
      </c>
      <c r="BS1656" s="4">
        <v>7</v>
      </c>
      <c r="BU1656" s="4">
        <v>150</v>
      </c>
      <c r="BW1656" s="4">
        <v>25</v>
      </c>
      <c r="CB1656" s="4" t="s">
        <v>8</v>
      </c>
      <c r="CC1656" s="4">
        <v>40</v>
      </c>
      <c r="CR1656" s="4" t="s">
        <v>540</v>
      </c>
      <c r="CS1656" s="4">
        <v>40</v>
      </c>
      <c r="DO1656" s="4">
        <v>3</v>
      </c>
      <c r="EP1656" s="4">
        <v>48.5</v>
      </c>
      <c r="ES1656" s="4">
        <v>48.5</v>
      </c>
    </row>
    <row r="1657" customHeight="1" spans="1:313">
      <c r="A1657" s="3">
        <v>56</v>
      </c>
      <c r="B1657" s="4" t="s">
        <v>1448</v>
      </c>
      <c r="C1657" s="5" t="s">
        <v>1465</v>
      </c>
      <c r="D1657" s="4" t="s">
        <v>1466</v>
      </c>
      <c r="E1657" s="4" t="s">
        <v>1467</v>
      </c>
      <c r="F1657" s="4" t="s">
        <v>328</v>
      </c>
      <c r="G1657" s="4" t="s">
        <v>1461</v>
      </c>
      <c r="N1657" s="4" t="s">
        <v>567</v>
      </c>
      <c r="O1657" s="4" t="s">
        <v>343</v>
      </c>
      <c r="Q1657" s="4" t="s">
        <v>540</v>
      </c>
      <c r="AC1657" s="4" t="s">
        <v>1462</v>
      </c>
      <c r="AD1657" s="4" t="s">
        <v>1461</v>
      </c>
      <c r="AE1657" s="4" t="s">
        <v>1463</v>
      </c>
      <c r="AF1657" s="4" t="s">
        <v>1464</v>
      </c>
      <c r="BI1657" s="4" t="s">
        <v>309</v>
      </c>
      <c r="BN1657" s="4">
        <v>7.5</v>
      </c>
      <c r="BS1657" s="4">
        <v>7</v>
      </c>
      <c r="BU1657" s="4">
        <v>150</v>
      </c>
      <c r="BW1657" s="4">
        <v>25</v>
      </c>
      <c r="CB1657" s="4" t="s">
        <v>8</v>
      </c>
      <c r="CC1657" s="4">
        <v>40</v>
      </c>
      <c r="CR1657" s="4" t="s">
        <v>542</v>
      </c>
      <c r="CS1657" s="4">
        <v>40</v>
      </c>
      <c r="DO1657" s="4">
        <v>3</v>
      </c>
      <c r="EP1657" s="4">
        <v>46.9</v>
      </c>
      <c r="ES1657" s="4">
        <v>46.9</v>
      </c>
    </row>
    <row r="1658" customHeight="1" spans="1:313">
      <c r="A1658" s="3">
        <v>56</v>
      </c>
      <c r="B1658" s="4" t="s">
        <v>1448</v>
      </c>
      <c r="C1658" s="5" t="s">
        <v>1465</v>
      </c>
      <c r="D1658" s="4" t="s">
        <v>1466</v>
      </c>
      <c r="E1658" s="4" t="s">
        <v>1467</v>
      </c>
      <c r="F1658" s="4" t="s">
        <v>328</v>
      </c>
      <c r="G1658" s="4" t="s">
        <v>1461</v>
      </c>
      <c r="N1658" s="4" t="s">
        <v>567</v>
      </c>
      <c r="O1658" s="4" t="s">
        <v>343</v>
      </c>
      <c r="Q1658" s="4" t="s">
        <v>540</v>
      </c>
      <c r="AC1658" s="4" t="s">
        <v>1462</v>
      </c>
      <c r="AD1658" s="4" t="s">
        <v>1461</v>
      </c>
      <c r="AE1658" s="4" t="s">
        <v>1463</v>
      </c>
      <c r="AF1658" s="4" t="s">
        <v>1464</v>
      </c>
      <c r="BI1658" s="4" t="s">
        <v>309</v>
      </c>
      <c r="BN1658" s="4">
        <v>7.5</v>
      </c>
      <c r="BS1658" s="4">
        <v>7</v>
      </c>
      <c r="BU1658" s="4">
        <v>150</v>
      </c>
      <c r="BW1658" s="4">
        <v>25</v>
      </c>
      <c r="CB1658" s="4" t="s">
        <v>8</v>
      </c>
      <c r="CC1658" s="4">
        <v>40</v>
      </c>
      <c r="CR1658" s="4" t="s">
        <v>541</v>
      </c>
      <c r="CS1658" s="4">
        <v>40</v>
      </c>
      <c r="DO1658" s="4">
        <v>3</v>
      </c>
      <c r="EP1658" s="4">
        <v>33.7</v>
      </c>
      <c r="ES1658" s="4">
        <v>33.7</v>
      </c>
    </row>
    <row r="1659" customHeight="1" spans="1:313">
      <c r="A1659" s="3">
        <v>56</v>
      </c>
      <c r="B1659" s="4" t="s">
        <v>1448</v>
      </c>
      <c r="C1659" s="5" t="s">
        <v>1465</v>
      </c>
      <c r="D1659" s="4" t="s">
        <v>1466</v>
      </c>
      <c r="E1659" s="4" t="s">
        <v>1467</v>
      </c>
      <c r="F1659" s="4" t="s">
        <v>328</v>
      </c>
      <c r="G1659" s="4" t="s">
        <v>1461</v>
      </c>
      <c r="N1659" s="4" t="s">
        <v>567</v>
      </c>
      <c r="O1659" s="4" t="s">
        <v>343</v>
      </c>
      <c r="Q1659" s="4" t="s">
        <v>540</v>
      </c>
      <c r="AC1659" s="4" t="s">
        <v>1462</v>
      </c>
      <c r="AD1659" s="4" t="s">
        <v>1461</v>
      </c>
      <c r="AE1659" s="4" t="s">
        <v>1463</v>
      </c>
      <c r="AF1659" s="4" t="s">
        <v>1464</v>
      </c>
      <c r="BI1659" s="4" t="s">
        <v>309</v>
      </c>
      <c r="BN1659" s="4">
        <v>7.5</v>
      </c>
      <c r="BS1659" s="4">
        <v>3</v>
      </c>
      <c r="BU1659" s="4">
        <v>150</v>
      </c>
      <c r="BW1659" s="4">
        <v>25</v>
      </c>
      <c r="CB1659" s="4" t="s">
        <v>8</v>
      </c>
      <c r="CC1659" s="4">
        <v>40</v>
      </c>
      <c r="DO1659" s="4">
        <v>3</v>
      </c>
      <c r="EP1659" s="4">
        <v>95.6</v>
      </c>
      <c r="ES1659" s="4">
        <v>95.6</v>
      </c>
    </row>
    <row r="1660" customHeight="1" spans="1:313">
      <c r="A1660" s="3">
        <v>56</v>
      </c>
      <c r="B1660" s="4" t="s">
        <v>1448</v>
      </c>
      <c r="C1660" s="5" t="s">
        <v>1465</v>
      </c>
      <c r="D1660" s="4" t="s">
        <v>1466</v>
      </c>
      <c r="E1660" s="4" t="s">
        <v>1467</v>
      </c>
      <c r="F1660" s="4" t="s">
        <v>328</v>
      </c>
      <c r="G1660" s="4" t="s">
        <v>1461</v>
      </c>
      <c r="N1660" s="4" t="s">
        <v>567</v>
      </c>
      <c r="O1660" s="4" t="s">
        <v>343</v>
      </c>
      <c r="Q1660" s="4" t="s">
        <v>540</v>
      </c>
      <c r="AC1660" s="4" t="s">
        <v>1462</v>
      </c>
      <c r="AD1660" s="4" t="s">
        <v>1461</v>
      </c>
      <c r="AE1660" s="4" t="s">
        <v>1463</v>
      </c>
      <c r="AF1660" s="4" t="s">
        <v>1464</v>
      </c>
      <c r="BI1660" s="4" t="s">
        <v>309</v>
      </c>
      <c r="BN1660" s="4">
        <v>7.5</v>
      </c>
      <c r="BS1660" s="4">
        <v>5</v>
      </c>
      <c r="BU1660" s="4">
        <v>150</v>
      </c>
      <c r="BW1660" s="4">
        <v>25</v>
      </c>
      <c r="CB1660" s="4" t="s">
        <v>8</v>
      </c>
      <c r="CC1660" s="4">
        <v>40</v>
      </c>
      <c r="DO1660" s="4">
        <v>3</v>
      </c>
      <c r="EP1660" s="4">
        <v>86.8</v>
      </c>
      <c r="ES1660" s="4">
        <v>86.8</v>
      </c>
    </row>
    <row r="1661" customHeight="1" spans="1:313">
      <c r="A1661" s="3">
        <v>56</v>
      </c>
      <c r="B1661" s="4" t="s">
        <v>1448</v>
      </c>
      <c r="C1661" s="5" t="s">
        <v>1465</v>
      </c>
      <c r="D1661" s="4" t="s">
        <v>1466</v>
      </c>
      <c r="E1661" s="4" t="s">
        <v>1467</v>
      </c>
      <c r="F1661" s="4" t="s">
        <v>328</v>
      </c>
      <c r="G1661" s="4" t="s">
        <v>1461</v>
      </c>
      <c r="N1661" s="4" t="s">
        <v>567</v>
      </c>
      <c r="O1661" s="4" t="s">
        <v>343</v>
      </c>
      <c r="Q1661" s="4" t="s">
        <v>540</v>
      </c>
      <c r="AC1661" s="4" t="s">
        <v>1462</v>
      </c>
      <c r="AD1661" s="4" t="s">
        <v>1461</v>
      </c>
      <c r="AE1661" s="4" t="s">
        <v>1463</v>
      </c>
      <c r="AF1661" s="4" t="s">
        <v>1464</v>
      </c>
      <c r="BI1661" s="4" t="s">
        <v>309</v>
      </c>
      <c r="BN1661" s="4">
        <v>7.5</v>
      </c>
      <c r="BS1661" s="4">
        <v>7</v>
      </c>
      <c r="BU1661" s="4">
        <v>150</v>
      </c>
      <c r="BW1661" s="4">
        <v>25</v>
      </c>
      <c r="CB1661" s="4" t="s">
        <v>8</v>
      </c>
      <c r="CC1661" s="4">
        <v>40</v>
      </c>
      <c r="DO1661" s="4">
        <v>3</v>
      </c>
      <c r="EP1661" s="4">
        <v>100</v>
      </c>
      <c r="ES1661" s="4">
        <v>100</v>
      </c>
    </row>
    <row r="1662" customHeight="1" spans="1:313">
      <c r="A1662" s="3">
        <v>56</v>
      </c>
      <c r="B1662" s="4" t="s">
        <v>1448</v>
      </c>
      <c r="C1662" s="5" t="s">
        <v>1465</v>
      </c>
      <c r="D1662" s="4" t="s">
        <v>1466</v>
      </c>
      <c r="E1662" s="4" t="s">
        <v>1467</v>
      </c>
      <c r="F1662" s="4" t="s">
        <v>328</v>
      </c>
      <c r="G1662" s="4" t="s">
        <v>1461</v>
      </c>
      <c r="N1662" s="4" t="s">
        <v>567</v>
      </c>
      <c r="O1662" s="4" t="s">
        <v>343</v>
      </c>
      <c r="Q1662" s="4" t="s">
        <v>540</v>
      </c>
      <c r="AC1662" s="4" t="s">
        <v>1462</v>
      </c>
      <c r="AD1662" s="4" t="s">
        <v>1461</v>
      </c>
      <c r="AE1662" s="4" t="s">
        <v>1463</v>
      </c>
      <c r="AF1662" s="4" t="s">
        <v>1464</v>
      </c>
      <c r="BI1662" s="4" t="s">
        <v>309</v>
      </c>
      <c r="BN1662" s="4">
        <v>7.5</v>
      </c>
      <c r="BS1662" s="4">
        <v>10</v>
      </c>
      <c r="BU1662" s="4">
        <v>150</v>
      </c>
      <c r="BW1662" s="4">
        <v>25</v>
      </c>
      <c r="CB1662" s="4" t="s">
        <v>8</v>
      </c>
      <c r="CC1662" s="4">
        <v>40</v>
      </c>
      <c r="DO1662" s="4">
        <v>3</v>
      </c>
      <c r="EP1662" s="4">
        <v>79.82</v>
      </c>
      <c r="ES1662" s="4">
        <v>79.82</v>
      </c>
    </row>
    <row r="1663" customHeight="1" spans="1:313">
      <c r="A1663" s="3">
        <v>56</v>
      </c>
      <c r="B1663" s="4" t="s">
        <v>1448</v>
      </c>
      <c r="C1663" s="5" t="s">
        <v>1465</v>
      </c>
      <c r="D1663" s="4" t="s">
        <v>1466</v>
      </c>
      <c r="E1663" s="4" t="s">
        <v>1467</v>
      </c>
      <c r="F1663" s="4" t="s">
        <v>328</v>
      </c>
      <c r="G1663" s="4" t="s">
        <v>1461</v>
      </c>
      <c r="N1663" s="4" t="s">
        <v>567</v>
      </c>
      <c r="O1663" s="4" t="s">
        <v>343</v>
      </c>
      <c r="Q1663" s="4" t="s">
        <v>540</v>
      </c>
      <c r="AC1663" s="4" t="s">
        <v>1462</v>
      </c>
      <c r="AD1663" s="4" t="s">
        <v>1461</v>
      </c>
      <c r="AE1663" s="4" t="s">
        <v>1463</v>
      </c>
      <c r="AF1663" s="4" t="s">
        <v>1464</v>
      </c>
      <c r="AH1663" s="4" t="s">
        <v>596</v>
      </c>
      <c r="AI1663" s="4" t="s">
        <v>1455</v>
      </c>
      <c r="BD1663" s="4" t="s">
        <v>1456</v>
      </c>
      <c r="BI1663" s="4" t="s">
        <v>321</v>
      </c>
      <c r="BL1663" s="4">
        <v>1</v>
      </c>
      <c r="BM1663" s="4">
        <v>0.01</v>
      </c>
      <c r="BN1663" s="4">
        <v>2</v>
      </c>
      <c r="BS1663" s="4">
        <v>6.21</v>
      </c>
      <c r="BV1663" s="4">
        <v>90</v>
      </c>
      <c r="CB1663" s="4" t="s">
        <v>8</v>
      </c>
      <c r="CD1663" s="4">
        <v>200</v>
      </c>
      <c r="DO1663" s="4">
        <v>3</v>
      </c>
      <c r="EL1663" s="4">
        <v>9.68</v>
      </c>
      <c r="ER1663" s="1">
        <f t="shared" ref="ER1663:ER1666" si="52">EL1663/CD1663*100</f>
        <v>4.84</v>
      </c>
      <c r="ES1663" s="1">
        <v>4.84</v>
      </c>
    </row>
    <row r="1664" customHeight="1" spans="1:313">
      <c r="A1664" s="3">
        <v>56</v>
      </c>
      <c r="B1664" s="4" t="s">
        <v>1448</v>
      </c>
      <c r="C1664" s="5" t="s">
        <v>1465</v>
      </c>
      <c r="D1664" s="4" t="s">
        <v>1466</v>
      </c>
      <c r="E1664" s="4" t="s">
        <v>1467</v>
      </c>
      <c r="F1664" s="4" t="s">
        <v>328</v>
      </c>
      <c r="G1664" s="4" t="s">
        <v>1461</v>
      </c>
      <c r="N1664" s="4" t="s">
        <v>567</v>
      </c>
      <c r="O1664" s="4" t="s">
        <v>343</v>
      </c>
      <c r="Q1664" s="4" t="s">
        <v>540</v>
      </c>
      <c r="AC1664" s="4" t="s">
        <v>1462</v>
      </c>
      <c r="AD1664" s="4" t="s">
        <v>1461</v>
      </c>
      <c r="AE1664" s="4" t="s">
        <v>1463</v>
      </c>
      <c r="AF1664" s="4" t="s">
        <v>1464</v>
      </c>
      <c r="AH1664" s="4" t="s">
        <v>596</v>
      </c>
      <c r="AI1664" s="4" t="s">
        <v>1455</v>
      </c>
      <c r="BD1664" s="4" t="s">
        <v>1456</v>
      </c>
      <c r="BI1664" s="4" t="s">
        <v>321</v>
      </c>
      <c r="BL1664" s="4">
        <v>1</v>
      </c>
      <c r="BM1664" s="4">
        <v>0.01</v>
      </c>
      <c r="BN1664" s="4">
        <v>2</v>
      </c>
      <c r="BS1664" s="4">
        <v>6.21</v>
      </c>
      <c r="BV1664" s="4">
        <v>90</v>
      </c>
      <c r="CB1664" s="4" t="s">
        <v>8</v>
      </c>
      <c r="CD1664" s="4">
        <v>400</v>
      </c>
      <c r="DO1664" s="4">
        <v>3</v>
      </c>
      <c r="EL1664" s="4">
        <v>14.5</v>
      </c>
      <c r="ER1664" s="1">
        <f t="shared" si="52"/>
        <v>3.625</v>
      </c>
      <c r="ES1664" s="1">
        <v>3.625</v>
      </c>
    </row>
    <row r="1665" customHeight="1" spans="1:169">
      <c r="A1665" s="3">
        <v>56</v>
      </c>
      <c r="B1665" s="4" t="s">
        <v>1448</v>
      </c>
      <c r="C1665" s="5" t="s">
        <v>1465</v>
      </c>
      <c r="D1665" s="4" t="s">
        <v>1466</v>
      </c>
      <c r="E1665" s="4" t="s">
        <v>1467</v>
      </c>
      <c r="F1665" s="4" t="s">
        <v>328</v>
      </c>
      <c r="G1665" s="4" t="s">
        <v>1461</v>
      </c>
      <c r="N1665" s="4" t="s">
        <v>567</v>
      </c>
      <c r="O1665" s="4" t="s">
        <v>343</v>
      </c>
      <c r="Q1665" s="4" t="s">
        <v>540</v>
      </c>
      <c r="AC1665" s="4" t="s">
        <v>1462</v>
      </c>
      <c r="AD1665" s="4" t="s">
        <v>1461</v>
      </c>
      <c r="AE1665" s="4" t="s">
        <v>1463</v>
      </c>
      <c r="AF1665" s="4" t="s">
        <v>1464</v>
      </c>
      <c r="AH1665" s="4" t="s">
        <v>596</v>
      </c>
      <c r="AI1665" s="4" t="s">
        <v>1455</v>
      </c>
      <c r="BD1665" s="4" t="s">
        <v>1456</v>
      </c>
      <c r="BI1665" s="4" t="s">
        <v>321</v>
      </c>
      <c r="BL1665" s="4">
        <v>1</v>
      </c>
      <c r="BM1665" s="4">
        <v>0.01</v>
      </c>
      <c r="BN1665" s="4">
        <v>2</v>
      </c>
      <c r="BS1665" s="4">
        <v>6.21</v>
      </c>
      <c r="BV1665" s="4">
        <v>90</v>
      </c>
      <c r="CB1665" s="4" t="s">
        <v>8</v>
      </c>
      <c r="CD1665" s="4">
        <v>600</v>
      </c>
      <c r="DO1665" s="4">
        <v>3</v>
      </c>
      <c r="EL1665" s="4">
        <v>20.76</v>
      </c>
      <c r="ER1665" s="1">
        <f t="shared" si="52"/>
        <v>3.46</v>
      </c>
      <c r="ES1665" s="1">
        <v>3.46</v>
      </c>
    </row>
    <row r="1666" customHeight="1" spans="1:169">
      <c r="A1666" s="3">
        <v>56</v>
      </c>
      <c r="B1666" s="4" t="s">
        <v>1448</v>
      </c>
      <c r="C1666" s="5" t="s">
        <v>1465</v>
      </c>
      <c r="D1666" s="4" t="s">
        <v>1466</v>
      </c>
      <c r="E1666" s="4" t="s">
        <v>1467</v>
      </c>
      <c r="F1666" s="4" t="s">
        <v>328</v>
      </c>
      <c r="G1666" s="4" t="s">
        <v>1461</v>
      </c>
      <c r="N1666" s="4" t="s">
        <v>567</v>
      </c>
      <c r="O1666" s="4" t="s">
        <v>343</v>
      </c>
      <c r="Q1666" s="4" t="s">
        <v>540</v>
      </c>
      <c r="AC1666" s="4" t="s">
        <v>1462</v>
      </c>
      <c r="AD1666" s="4" t="s">
        <v>1461</v>
      </c>
      <c r="AE1666" s="4" t="s">
        <v>1463</v>
      </c>
      <c r="AF1666" s="4" t="s">
        <v>1464</v>
      </c>
      <c r="AH1666" s="4" t="s">
        <v>596</v>
      </c>
      <c r="AI1666" s="4" t="s">
        <v>1455</v>
      </c>
      <c r="BD1666" s="4" t="s">
        <v>1456</v>
      </c>
      <c r="BI1666" s="4" t="s">
        <v>321</v>
      </c>
      <c r="BL1666" s="4">
        <v>1</v>
      </c>
      <c r="BM1666" s="4">
        <v>0.01</v>
      </c>
      <c r="BN1666" s="4">
        <v>2</v>
      </c>
      <c r="BS1666" s="4">
        <v>6.21</v>
      </c>
      <c r="BV1666" s="4">
        <v>90</v>
      </c>
      <c r="CB1666" s="4" t="s">
        <v>8</v>
      </c>
      <c r="CD1666" s="4">
        <v>1000</v>
      </c>
      <c r="DO1666" s="4">
        <v>3</v>
      </c>
      <c r="EL1666" s="4">
        <v>48.76</v>
      </c>
      <c r="ER1666" s="1">
        <f t="shared" si="52"/>
        <v>4.876</v>
      </c>
      <c r="ES1666" s="1">
        <v>4.876</v>
      </c>
    </row>
    <row r="1667" customHeight="1" spans="1:169">
      <c r="A1667" s="3">
        <v>56</v>
      </c>
      <c r="B1667" s="4" t="s">
        <v>1448</v>
      </c>
      <c r="C1667" s="5" t="s">
        <v>1465</v>
      </c>
      <c r="D1667" s="4" t="s">
        <v>1466</v>
      </c>
      <c r="E1667" s="4" t="s">
        <v>1467</v>
      </c>
      <c r="F1667" s="4" t="s">
        <v>328</v>
      </c>
      <c r="G1667" s="4" t="s">
        <v>1461</v>
      </c>
      <c r="N1667" s="4" t="s">
        <v>567</v>
      </c>
      <c r="O1667" s="4" t="s">
        <v>343</v>
      </c>
      <c r="Q1667" s="4" t="s">
        <v>540</v>
      </c>
      <c r="AC1667" s="4" t="s">
        <v>1462</v>
      </c>
      <c r="AD1667" s="4" t="s">
        <v>1461</v>
      </c>
      <c r="AE1667" s="4" t="s">
        <v>1463</v>
      </c>
      <c r="AF1667" s="4" t="s">
        <v>1464</v>
      </c>
      <c r="AH1667" s="4" t="s">
        <v>596</v>
      </c>
      <c r="AI1667" s="4" t="s">
        <v>1455</v>
      </c>
      <c r="BD1667" s="4" t="s">
        <v>1456</v>
      </c>
      <c r="BI1667" s="4" t="s">
        <v>321</v>
      </c>
      <c r="BL1667" s="4">
        <v>1</v>
      </c>
      <c r="BM1667" s="4">
        <v>0.05</v>
      </c>
      <c r="BS1667" s="4">
        <v>6.21</v>
      </c>
      <c r="BV1667" s="4" t="s">
        <v>1457</v>
      </c>
      <c r="CB1667" s="4" t="s">
        <v>8</v>
      </c>
      <c r="CD1667" s="4">
        <v>1000</v>
      </c>
      <c r="CV1667" s="4">
        <v>10</v>
      </c>
      <c r="DM1667" s="4">
        <v>90</v>
      </c>
      <c r="DO1667" s="4">
        <v>3</v>
      </c>
      <c r="EH1667" s="4">
        <v>12.2</v>
      </c>
      <c r="ER1667" s="1">
        <f>(CD1667-EH1667)/CD1667*100</f>
        <v>98.78</v>
      </c>
      <c r="ES1667" s="1">
        <v>98.78</v>
      </c>
    </row>
    <row r="1668" customHeight="1" spans="1:169">
      <c r="A1668" s="3">
        <v>56</v>
      </c>
      <c r="B1668" s="4" t="s">
        <v>1448</v>
      </c>
      <c r="C1668" s="5" t="s">
        <v>1465</v>
      </c>
      <c r="D1668" s="4" t="s">
        <v>1466</v>
      </c>
      <c r="E1668" s="4" t="s">
        <v>1467</v>
      </c>
      <c r="F1668" s="4" t="s">
        <v>328</v>
      </c>
      <c r="G1668" s="4" t="s">
        <v>1461</v>
      </c>
      <c r="N1668" s="4" t="s">
        <v>567</v>
      </c>
      <c r="O1668" s="4" t="s">
        <v>343</v>
      </c>
      <c r="Q1668" s="4" t="s">
        <v>540</v>
      </c>
      <c r="AC1668" s="4" t="s">
        <v>1462</v>
      </c>
      <c r="AD1668" s="4" t="s">
        <v>1461</v>
      </c>
      <c r="AE1668" s="4" t="s">
        <v>1463</v>
      </c>
      <c r="AF1668" s="4" t="s">
        <v>1464</v>
      </c>
      <c r="AH1668" s="4" t="s">
        <v>596</v>
      </c>
      <c r="AI1668" s="4" t="s">
        <v>1455</v>
      </c>
      <c r="BD1668" s="4" t="s">
        <v>1456</v>
      </c>
      <c r="DO1668" s="4">
        <v>3</v>
      </c>
    </row>
    <row r="1669" customHeight="1" spans="1:169">
      <c r="A1669" s="3">
        <v>56</v>
      </c>
      <c r="B1669" s="4" t="s">
        <v>1448</v>
      </c>
      <c r="C1669" s="5" t="s">
        <v>1465</v>
      </c>
      <c r="D1669" s="4" t="s">
        <v>1466</v>
      </c>
      <c r="E1669" s="4" t="s">
        <v>1467</v>
      </c>
      <c r="F1669" s="4" t="s">
        <v>328</v>
      </c>
      <c r="G1669" s="4" t="s">
        <v>1461</v>
      </c>
      <c r="N1669" s="4" t="s">
        <v>567</v>
      </c>
      <c r="O1669" s="4" t="s">
        <v>343</v>
      </c>
      <c r="Q1669" s="4" t="s">
        <v>540</v>
      </c>
      <c r="AC1669" s="4" t="s">
        <v>1462</v>
      </c>
      <c r="AD1669" s="4" t="s">
        <v>1461</v>
      </c>
      <c r="AE1669" s="4" t="s">
        <v>1463</v>
      </c>
      <c r="AF1669" s="4" t="s">
        <v>1464</v>
      </c>
      <c r="AH1669" s="4" t="s">
        <v>596</v>
      </c>
      <c r="AI1669" s="4" t="s">
        <v>1455</v>
      </c>
      <c r="BD1669" s="4" t="s">
        <v>1456</v>
      </c>
      <c r="DO1669" s="4">
        <v>3</v>
      </c>
    </row>
    <row r="1670" customHeight="1" spans="1:169">
      <c r="A1670" s="3">
        <v>56</v>
      </c>
      <c r="B1670" s="4" t="s">
        <v>1448</v>
      </c>
      <c r="C1670" s="5" t="s">
        <v>1465</v>
      </c>
      <c r="D1670" s="4" t="s">
        <v>1466</v>
      </c>
      <c r="E1670" s="4" t="s">
        <v>1467</v>
      </c>
      <c r="F1670" s="4" t="s">
        <v>328</v>
      </c>
      <c r="G1670" s="4" t="s">
        <v>1461</v>
      </c>
      <c r="N1670" s="4" t="s">
        <v>567</v>
      </c>
      <c r="O1670" s="4" t="s">
        <v>343</v>
      </c>
      <c r="Q1670" s="4" t="s">
        <v>540</v>
      </c>
      <c r="AC1670" s="4" t="s">
        <v>1462</v>
      </c>
      <c r="AD1670" s="4" t="s">
        <v>1461</v>
      </c>
      <c r="AE1670" s="4" t="s">
        <v>1463</v>
      </c>
      <c r="AF1670" s="4" t="s">
        <v>1464</v>
      </c>
      <c r="AH1670" s="4" t="s">
        <v>596</v>
      </c>
      <c r="AI1670" s="4" t="s">
        <v>1455</v>
      </c>
      <c r="BD1670" s="4" t="s">
        <v>1456</v>
      </c>
      <c r="DO1670" s="4">
        <v>3</v>
      </c>
    </row>
    <row r="1671" customHeight="1" spans="1:169">
      <c r="A1671" s="25">
        <v>57</v>
      </c>
      <c r="B1671" s="25" t="s">
        <v>1469</v>
      </c>
      <c r="C1671" s="46" t="s">
        <v>1329</v>
      </c>
      <c r="D1671" s="1" t="s">
        <v>300</v>
      </c>
      <c r="E1671" s="1" t="s">
        <v>1470</v>
      </c>
      <c r="F1671" s="1"/>
      <c r="G1671" s="1"/>
      <c r="H1671" s="1"/>
      <c r="I1671" s="1"/>
      <c r="J1671" s="1"/>
      <c r="K1671" s="1"/>
      <c r="L1671" s="1"/>
      <c r="M1671" s="1"/>
      <c r="N1671" s="1" t="s">
        <v>567</v>
      </c>
      <c r="O1671" s="1" t="s">
        <v>343</v>
      </c>
      <c r="P1671" s="1">
        <v>3</v>
      </c>
      <c r="AI1671" s="47" t="s">
        <v>1471</v>
      </c>
      <c r="BI1671" s="4" t="s">
        <v>321</v>
      </c>
      <c r="BL1671" s="1">
        <v>100</v>
      </c>
      <c r="BP1671" s="35">
        <v>0</v>
      </c>
      <c r="BV1671" s="35">
        <v>0</v>
      </c>
      <c r="BW1671" s="1">
        <v>25</v>
      </c>
      <c r="BX1671" s="1">
        <v>30</v>
      </c>
      <c r="DO1671" s="4">
        <v>3</v>
      </c>
      <c r="DQ1671" s="1">
        <v>4.01</v>
      </c>
      <c r="DR1671" s="1">
        <v>0.7217</v>
      </c>
      <c r="DS1671" s="1">
        <v>4.01</v>
      </c>
      <c r="DT1671" s="1">
        <v>0.7217</v>
      </c>
      <c r="ED1671" s="1">
        <v>0</v>
      </c>
      <c r="FL1671" s="1">
        <v>228.7</v>
      </c>
      <c r="FM1671" s="1">
        <v>0.5081</v>
      </c>
    </row>
    <row r="1672" customHeight="1" spans="1:169">
      <c r="A1672" s="25">
        <v>57</v>
      </c>
      <c r="B1672" s="25" t="s">
        <v>1469</v>
      </c>
      <c r="C1672" s="46" t="s">
        <v>1329</v>
      </c>
      <c r="D1672" s="1" t="s">
        <v>300</v>
      </c>
      <c r="E1672" s="1" t="s">
        <v>1470</v>
      </c>
      <c r="F1672" s="1"/>
      <c r="G1672" s="1"/>
      <c r="H1672" s="1"/>
      <c r="I1672" s="1"/>
      <c r="J1672" s="1"/>
      <c r="K1672" s="1"/>
      <c r="L1672" s="1"/>
      <c r="M1672" s="1"/>
      <c r="N1672" s="1" t="s">
        <v>567</v>
      </c>
      <c r="O1672" s="1" t="s">
        <v>343</v>
      </c>
      <c r="P1672" s="1">
        <v>3</v>
      </c>
      <c r="AI1672" s="47" t="s">
        <v>1472</v>
      </c>
      <c r="BI1672" s="4" t="s">
        <v>321</v>
      </c>
      <c r="BJ1672" s="1"/>
      <c r="BK1672" s="1"/>
      <c r="BL1672" s="1">
        <v>100</v>
      </c>
      <c r="BM1672" s="1"/>
      <c r="BN1672" s="1"/>
      <c r="BP1672" s="35">
        <v>0</v>
      </c>
      <c r="BV1672" s="35">
        <v>0</v>
      </c>
      <c r="BW1672" s="1">
        <v>25</v>
      </c>
      <c r="BX1672" s="1">
        <v>30</v>
      </c>
      <c r="CB1672" s="1"/>
      <c r="CC1672" s="1"/>
      <c r="DQ1672" s="1">
        <v>12.43</v>
      </c>
      <c r="DR1672" s="1">
        <v>0.612</v>
      </c>
      <c r="DS1672" s="1">
        <v>12.43</v>
      </c>
      <c r="DT1672" s="1">
        <v>0.612</v>
      </c>
      <c r="ED1672" s="1">
        <v>0</v>
      </c>
      <c r="FL1672" s="1">
        <v>172.26</v>
      </c>
      <c r="FM1672" s="1">
        <v>0.866</v>
      </c>
    </row>
    <row r="1673" customHeight="1" spans="1:169">
      <c r="A1673" s="25">
        <v>57</v>
      </c>
      <c r="B1673" s="25" t="s">
        <v>1469</v>
      </c>
      <c r="C1673" s="46" t="s">
        <v>1329</v>
      </c>
      <c r="D1673" s="1" t="s">
        <v>300</v>
      </c>
      <c r="E1673" s="1" t="s">
        <v>1470</v>
      </c>
      <c r="F1673" s="1"/>
      <c r="G1673" s="1"/>
      <c r="H1673" s="1"/>
      <c r="I1673" s="1"/>
      <c r="J1673" s="1"/>
      <c r="K1673" s="1"/>
      <c r="L1673" s="1"/>
      <c r="M1673" s="1"/>
      <c r="N1673" s="1" t="s">
        <v>567</v>
      </c>
      <c r="O1673" s="1" t="s">
        <v>343</v>
      </c>
      <c r="P1673" s="1">
        <v>3</v>
      </c>
      <c r="AI1673" s="47" t="s">
        <v>1473</v>
      </c>
      <c r="BI1673" s="4" t="s">
        <v>321</v>
      </c>
      <c r="BJ1673" s="1"/>
      <c r="BK1673" s="1"/>
      <c r="BL1673" s="1">
        <v>100</v>
      </c>
      <c r="BM1673" s="1"/>
      <c r="BN1673" s="1"/>
      <c r="BP1673" s="35">
        <v>0</v>
      </c>
      <c r="BV1673" s="35">
        <v>0</v>
      </c>
      <c r="BW1673" s="1">
        <v>25</v>
      </c>
      <c r="BX1673" s="1">
        <v>30</v>
      </c>
      <c r="CB1673" s="1"/>
      <c r="CC1673" s="1"/>
      <c r="DQ1673" s="1">
        <v>9.05</v>
      </c>
      <c r="DR1673" s="1">
        <v>0.5716</v>
      </c>
      <c r="DS1673" s="1">
        <v>9.05</v>
      </c>
      <c r="DT1673" s="1">
        <v>0.5716</v>
      </c>
      <c r="ED1673" s="1">
        <v>0</v>
      </c>
      <c r="FL1673" s="1">
        <v>68.19</v>
      </c>
      <c r="FM1673" s="1">
        <v>1.0335</v>
      </c>
    </row>
    <row r="1674" customHeight="1" spans="1:169">
      <c r="A1674" s="25">
        <v>57</v>
      </c>
      <c r="B1674" s="25" t="s">
        <v>1469</v>
      </c>
      <c r="C1674" s="46" t="s">
        <v>1329</v>
      </c>
      <c r="D1674" s="1" t="s">
        <v>300</v>
      </c>
      <c r="E1674" s="1" t="s">
        <v>1470</v>
      </c>
      <c r="F1674" s="1"/>
      <c r="G1674" s="1"/>
      <c r="H1674" s="1"/>
      <c r="I1674" s="1"/>
      <c r="J1674" s="1"/>
      <c r="K1674" s="1"/>
      <c r="L1674" s="1"/>
      <c r="M1674" s="1"/>
      <c r="N1674" s="1" t="s">
        <v>567</v>
      </c>
      <c r="O1674" s="1" t="s">
        <v>343</v>
      </c>
      <c r="P1674" s="1">
        <v>3</v>
      </c>
      <c r="AI1674" s="47" t="s">
        <v>1474</v>
      </c>
      <c r="BI1674" s="4" t="s">
        <v>321</v>
      </c>
      <c r="BJ1674" s="1"/>
      <c r="BK1674" s="1"/>
      <c r="BL1674" s="1">
        <v>100</v>
      </c>
      <c r="BM1674" s="1"/>
      <c r="BN1674" s="1"/>
      <c r="BP1674" s="35">
        <v>0</v>
      </c>
      <c r="BV1674" s="35">
        <v>0</v>
      </c>
      <c r="BW1674" s="1">
        <v>25</v>
      </c>
      <c r="BX1674" s="1">
        <v>30</v>
      </c>
      <c r="CB1674" s="1"/>
      <c r="CC1674" s="1"/>
      <c r="DQ1674" s="1">
        <v>13.48</v>
      </c>
      <c r="DR1674" s="1">
        <v>0.3926</v>
      </c>
      <c r="DS1674" s="1">
        <v>13.48</v>
      </c>
      <c r="DT1674" s="1">
        <v>0.3926</v>
      </c>
      <c r="ED1674" s="1">
        <v>0</v>
      </c>
      <c r="FL1674" s="1">
        <v>199.16</v>
      </c>
      <c r="FM1674" s="1">
        <v>0.9988</v>
      </c>
    </row>
    <row r="1675" customHeight="1" spans="1:169">
      <c r="A1675" s="25">
        <v>57</v>
      </c>
      <c r="B1675" s="25" t="s">
        <v>1469</v>
      </c>
      <c r="C1675" s="46" t="s">
        <v>1329</v>
      </c>
      <c r="D1675" s="1" t="s">
        <v>300</v>
      </c>
      <c r="E1675" s="1" t="s">
        <v>1470</v>
      </c>
      <c r="F1675" s="1"/>
      <c r="G1675" s="1"/>
      <c r="H1675" s="1"/>
      <c r="I1675" s="1"/>
      <c r="J1675" s="1"/>
      <c r="K1675" s="1"/>
      <c r="L1675" s="1"/>
      <c r="M1675" s="1"/>
      <c r="N1675" s="1" t="s">
        <v>567</v>
      </c>
      <c r="O1675" s="1" t="s">
        <v>343</v>
      </c>
      <c r="P1675" s="1">
        <v>3</v>
      </c>
      <c r="AI1675" s="47" t="s">
        <v>1475</v>
      </c>
      <c r="BI1675" s="4" t="s">
        <v>321</v>
      </c>
      <c r="BJ1675" s="1"/>
      <c r="BK1675" s="1"/>
      <c r="BL1675" s="1">
        <v>100</v>
      </c>
      <c r="BM1675" s="1"/>
      <c r="BN1675" s="1"/>
      <c r="BP1675" s="35">
        <v>0</v>
      </c>
      <c r="BV1675" s="35">
        <v>0</v>
      </c>
      <c r="BW1675" s="1">
        <v>25</v>
      </c>
      <c r="BX1675" s="1">
        <v>30</v>
      </c>
      <c r="CB1675" s="1"/>
      <c r="CC1675" s="1"/>
      <c r="DQ1675" s="1">
        <v>16.71</v>
      </c>
      <c r="DR1675" s="1">
        <v>0.791</v>
      </c>
      <c r="DS1675" s="1">
        <v>16.71</v>
      </c>
      <c r="DT1675" s="1">
        <v>0.791</v>
      </c>
      <c r="ED1675" s="1">
        <v>0</v>
      </c>
      <c r="FL1675" s="1">
        <v>140.29</v>
      </c>
      <c r="FM1675" s="1">
        <v>1.657</v>
      </c>
    </row>
    <row r="1676" customHeight="1" spans="1:169">
      <c r="A1676" s="25">
        <v>57</v>
      </c>
      <c r="B1676" s="25" t="s">
        <v>1469</v>
      </c>
      <c r="C1676" s="46" t="s">
        <v>1329</v>
      </c>
      <c r="D1676" s="1" t="s">
        <v>300</v>
      </c>
      <c r="E1676" s="1" t="s">
        <v>1470</v>
      </c>
      <c r="F1676" s="1"/>
      <c r="G1676" s="1"/>
      <c r="H1676" s="1"/>
      <c r="I1676" s="1"/>
      <c r="J1676" s="1"/>
      <c r="K1676" s="1"/>
      <c r="L1676" s="1"/>
      <c r="M1676" s="1"/>
      <c r="N1676" s="1" t="s">
        <v>567</v>
      </c>
      <c r="O1676" s="1" t="s">
        <v>343</v>
      </c>
      <c r="P1676" s="1">
        <v>3</v>
      </c>
      <c r="AI1676" s="47" t="s">
        <v>1476</v>
      </c>
      <c r="BI1676" s="4" t="s">
        <v>321</v>
      </c>
      <c r="BJ1676" s="1"/>
      <c r="BK1676" s="1"/>
      <c r="BL1676" s="1">
        <v>100</v>
      </c>
      <c r="BM1676" s="1"/>
      <c r="BN1676" s="1"/>
      <c r="BP1676" s="35">
        <v>0</v>
      </c>
      <c r="BV1676" s="35">
        <v>0</v>
      </c>
      <c r="BW1676" s="1">
        <v>25</v>
      </c>
      <c r="BX1676" s="1">
        <v>30</v>
      </c>
      <c r="CB1676" s="1"/>
      <c r="CC1676" s="1"/>
      <c r="DQ1676" s="1">
        <v>17.94</v>
      </c>
      <c r="DR1676" s="1">
        <v>0.3984</v>
      </c>
      <c r="DS1676" s="1">
        <v>17.94</v>
      </c>
      <c r="DT1676" s="1">
        <v>0.3984</v>
      </c>
      <c r="ED1676" s="1">
        <v>0</v>
      </c>
      <c r="FL1676" s="1">
        <v>137.47</v>
      </c>
      <c r="FM1676" s="1">
        <v>0</v>
      </c>
    </row>
    <row r="1677" customHeight="1" spans="1:169">
      <c r="A1677" s="25">
        <v>57</v>
      </c>
      <c r="B1677" s="25" t="s">
        <v>1469</v>
      </c>
      <c r="C1677" s="46" t="s">
        <v>1329</v>
      </c>
      <c r="D1677" s="1" t="s">
        <v>300</v>
      </c>
      <c r="E1677" s="1" t="s">
        <v>1470</v>
      </c>
      <c r="F1677" s="1"/>
      <c r="G1677" s="1"/>
      <c r="H1677" s="1"/>
      <c r="I1677" s="1"/>
      <c r="J1677" s="1"/>
      <c r="K1677" s="1"/>
      <c r="L1677" s="1"/>
      <c r="M1677" s="1"/>
      <c r="N1677" s="1" t="s">
        <v>567</v>
      </c>
      <c r="O1677" s="1" t="s">
        <v>343</v>
      </c>
      <c r="P1677" s="1">
        <v>3</v>
      </c>
      <c r="AI1677" s="47" t="s">
        <v>1477</v>
      </c>
      <c r="BI1677" s="4" t="s">
        <v>321</v>
      </c>
      <c r="BJ1677" s="1"/>
      <c r="BK1677" s="1"/>
      <c r="BL1677" s="1">
        <v>100</v>
      </c>
      <c r="BM1677" s="1"/>
      <c r="BN1677" s="1"/>
      <c r="BP1677" s="35">
        <v>0</v>
      </c>
      <c r="BV1677" s="35">
        <v>0</v>
      </c>
      <c r="BW1677" s="1">
        <v>25</v>
      </c>
      <c r="BX1677" s="1">
        <v>30</v>
      </c>
      <c r="CB1677" s="1"/>
      <c r="CC1677" s="1"/>
      <c r="DQ1677" s="1">
        <v>1.44</v>
      </c>
      <c r="DR1677" s="1">
        <v>0.3868</v>
      </c>
      <c r="DS1677" s="1">
        <v>1.44</v>
      </c>
      <c r="DT1677" s="1">
        <v>0.3868</v>
      </c>
      <c r="ED1677" s="1">
        <v>0</v>
      </c>
      <c r="FL1677" s="1">
        <v>5152.42</v>
      </c>
      <c r="FM1677" s="1">
        <v>120.799</v>
      </c>
    </row>
    <row r="1678" customHeight="1" spans="1:169">
      <c r="A1678" s="25">
        <v>57</v>
      </c>
      <c r="B1678" s="25" t="s">
        <v>1469</v>
      </c>
      <c r="C1678" s="46" t="s">
        <v>1329</v>
      </c>
      <c r="D1678" s="1" t="s">
        <v>300</v>
      </c>
      <c r="E1678" s="1" t="s">
        <v>1470</v>
      </c>
      <c r="F1678" s="1"/>
      <c r="G1678" s="1"/>
      <c r="H1678" s="1"/>
      <c r="I1678" s="1"/>
      <c r="J1678" s="1"/>
      <c r="K1678" s="1"/>
      <c r="L1678" s="1"/>
      <c r="M1678" s="1"/>
      <c r="N1678" s="1" t="s">
        <v>567</v>
      </c>
      <c r="O1678" s="1" t="s">
        <v>343</v>
      </c>
      <c r="P1678" s="1">
        <v>3</v>
      </c>
      <c r="AI1678" s="47" t="s">
        <v>1478</v>
      </c>
      <c r="BI1678" s="4" t="s">
        <v>321</v>
      </c>
      <c r="BJ1678" s="1"/>
      <c r="BK1678" s="1"/>
      <c r="BL1678" s="1">
        <v>100</v>
      </c>
      <c r="BM1678" s="1"/>
      <c r="BN1678" s="1"/>
      <c r="BP1678" s="35">
        <v>0</v>
      </c>
      <c r="BV1678" s="35">
        <v>0</v>
      </c>
      <c r="BW1678" s="1">
        <v>25</v>
      </c>
      <c r="BX1678" s="1">
        <v>30</v>
      </c>
      <c r="CB1678" s="1"/>
      <c r="CC1678" s="1"/>
      <c r="DQ1678" s="1">
        <v>11.47</v>
      </c>
      <c r="DR1678" s="1">
        <v>0.2598</v>
      </c>
      <c r="DS1678" s="1">
        <v>11.47</v>
      </c>
      <c r="DT1678" s="1">
        <v>0.2598</v>
      </c>
      <c r="ED1678" s="1">
        <v>0</v>
      </c>
      <c r="FL1678" s="1">
        <v>17598.4</v>
      </c>
      <c r="FM1678" s="1">
        <v>136.9186</v>
      </c>
    </row>
    <row r="1679" customHeight="1" spans="1:169">
      <c r="A1679" s="25">
        <v>57</v>
      </c>
      <c r="B1679" s="25" t="s">
        <v>1469</v>
      </c>
      <c r="C1679" s="46" t="s">
        <v>1329</v>
      </c>
      <c r="D1679" s="1" t="s">
        <v>300</v>
      </c>
      <c r="E1679" s="1" t="s">
        <v>1470</v>
      </c>
      <c r="F1679" s="1"/>
      <c r="G1679" s="1"/>
      <c r="H1679" s="1"/>
      <c r="I1679" s="1"/>
      <c r="J1679" s="1"/>
      <c r="K1679" s="1"/>
      <c r="L1679" s="1"/>
      <c r="M1679" s="1"/>
      <c r="N1679" s="1" t="s">
        <v>567</v>
      </c>
      <c r="O1679" s="1" t="s">
        <v>343</v>
      </c>
      <c r="P1679" s="1">
        <v>3</v>
      </c>
      <c r="AI1679" s="47" t="s">
        <v>1479</v>
      </c>
      <c r="BI1679" s="4" t="s">
        <v>321</v>
      </c>
      <c r="BJ1679" s="1"/>
      <c r="BK1679" s="1"/>
      <c r="BL1679" s="1">
        <v>100</v>
      </c>
      <c r="BM1679" s="1"/>
      <c r="BN1679" s="1"/>
      <c r="BP1679" s="35">
        <v>0</v>
      </c>
      <c r="BV1679" s="35">
        <v>0</v>
      </c>
      <c r="BW1679" s="1">
        <v>25</v>
      </c>
      <c r="BX1679" s="1">
        <v>30</v>
      </c>
      <c r="CB1679" s="1"/>
      <c r="CC1679" s="1"/>
      <c r="DQ1679" s="1">
        <v>30.21</v>
      </c>
      <c r="DR1679" s="1">
        <v>0.3118</v>
      </c>
      <c r="DS1679" s="1">
        <v>30.21</v>
      </c>
      <c r="DT1679" s="1">
        <v>0.3118</v>
      </c>
      <c r="ED1679" s="1">
        <v>0</v>
      </c>
      <c r="FL1679" s="1">
        <v>230.18</v>
      </c>
      <c r="FM1679" s="1">
        <v>0.7044</v>
      </c>
    </row>
    <row r="1680" customHeight="1" spans="1:169">
      <c r="A1680" s="25">
        <v>57</v>
      </c>
      <c r="B1680" s="25" t="s">
        <v>1469</v>
      </c>
      <c r="C1680" s="46" t="s">
        <v>1329</v>
      </c>
      <c r="D1680" s="1" t="s">
        <v>300</v>
      </c>
      <c r="E1680" s="1" t="s">
        <v>1470</v>
      </c>
      <c r="F1680" s="1"/>
      <c r="G1680" s="1"/>
      <c r="H1680" s="1"/>
      <c r="I1680" s="1"/>
      <c r="J1680" s="1"/>
      <c r="K1680" s="1"/>
      <c r="L1680" s="1"/>
      <c r="M1680" s="1"/>
      <c r="N1680" s="1" t="s">
        <v>567</v>
      </c>
      <c r="O1680" s="1" t="s">
        <v>343</v>
      </c>
      <c r="P1680" s="1">
        <v>3</v>
      </c>
      <c r="AI1680" s="47" t="s">
        <v>1480</v>
      </c>
      <c r="BI1680" s="4" t="s">
        <v>321</v>
      </c>
      <c r="BJ1680" s="1"/>
      <c r="BK1680" s="1"/>
      <c r="BL1680" s="1">
        <v>100</v>
      </c>
      <c r="BM1680" s="1"/>
      <c r="BN1680" s="1"/>
      <c r="BP1680" s="35">
        <v>0</v>
      </c>
      <c r="BV1680" s="35">
        <v>0</v>
      </c>
      <c r="BW1680" s="1">
        <v>25</v>
      </c>
      <c r="BX1680" s="1">
        <v>30</v>
      </c>
      <c r="CB1680" s="1"/>
      <c r="CC1680" s="1"/>
      <c r="DQ1680" s="1">
        <v>15.07</v>
      </c>
      <c r="DR1680" s="1">
        <v>5.0229</v>
      </c>
      <c r="DS1680" s="1">
        <v>15.07</v>
      </c>
      <c r="DT1680" s="1">
        <v>5.0229</v>
      </c>
      <c r="ED1680" s="1">
        <v>0</v>
      </c>
      <c r="FL1680" s="1">
        <v>613.37</v>
      </c>
      <c r="FM1680" s="1">
        <v>0.866</v>
      </c>
    </row>
    <row r="1681" customHeight="1" spans="1:179">
      <c r="A1681" s="25">
        <v>57</v>
      </c>
      <c r="B1681" s="25" t="s">
        <v>1469</v>
      </c>
      <c r="C1681" s="46" t="s">
        <v>1329</v>
      </c>
      <c r="D1681" s="1" t="s">
        <v>300</v>
      </c>
      <c r="E1681" s="1" t="s">
        <v>1470</v>
      </c>
      <c r="F1681" s="1"/>
      <c r="G1681" s="1"/>
      <c r="H1681" s="1"/>
      <c r="I1681" s="1"/>
      <c r="J1681" s="1"/>
      <c r="K1681" s="1"/>
      <c r="L1681" s="1"/>
      <c r="M1681" s="1"/>
      <c r="N1681" s="1" t="s">
        <v>567</v>
      </c>
      <c r="O1681" s="1" t="s">
        <v>343</v>
      </c>
      <c r="P1681" s="1">
        <v>3</v>
      </c>
      <c r="AI1681" s="47" t="s">
        <v>1481</v>
      </c>
      <c r="BI1681" s="4" t="s">
        <v>321</v>
      </c>
      <c r="BJ1681" s="1"/>
      <c r="BK1681" s="1"/>
      <c r="BL1681" s="1">
        <v>100</v>
      </c>
      <c r="BM1681" s="1"/>
      <c r="BN1681" s="1"/>
      <c r="BP1681" s="35">
        <v>0</v>
      </c>
      <c r="BV1681" s="35">
        <v>0</v>
      </c>
      <c r="BW1681" s="1">
        <v>25</v>
      </c>
      <c r="BX1681" s="1">
        <v>30</v>
      </c>
      <c r="CB1681" s="1"/>
      <c r="CC1681" s="1"/>
      <c r="DQ1681" s="1">
        <v>20.46</v>
      </c>
      <c r="DR1681" s="1">
        <v>0.7563</v>
      </c>
      <c r="DS1681" s="1">
        <v>20.46</v>
      </c>
      <c r="DT1681" s="1">
        <v>0.7563</v>
      </c>
      <c r="ED1681" s="1">
        <v>0</v>
      </c>
      <c r="FL1681" s="1">
        <v>519.89</v>
      </c>
      <c r="FM1681" s="1">
        <v>0.6986</v>
      </c>
    </row>
    <row r="1682" customHeight="1" spans="1:179">
      <c r="A1682" s="25">
        <v>57</v>
      </c>
      <c r="B1682" s="25" t="s">
        <v>1469</v>
      </c>
      <c r="C1682" s="46" t="s">
        <v>1329</v>
      </c>
      <c r="D1682" s="1" t="s">
        <v>300</v>
      </c>
      <c r="E1682" s="1" t="s">
        <v>1470</v>
      </c>
      <c r="F1682" s="1"/>
      <c r="G1682" s="1"/>
      <c r="H1682" s="1"/>
      <c r="I1682" s="1"/>
      <c r="J1682" s="1"/>
      <c r="K1682" s="1"/>
      <c r="L1682" s="1"/>
      <c r="M1682" s="1"/>
      <c r="N1682" s="1" t="s">
        <v>567</v>
      </c>
      <c r="O1682" s="1" t="s">
        <v>343</v>
      </c>
      <c r="P1682" s="1">
        <v>3</v>
      </c>
      <c r="AI1682" s="47" t="s">
        <v>1482</v>
      </c>
      <c r="BI1682" s="4" t="s">
        <v>321</v>
      </c>
      <c r="BJ1682" s="1"/>
      <c r="BK1682" s="1"/>
      <c r="BL1682" s="1">
        <v>100</v>
      </c>
      <c r="BM1682" s="1"/>
      <c r="BN1682" s="1"/>
      <c r="BP1682" s="35">
        <v>0</v>
      </c>
      <c r="BV1682" s="35">
        <v>0</v>
      </c>
      <c r="BW1682" s="1">
        <v>25</v>
      </c>
      <c r="BX1682" s="1">
        <v>30</v>
      </c>
      <c r="CB1682" s="1"/>
      <c r="CC1682" s="1"/>
      <c r="DQ1682" s="1">
        <v>18.05</v>
      </c>
      <c r="DR1682" s="1">
        <v>6.016</v>
      </c>
      <c r="DS1682" s="1">
        <v>18.05</v>
      </c>
      <c r="DT1682" s="1">
        <v>6.016</v>
      </c>
      <c r="ED1682" s="1">
        <v>0</v>
      </c>
      <c r="FL1682" s="1">
        <v>476.21</v>
      </c>
      <c r="FM1682" s="1">
        <v>1.0219</v>
      </c>
    </row>
    <row r="1683" customHeight="1" spans="1:179">
      <c r="A1683" s="25">
        <v>57</v>
      </c>
      <c r="B1683" s="25" t="s">
        <v>1469</v>
      </c>
      <c r="C1683" s="46" t="s">
        <v>1329</v>
      </c>
      <c r="D1683" s="1" t="s">
        <v>300</v>
      </c>
      <c r="E1683" s="1" t="s">
        <v>1470</v>
      </c>
      <c r="F1683" s="1"/>
      <c r="G1683" s="1"/>
      <c r="H1683" s="1"/>
      <c r="I1683" s="1"/>
      <c r="J1683" s="1"/>
      <c r="K1683" s="1"/>
      <c r="L1683" s="1"/>
      <c r="M1683" s="1"/>
      <c r="N1683" s="1" t="s">
        <v>567</v>
      </c>
      <c r="O1683" s="1" t="s">
        <v>343</v>
      </c>
      <c r="P1683" s="1">
        <v>3</v>
      </c>
      <c r="AI1683" s="47" t="s">
        <v>1483</v>
      </c>
      <c r="BI1683" s="4" t="s">
        <v>321</v>
      </c>
      <c r="BJ1683" s="1"/>
      <c r="BK1683" s="1"/>
      <c r="BL1683" s="1">
        <v>100</v>
      </c>
      <c r="BM1683" s="1"/>
      <c r="BN1683" s="1"/>
      <c r="BP1683" s="35">
        <v>0</v>
      </c>
      <c r="BV1683" s="35">
        <v>0</v>
      </c>
      <c r="BW1683" s="1">
        <v>25</v>
      </c>
      <c r="BX1683" s="1">
        <v>30</v>
      </c>
      <c r="CB1683" s="1"/>
      <c r="CC1683" s="1"/>
      <c r="DQ1683" s="1">
        <v>30.15</v>
      </c>
      <c r="DR1683" s="1">
        <v>0.4099</v>
      </c>
      <c r="DS1683" s="1">
        <v>30.15</v>
      </c>
      <c r="DT1683" s="1">
        <v>0.4099</v>
      </c>
      <c r="ED1683" s="1">
        <v>0</v>
      </c>
      <c r="FL1683" s="1">
        <v>188.91</v>
      </c>
      <c r="FM1683" s="1">
        <v>0.6178</v>
      </c>
    </row>
    <row r="1684" customHeight="1" spans="1:179">
      <c r="A1684" s="25">
        <v>57</v>
      </c>
      <c r="B1684" s="25" t="s">
        <v>1469</v>
      </c>
      <c r="C1684" s="46" t="s">
        <v>1329</v>
      </c>
      <c r="D1684" s="1" t="s">
        <v>300</v>
      </c>
      <c r="E1684" s="1" t="s">
        <v>1470</v>
      </c>
      <c r="F1684" s="1"/>
      <c r="G1684" s="1"/>
      <c r="H1684" s="1"/>
      <c r="I1684" s="1"/>
      <c r="J1684" s="1"/>
      <c r="K1684" s="1"/>
      <c r="L1684" s="1"/>
      <c r="M1684" s="1"/>
      <c r="N1684" s="1" t="s">
        <v>567</v>
      </c>
      <c r="O1684" s="1" t="s">
        <v>343</v>
      </c>
      <c r="P1684" s="1">
        <v>3</v>
      </c>
      <c r="AI1684" s="47" t="s">
        <v>1484</v>
      </c>
      <c r="BI1684" s="4" t="s">
        <v>321</v>
      </c>
      <c r="BJ1684" s="1"/>
      <c r="BK1684" s="1"/>
      <c r="BL1684" s="1">
        <v>100</v>
      </c>
      <c r="BM1684" s="1"/>
      <c r="BN1684" s="1"/>
      <c r="BP1684" s="35">
        <v>0</v>
      </c>
      <c r="BV1684" s="35">
        <v>0</v>
      </c>
      <c r="BW1684" s="1">
        <v>25</v>
      </c>
      <c r="BX1684" s="1">
        <v>30</v>
      </c>
      <c r="CB1684" s="1"/>
      <c r="CC1684" s="1"/>
      <c r="DQ1684" s="1">
        <v>19.05</v>
      </c>
      <c r="DR1684" s="1">
        <v>6.3509</v>
      </c>
      <c r="DS1684" s="1">
        <v>19.05</v>
      </c>
      <c r="DT1684" s="1">
        <v>6.3509</v>
      </c>
      <c r="ED1684" s="1">
        <v>0</v>
      </c>
      <c r="FL1684" s="1">
        <v>1522.36</v>
      </c>
      <c r="FM1684" s="1">
        <v>2.217</v>
      </c>
    </row>
    <row r="1685" customHeight="1" spans="1:179">
      <c r="A1685" s="25">
        <v>57</v>
      </c>
      <c r="B1685" s="25" t="s">
        <v>1469</v>
      </c>
      <c r="C1685" s="46" t="s">
        <v>1329</v>
      </c>
      <c r="D1685" s="1" t="s">
        <v>300</v>
      </c>
      <c r="E1685" s="1" t="s">
        <v>1470</v>
      </c>
      <c r="F1685" s="1"/>
      <c r="G1685" s="1"/>
      <c r="H1685" s="1"/>
      <c r="I1685" s="1"/>
      <c r="J1685" s="1"/>
      <c r="K1685" s="1"/>
      <c r="L1685" s="1"/>
      <c r="M1685" s="1"/>
      <c r="N1685" s="1" t="s">
        <v>567</v>
      </c>
      <c r="O1685" s="1" t="s">
        <v>343</v>
      </c>
      <c r="P1685" s="1">
        <v>3</v>
      </c>
      <c r="AI1685" s="47" t="s">
        <v>1485</v>
      </c>
      <c r="BI1685" s="4" t="s">
        <v>321</v>
      </c>
      <c r="BJ1685" s="1"/>
      <c r="BK1685" s="1"/>
      <c r="BL1685" s="1">
        <v>100</v>
      </c>
      <c r="BM1685" s="1"/>
      <c r="BN1685" s="1"/>
      <c r="BP1685" s="35">
        <v>0</v>
      </c>
      <c r="BV1685" s="35">
        <v>0</v>
      </c>
      <c r="BW1685" s="1">
        <v>25</v>
      </c>
      <c r="BX1685" s="1">
        <v>30</v>
      </c>
      <c r="CB1685" s="1"/>
      <c r="CC1685" s="1"/>
      <c r="DQ1685" s="1">
        <v>13.99</v>
      </c>
      <c r="DR1685" s="1">
        <v>4.665</v>
      </c>
      <c r="DS1685" s="1">
        <v>13.99</v>
      </c>
      <c r="DT1685" s="1">
        <v>4.665</v>
      </c>
      <c r="ED1685" s="1">
        <v>0</v>
      </c>
      <c r="FL1685" s="1">
        <v>896.98</v>
      </c>
      <c r="FM1685" s="1">
        <v>2.0496</v>
      </c>
    </row>
    <row r="1686" customHeight="1" spans="1:179">
      <c r="A1686" s="25">
        <v>57</v>
      </c>
      <c r="B1686" s="25" t="s">
        <v>1469</v>
      </c>
      <c r="C1686" s="46" t="s">
        <v>1329</v>
      </c>
      <c r="D1686" s="1" t="s">
        <v>300</v>
      </c>
      <c r="E1686" s="1" t="s">
        <v>1470</v>
      </c>
      <c r="F1686" s="1"/>
      <c r="G1686" s="1"/>
      <c r="H1686" s="1"/>
      <c r="I1686" s="1"/>
      <c r="J1686" s="1"/>
      <c r="K1686" s="1"/>
      <c r="L1686" s="1"/>
      <c r="M1686" s="1"/>
      <c r="N1686" s="1" t="s">
        <v>567</v>
      </c>
      <c r="O1686" s="1" t="s">
        <v>343</v>
      </c>
      <c r="P1686" s="1">
        <v>3</v>
      </c>
      <c r="AI1686" s="47" t="s">
        <v>1486</v>
      </c>
      <c r="BI1686" s="4" t="s">
        <v>321</v>
      </c>
      <c r="BJ1686" s="1"/>
      <c r="BK1686" s="1"/>
      <c r="BL1686" s="1">
        <v>100</v>
      </c>
      <c r="BM1686" s="1"/>
      <c r="BN1686" s="1"/>
      <c r="BP1686" s="35">
        <v>0</v>
      </c>
      <c r="BV1686" s="35">
        <v>0</v>
      </c>
      <c r="BW1686" s="1">
        <v>25</v>
      </c>
      <c r="BX1686" s="1">
        <v>30</v>
      </c>
      <c r="CB1686" s="1"/>
      <c r="CC1686" s="1"/>
      <c r="DQ1686" s="1">
        <v>29.1</v>
      </c>
      <c r="DR1686" s="1">
        <v>20.4209</v>
      </c>
      <c r="DS1686" s="1">
        <v>29.1</v>
      </c>
      <c r="DT1686" s="1">
        <v>20.4209</v>
      </c>
      <c r="ED1686" s="1">
        <v>0</v>
      </c>
      <c r="FL1686" s="1">
        <v>162.89</v>
      </c>
      <c r="FM1686" s="1">
        <v>0.8314</v>
      </c>
    </row>
    <row r="1687" customHeight="1" spans="1:179">
      <c r="A1687" s="25">
        <v>57</v>
      </c>
      <c r="B1687" s="25" t="s">
        <v>1469</v>
      </c>
      <c r="C1687" s="46" t="s">
        <v>1329</v>
      </c>
      <c r="D1687" s="1" t="s">
        <v>300</v>
      </c>
      <c r="E1687" s="1" t="s">
        <v>1470</v>
      </c>
      <c r="F1687" s="1"/>
      <c r="G1687" s="1"/>
      <c r="H1687" s="1"/>
      <c r="I1687" s="1"/>
      <c r="J1687" s="1"/>
      <c r="K1687" s="1"/>
      <c r="L1687" s="1"/>
      <c r="M1687" s="1"/>
      <c r="N1687" s="1" t="s">
        <v>567</v>
      </c>
      <c r="O1687" s="1" t="s">
        <v>343</v>
      </c>
      <c r="P1687" s="1">
        <v>3</v>
      </c>
      <c r="AI1687" s="47" t="s">
        <v>1472</v>
      </c>
      <c r="BI1687" s="4" t="s">
        <v>321</v>
      </c>
      <c r="BJ1687" s="1"/>
      <c r="BK1687" s="1"/>
      <c r="BL1687" s="1">
        <v>100</v>
      </c>
      <c r="BM1687" s="1"/>
      <c r="BN1687" s="1"/>
      <c r="BP1687" s="4">
        <v>5</v>
      </c>
      <c r="BV1687" s="35" t="s">
        <v>408</v>
      </c>
      <c r="BW1687" s="1">
        <v>25</v>
      </c>
      <c r="BX1687" s="1">
        <v>30</v>
      </c>
      <c r="CB1687" s="1"/>
      <c r="CC1687" s="1"/>
      <c r="DQ1687" s="1">
        <v>12.43</v>
      </c>
      <c r="DR1687" s="1">
        <v>0.612</v>
      </c>
      <c r="DS1687" s="1">
        <v>3</v>
      </c>
      <c r="DT1687" s="1">
        <v>0.1039</v>
      </c>
      <c r="EC1687" s="1">
        <f>(DQ1687-DS1687)/DQ1687*100</f>
        <v>75.8648431214803</v>
      </c>
      <c r="ED1687" s="1">
        <v>75.8648431214803</v>
      </c>
      <c r="FJ1687" s="1">
        <v>172.26</v>
      </c>
      <c r="FK1687" s="1">
        <v>0.866</v>
      </c>
      <c r="FL1687" s="1">
        <v>76.79</v>
      </c>
      <c r="FM1687" s="1">
        <v>1.605</v>
      </c>
      <c r="FV1687" s="1">
        <f>(FJ1687-FL1687)/FJ1687*100</f>
        <v>55.4220364565192</v>
      </c>
      <c r="FW1687" s="1">
        <v>55.4220364565192</v>
      </c>
    </row>
    <row r="1688" customHeight="1" spans="1:179">
      <c r="A1688" s="25">
        <v>57</v>
      </c>
      <c r="B1688" s="25" t="s">
        <v>1469</v>
      </c>
      <c r="C1688" s="46" t="s">
        <v>1329</v>
      </c>
      <c r="D1688" s="1" t="s">
        <v>300</v>
      </c>
      <c r="E1688" s="1" t="s">
        <v>1470</v>
      </c>
      <c r="F1688" s="1"/>
      <c r="G1688" s="1"/>
      <c r="H1688" s="1"/>
      <c r="I1688" s="1"/>
      <c r="J1688" s="1"/>
      <c r="K1688" s="1"/>
      <c r="L1688" s="1"/>
      <c r="M1688" s="1"/>
      <c r="N1688" s="1" t="s">
        <v>567</v>
      </c>
      <c r="O1688" s="1" t="s">
        <v>343</v>
      </c>
      <c r="P1688" s="1">
        <v>3</v>
      </c>
      <c r="AI1688" s="47" t="s">
        <v>1474</v>
      </c>
      <c r="BI1688" s="4" t="s">
        <v>321</v>
      </c>
      <c r="BJ1688" s="1"/>
      <c r="BK1688" s="1"/>
      <c r="BL1688" s="1">
        <v>100</v>
      </c>
      <c r="BM1688" s="1"/>
      <c r="BN1688" s="1"/>
      <c r="BP1688" s="4">
        <v>5</v>
      </c>
      <c r="BV1688" s="35" t="s">
        <v>408</v>
      </c>
      <c r="BW1688" s="1">
        <v>25</v>
      </c>
      <c r="BX1688" s="1">
        <v>30</v>
      </c>
      <c r="CB1688" s="1"/>
      <c r="CC1688" s="1"/>
      <c r="DQ1688" s="1">
        <v>13.48</v>
      </c>
      <c r="DR1688" s="1">
        <v>0.3926</v>
      </c>
      <c r="DS1688" s="1">
        <v>1.51</v>
      </c>
      <c r="DT1688" s="1">
        <v>0.2194</v>
      </c>
      <c r="EC1688" s="1">
        <f t="shared" ref="EC1688:EC1710" si="53">(DQ1688-DS1688)/DQ1688*100</f>
        <v>88.7982195845697</v>
      </c>
      <c r="ED1688" s="1">
        <v>88.7982195845697</v>
      </c>
      <c r="FJ1688" s="1">
        <v>199.16</v>
      </c>
      <c r="FK1688" s="1">
        <v>0.9988</v>
      </c>
      <c r="FL1688" s="1">
        <v>273.13</v>
      </c>
      <c r="FM1688" s="1">
        <v>3.799</v>
      </c>
      <c r="FV1688" s="1">
        <f t="shared" ref="FV1688:FV1710" si="54">(FJ1688-FL1688)/FJ1688*100</f>
        <v>-37.1409921671018</v>
      </c>
      <c r="FW1688" s="1">
        <v>-37.1409921671018</v>
      </c>
    </row>
    <row r="1689" customHeight="1" spans="1:179">
      <c r="A1689" s="25">
        <v>57</v>
      </c>
      <c r="B1689" s="25" t="s">
        <v>1469</v>
      </c>
      <c r="C1689" s="46" t="s">
        <v>1329</v>
      </c>
      <c r="D1689" s="1" t="s">
        <v>300</v>
      </c>
      <c r="E1689" s="1" t="s">
        <v>1470</v>
      </c>
      <c r="F1689" s="1"/>
      <c r="G1689" s="1"/>
      <c r="H1689" s="1"/>
      <c r="I1689" s="1"/>
      <c r="J1689" s="1"/>
      <c r="K1689" s="1"/>
      <c r="L1689" s="1"/>
      <c r="M1689" s="1"/>
      <c r="N1689" s="1" t="s">
        <v>567</v>
      </c>
      <c r="O1689" s="1" t="s">
        <v>343</v>
      </c>
      <c r="P1689" s="1">
        <v>3</v>
      </c>
      <c r="AI1689" s="47" t="s">
        <v>1476</v>
      </c>
      <c r="BI1689" s="4" t="s">
        <v>321</v>
      </c>
      <c r="BJ1689" s="1"/>
      <c r="BK1689" s="1"/>
      <c r="BL1689" s="1">
        <v>100</v>
      </c>
      <c r="BM1689" s="1"/>
      <c r="BN1689" s="1"/>
      <c r="BP1689" s="4">
        <v>5</v>
      </c>
      <c r="BV1689" s="35" t="s">
        <v>408</v>
      </c>
      <c r="BW1689" s="1">
        <v>25</v>
      </c>
      <c r="BX1689" s="1">
        <v>30</v>
      </c>
      <c r="CB1689" s="1"/>
      <c r="CC1689" s="1"/>
      <c r="DQ1689" s="1">
        <v>17.94</v>
      </c>
      <c r="DR1689" s="1">
        <v>0.3984</v>
      </c>
      <c r="DS1689" s="1">
        <v>4.42</v>
      </c>
      <c r="DT1689" s="1">
        <v>0.0981</v>
      </c>
      <c r="EC1689" s="1">
        <f t="shared" si="53"/>
        <v>75.3623188405797</v>
      </c>
      <c r="ED1689" s="1">
        <v>75.3623188405797</v>
      </c>
      <c r="FJ1689" s="1">
        <v>137.47</v>
      </c>
      <c r="FK1689" s="1">
        <v>0</v>
      </c>
      <c r="FL1689" s="1">
        <v>17.73</v>
      </c>
      <c r="FM1689" s="1">
        <v>0.8256</v>
      </c>
      <c r="FV1689" s="1">
        <f t="shared" si="54"/>
        <v>87.1026405761257</v>
      </c>
      <c r="FW1689" s="1">
        <v>87.1026405761257</v>
      </c>
    </row>
    <row r="1690" customHeight="1" spans="1:179">
      <c r="A1690" s="25">
        <v>57</v>
      </c>
      <c r="B1690" s="25" t="s">
        <v>1469</v>
      </c>
      <c r="C1690" s="46" t="s">
        <v>1329</v>
      </c>
      <c r="D1690" s="1" t="s">
        <v>300</v>
      </c>
      <c r="E1690" s="1" t="s">
        <v>1470</v>
      </c>
      <c r="F1690" s="1"/>
      <c r="G1690" s="1"/>
      <c r="H1690" s="1"/>
      <c r="I1690" s="1"/>
      <c r="J1690" s="1"/>
      <c r="K1690" s="1"/>
      <c r="L1690" s="1"/>
      <c r="M1690" s="1"/>
      <c r="N1690" s="1" t="s">
        <v>567</v>
      </c>
      <c r="O1690" s="1" t="s">
        <v>343</v>
      </c>
      <c r="P1690" s="1">
        <v>3</v>
      </c>
      <c r="AI1690" s="47" t="s">
        <v>1478</v>
      </c>
      <c r="BI1690" s="4" t="s">
        <v>321</v>
      </c>
      <c r="BJ1690" s="1"/>
      <c r="BK1690" s="1"/>
      <c r="BL1690" s="1">
        <v>100</v>
      </c>
      <c r="BM1690" s="1"/>
      <c r="BN1690" s="1"/>
      <c r="BP1690" s="4">
        <v>5</v>
      </c>
      <c r="BV1690" s="35" t="s">
        <v>408</v>
      </c>
      <c r="BW1690" s="1">
        <v>25</v>
      </c>
      <c r="BX1690" s="1">
        <v>30</v>
      </c>
      <c r="CB1690" s="1"/>
      <c r="CC1690" s="1"/>
      <c r="DQ1690" s="1">
        <v>11.47</v>
      </c>
      <c r="DR1690" s="1">
        <v>0.2598</v>
      </c>
      <c r="DS1690" s="1">
        <v>2.07</v>
      </c>
      <c r="DT1690" s="1">
        <v>0.5427</v>
      </c>
      <c r="EC1690" s="1">
        <f t="shared" si="53"/>
        <v>81.9529206625981</v>
      </c>
      <c r="ED1690" s="1">
        <v>81.9529206625981</v>
      </c>
      <c r="FJ1690" s="1">
        <v>17598.4</v>
      </c>
      <c r="FK1690" s="1">
        <v>136.9186</v>
      </c>
      <c r="FL1690" s="1">
        <v>11479.99</v>
      </c>
      <c r="FM1690" s="1">
        <v>97.6068</v>
      </c>
      <c r="FV1690" s="1">
        <f t="shared" si="54"/>
        <v>34.7668538048914</v>
      </c>
      <c r="FW1690" s="1">
        <v>34.7668538048914</v>
      </c>
    </row>
    <row r="1691" customHeight="1" spans="1:179">
      <c r="A1691" s="25">
        <v>57</v>
      </c>
      <c r="B1691" s="25" t="s">
        <v>1469</v>
      </c>
      <c r="C1691" s="46" t="s">
        <v>1329</v>
      </c>
      <c r="D1691" s="1" t="s">
        <v>300</v>
      </c>
      <c r="E1691" s="1" t="s">
        <v>1470</v>
      </c>
      <c r="F1691" s="1"/>
      <c r="G1691" s="1"/>
      <c r="H1691" s="1"/>
      <c r="I1691" s="1"/>
      <c r="J1691" s="1"/>
      <c r="K1691" s="1"/>
      <c r="L1691" s="1"/>
      <c r="M1691" s="1"/>
      <c r="N1691" s="1" t="s">
        <v>567</v>
      </c>
      <c r="O1691" s="1" t="s">
        <v>343</v>
      </c>
      <c r="P1691" s="1">
        <v>3</v>
      </c>
      <c r="AI1691" s="47" t="s">
        <v>1480</v>
      </c>
      <c r="BI1691" s="4" t="s">
        <v>321</v>
      </c>
      <c r="BJ1691" s="1"/>
      <c r="BK1691" s="1"/>
      <c r="BL1691" s="1">
        <v>100</v>
      </c>
      <c r="BM1691" s="1"/>
      <c r="BN1691" s="1"/>
      <c r="BP1691" s="4">
        <v>5</v>
      </c>
      <c r="BV1691" s="35" t="s">
        <v>408</v>
      </c>
      <c r="BW1691" s="1">
        <v>25</v>
      </c>
      <c r="BX1691" s="1">
        <v>30</v>
      </c>
      <c r="CB1691" s="1"/>
      <c r="CC1691" s="1"/>
      <c r="DQ1691" s="1">
        <v>15.07</v>
      </c>
      <c r="DR1691" s="1">
        <v>5.0229</v>
      </c>
      <c r="DS1691" s="1">
        <v>2.61</v>
      </c>
      <c r="DT1691" s="1">
        <v>0.3522</v>
      </c>
      <c r="EC1691" s="1">
        <f t="shared" si="53"/>
        <v>82.6808228268082</v>
      </c>
      <c r="ED1691" s="1">
        <v>82.6808228268082</v>
      </c>
      <c r="FJ1691" s="1">
        <v>613.37</v>
      </c>
      <c r="FK1691" s="1">
        <v>0.866</v>
      </c>
      <c r="FL1691" s="1">
        <v>478.06</v>
      </c>
      <c r="FM1691" s="1">
        <v>0.8718</v>
      </c>
      <c r="FV1691" s="1">
        <f t="shared" si="54"/>
        <v>22.0600942334969</v>
      </c>
      <c r="FW1691" s="1">
        <v>22.0600942334969</v>
      </c>
    </row>
    <row r="1692" customHeight="1" spans="1:179">
      <c r="A1692" s="25">
        <v>57</v>
      </c>
      <c r="B1692" s="25" t="s">
        <v>1469</v>
      </c>
      <c r="C1692" s="46" t="s">
        <v>1329</v>
      </c>
      <c r="D1692" s="1" t="s">
        <v>300</v>
      </c>
      <c r="E1692" s="1" t="s">
        <v>1470</v>
      </c>
      <c r="F1692" s="1"/>
      <c r="G1692" s="1"/>
      <c r="H1692" s="1"/>
      <c r="I1692" s="1"/>
      <c r="J1692" s="1"/>
      <c r="K1692" s="1"/>
      <c r="L1692" s="1"/>
      <c r="M1692" s="1"/>
      <c r="N1692" s="1" t="s">
        <v>567</v>
      </c>
      <c r="O1692" s="1" t="s">
        <v>343</v>
      </c>
      <c r="P1692" s="1">
        <v>3</v>
      </c>
      <c r="AI1692" s="47" t="s">
        <v>1482</v>
      </c>
      <c r="BI1692" s="4" t="s">
        <v>321</v>
      </c>
      <c r="BJ1692" s="1"/>
      <c r="BK1692" s="1"/>
      <c r="BL1692" s="1">
        <v>100</v>
      </c>
      <c r="BM1692" s="1"/>
      <c r="BN1692" s="1"/>
      <c r="BP1692" s="4">
        <v>5</v>
      </c>
      <c r="BV1692" s="35" t="s">
        <v>408</v>
      </c>
      <c r="BW1692" s="1">
        <v>25</v>
      </c>
      <c r="BX1692" s="1">
        <v>30</v>
      </c>
      <c r="CB1692" s="1"/>
      <c r="CC1692" s="1"/>
      <c r="DQ1692" s="1">
        <v>18.05</v>
      </c>
      <c r="DR1692" s="1">
        <v>6.016</v>
      </c>
      <c r="DS1692" s="1">
        <v>1.75</v>
      </c>
      <c r="DT1692" s="1">
        <v>0.2367</v>
      </c>
      <c r="EC1692" s="1">
        <f t="shared" si="53"/>
        <v>90.3047091412742</v>
      </c>
      <c r="ED1692" s="1">
        <v>90.3047091412742</v>
      </c>
      <c r="FJ1692" s="1">
        <v>476.21</v>
      </c>
      <c r="FK1692" s="1">
        <v>1.0219</v>
      </c>
      <c r="FL1692" s="1">
        <v>66.02</v>
      </c>
      <c r="FM1692" s="1">
        <v>0.5254</v>
      </c>
      <c r="FV1692" s="1">
        <f t="shared" si="54"/>
        <v>86.1363684088952</v>
      </c>
      <c r="FW1692" s="1">
        <v>86.1363684088952</v>
      </c>
    </row>
    <row r="1693" customHeight="1" spans="1:179">
      <c r="A1693" s="25">
        <v>57</v>
      </c>
      <c r="B1693" s="25" t="s">
        <v>1469</v>
      </c>
      <c r="C1693" s="46" t="s">
        <v>1329</v>
      </c>
      <c r="D1693" s="1" t="s">
        <v>300</v>
      </c>
      <c r="E1693" s="1" t="s">
        <v>1470</v>
      </c>
      <c r="F1693" s="1"/>
      <c r="G1693" s="1"/>
      <c r="H1693" s="1"/>
      <c r="I1693" s="1"/>
      <c r="J1693" s="1"/>
      <c r="K1693" s="1"/>
      <c r="L1693" s="1"/>
      <c r="M1693" s="1"/>
      <c r="N1693" s="1" t="s">
        <v>567</v>
      </c>
      <c r="O1693" s="1" t="s">
        <v>343</v>
      </c>
      <c r="P1693" s="1">
        <v>3</v>
      </c>
      <c r="AI1693" s="47" t="s">
        <v>1484</v>
      </c>
      <c r="BI1693" s="4" t="s">
        <v>321</v>
      </c>
      <c r="BJ1693" s="1"/>
      <c r="BK1693" s="1"/>
      <c r="BL1693" s="1">
        <v>100</v>
      </c>
      <c r="BM1693" s="1"/>
      <c r="BN1693" s="1"/>
      <c r="BP1693" s="4">
        <v>5</v>
      </c>
      <c r="BV1693" s="35" t="s">
        <v>408</v>
      </c>
      <c r="BW1693" s="1">
        <v>25</v>
      </c>
      <c r="BX1693" s="1">
        <v>30</v>
      </c>
      <c r="CB1693" s="1"/>
      <c r="CC1693" s="1"/>
      <c r="DQ1693" s="1">
        <v>19.05</v>
      </c>
      <c r="DR1693" s="1">
        <v>6.3509</v>
      </c>
      <c r="DS1693" s="1">
        <v>1.95</v>
      </c>
      <c r="DT1693" s="1">
        <v>0.2309</v>
      </c>
      <c r="EC1693" s="1">
        <f t="shared" si="53"/>
        <v>89.7637795275591</v>
      </c>
      <c r="ED1693" s="1">
        <v>89.7637795275591</v>
      </c>
      <c r="FJ1693" s="1">
        <v>1522.36</v>
      </c>
      <c r="FK1693" s="1">
        <v>2.217</v>
      </c>
      <c r="FL1693" s="1">
        <v>129.51</v>
      </c>
      <c r="FM1693" s="1">
        <v>0.3637</v>
      </c>
      <c r="FV1693" s="1">
        <f t="shared" si="54"/>
        <v>91.4928137891169</v>
      </c>
      <c r="FW1693" s="1">
        <v>91.4928137891169</v>
      </c>
    </row>
    <row r="1694" customHeight="1" spans="1:179">
      <c r="A1694" s="25">
        <v>57</v>
      </c>
      <c r="B1694" s="25" t="s">
        <v>1469</v>
      </c>
      <c r="C1694" s="46" t="s">
        <v>1329</v>
      </c>
      <c r="D1694" s="1" t="s">
        <v>300</v>
      </c>
      <c r="E1694" s="1" t="s">
        <v>1470</v>
      </c>
      <c r="F1694" s="1"/>
      <c r="G1694" s="1"/>
      <c r="H1694" s="1"/>
      <c r="I1694" s="1"/>
      <c r="J1694" s="1"/>
      <c r="K1694" s="1"/>
      <c r="L1694" s="1"/>
      <c r="M1694" s="1"/>
      <c r="N1694" s="1" t="s">
        <v>567</v>
      </c>
      <c r="O1694" s="1" t="s">
        <v>343</v>
      </c>
      <c r="P1694" s="1">
        <v>3</v>
      </c>
      <c r="AI1694" s="47" t="s">
        <v>1486</v>
      </c>
      <c r="BI1694" s="4" t="s">
        <v>321</v>
      </c>
      <c r="BJ1694" s="1"/>
      <c r="BK1694" s="1"/>
      <c r="BL1694" s="1">
        <v>100</v>
      </c>
      <c r="BM1694" s="1"/>
      <c r="BN1694" s="1"/>
      <c r="BP1694" s="4">
        <v>5</v>
      </c>
      <c r="BV1694" s="35" t="s">
        <v>408</v>
      </c>
      <c r="BW1694" s="1">
        <v>25</v>
      </c>
      <c r="BX1694" s="1">
        <v>30</v>
      </c>
      <c r="CB1694" s="1"/>
      <c r="CC1694" s="1"/>
      <c r="DQ1694" s="1">
        <v>29.1</v>
      </c>
      <c r="DR1694" s="1">
        <v>20.4209</v>
      </c>
      <c r="DS1694" s="1">
        <v>1.86</v>
      </c>
      <c r="DT1694" s="1">
        <v>0.1328</v>
      </c>
      <c r="EC1694" s="1">
        <f t="shared" si="53"/>
        <v>93.6082474226804</v>
      </c>
      <c r="ED1694" s="1">
        <v>93.6082474226804</v>
      </c>
      <c r="FJ1694" s="1">
        <v>162.89</v>
      </c>
      <c r="FK1694" s="1">
        <v>0.8314</v>
      </c>
      <c r="FL1694" s="1">
        <v>18.54</v>
      </c>
      <c r="FM1694" s="1">
        <v>0.3406</v>
      </c>
      <c r="FV1694" s="1">
        <f t="shared" si="54"/>
        <v>88.6180858247897</v>
      </c>
      <c r="FW1694" s="1">
        <v>88.6180858247897</v>
      </c>
    </row>
    <row r="1695" customHeight="1" spans="1:179">
      <c r="A1695" s="25">
        <v>57</v>
      </c>
      <c r="B1695" s="25" t="s">
        <v>1469</v>
      </c>
      <c r="C1695" s="46" t="s">
        <v>1329</v>
      </c>
      <c r="D1695" s="1" t="s">
        <v>300</v>
      </c>
      <c r="E1695" s="1" t="s">
        <v>1470</v>
      </c>
      <c r="F1695" s="1"/>
      <c r="G1695" s="1"/>
      <c r="H1695" s="1"/>
      <c r="I1695" s="1"/>
      <c r="J1695" s="1"/>
      <c r="K1695" s="1"/>
      <c r="L1695" s="1"/>
      <c r="M1695" s="1"/>
      <c r="N1695" s="1" t="s">
        <v>567</v>
      </c>
      <c r="O1695" s="1" t="s">
        <v>343</v>
      </c>
      <c r="P1695" s="1">
        <v>3</v>
      </c>
      <c r="AI1695" s="47" t="s">
        <v>1472</v>
      </c>
      <c r="BI1695" s="4" t="s">
        <v>321</v>
      </c>
      <c r="BJ1695" s="1"/>
      <c r="BK1695" s="1"/>
      <c r="BL1695" s="1">
        <v>100</v>
      </c>
      <c r="BM1695" s="1"/>
      <c r="BN1695" s="1"/>
      <c r="BP1695" s="4">
        <v>5</v>
      </c>
      <c r="BV1695" s="35" t="s">
        <v>1487</v>
      </c>
      <c r="BW1695" s="1">
        <v>25</v>
      </c>
      <c r="BX1695" s="1">
        <v>30</v>
      </c>
      <c r="CB1695" s="1"/>
      <c r="CC1695" s="1"/>
      <c r="DQ1695" s="1">
        <v>12.43</v>
      </c>
      <c r="DR1695" s="1">
        <v>0.612</v>
      </c>
      <c r="DS1695" s="1" t="s">
        <v>1488</v>
      </c>
      <c r="DT1695" s="1" t="s">
        <v>1488</v>
      </c>
      <c r="EC1695" s="1" t="e">
        <f t="shared" si="53"/>
        <v>#VALUE!</v>
      </c>
      <c r="ED1695" s="1">
        <v>100</v>
      </c>
      <c r="FJ1695" s="1">
        <v>172.26</v>
      </c>
      <c r="FK1695" s="1">
        <v>0.866</v>
      </c>
      <c r="FL1695" s="1">
        <v>28.17</v>
      </c>
      <c r="FM1695" s="1">
        <v>0.1386</v>
      </c>
      <c r="FV1695" s="1">
        <f t="shared" si="54"/>
        <v>83.6468129571578</v>
      </c>
      <c r="FW1695" s="1">
        <v>83.6468129571578</v>
      </c>
    </row>
    <row r="1696" customHeight="1" spans="1:179">
      <c r="A1696" s="25">
        <v>57</v>
      </c>
      <c r="B1696" s="25" t="s">
        <v>1469</v>
      </c>
      <c r="C1696" s="46" t="s">
        <v>1329</v>
      </c>
      <c r="D1696" s="1" t="s">
        <v>300</v>
      </c>
      <c r="E1696" s="1" t="s">
        <v>1470</v>
      </c>
      <c r="F1696" s="1"/>
      <c r="G1696" s="1"/>
      <c r="H1696" s="1"/>
      <c r="I1696" s="1"/>
      <c r="J1696" s="1"/>
      <c r="K1696" s="1"/>
      <c r="L1696" s="1"/>
      <c r="M1696" s="1"/>
      <c r="N1696" s="1" t="s">
        <v>567</v>
      </c>
      <c r="O1696" s="1" t="s">
        <v>343</v>
      </c>
      <c r="P1696" s="1">
        <v>3</v>
      </c>
      <c r="AI1696" s="47" t="s">
        <v>1474</v>
      </c>
      <c r="BI1696" s="4" t="s">
        <v>321</v>
      </c>
      <c r="BJ1696" s="1"/>
      <c r="BK1696" s="1"/>
      <c r="BL1696" s="1">
        <v>100</v>
      </c>
      <c r="BM1696" s="1"/>
      <c r="BN1696" s="1"/>
      <c r="BP1696" s="4">
        <v>5</v>
      </c>
      <c r="BV1696" s="35" t="s">
        <v>1487</v>
      </c>
      <c r="BW1696" s="1">
        <v>25</v>
      </c>
      <c r="BX1696" s="1">
        <v>30</v>
      </c>
      <c r="CB1696" s="1"/>
      <c r="CC1696" s="1"/>
      <c r="DQ1696" s="1">
        <v>13.48</v>
      </c>
      <c r="DR1696" s="1">
        <v>0.3926</v>
      </c>
      <c r="DS1696" s="1" t="s">
        <v>1488</v>
      </c>
      <c r="DT1696" s="1" t="s">
        <v>1488</v>
      </c>
      <c r="EC1696" s="1" t="e">
        <f t="shared" si="53"/>
        <v>#VALUE!</v>
      </c>
      <c r="ED1696" s="1">
        <v>100</v>
      </c>
      <c r="FJ1696" s="1">
        <v>199.16</v>
      </c>
      <c r="FK1696" s="1">
        <v>0.9988</v>
      </c>
      <c r="FL1696" s="1">
        <v>207.23</v>
      </c>
      <c r="FM1696" s="1">
        <v>0.2309</v>
      </c>
      <c r="FV1696" s="1">
        <f t="shared" si="54"/>
        <v>-4.05201847760594</v>
      </c>
      <c r="FW1696" s="1">
        <v>-4.05201847760594</v>
      </c>
    </row>
    <row r="1697" customHeight="1" spans="1:198">
      <c r="A1697" s="25">
        <v>57</v>
      </c>
      <c r="B1697" s="25" t="s">
        <v>1469</v>
      </c>
      <c r="C1697" s="46" t="s">
        <v>1329</v>
      </c>
      <c r="D1697" s="1" t="s">
        <v>300</v>
      </c>
      <c r="E1697" s="1" t="s">
        <v>1470</v>
      </c>
      <c r="F1697" s="1"/>
      <c r="G1697" s="1"/>
      <c r="H1697" s="1"/>
      <c r="I1697" s="1"/>
      <c r="J1697" s="1"/>
      <c r="K1697" s="1"/>
      <c r="L1697" s="1"/>
      <c r="M1697" s="1"/>
      <c r="N1697" s="1" t="s">
        <v>567</v>
      </c>
      <c r="O1697" s="1" t="s">
        <v>343</v>
      </c>
      <c r="P1697" s="1">
        <v>3</v>
      </c>
      <c r="AI1697" s="47" t="s">
        <v>1476</v>
      </c>
      <c r="BI1697" s="4" t="s">
        <v>321</v>
      </c>
      <c r="BJ1697" s="1"/>
      <c r="BK1697" s="1"/>
      <c r="BL1697" s="1">
        <v>100</v>
      </c>
      <c r="BM1697" s="1"/>
      <c r="BN1697" s="1"/>
      <c r="BP1697" s="4">
        <v>5</v>
      </c>
      <c r="BV1697" s="35" t="s">
        <v>1487</v>
      </c>
      <c r="BW1697" s="1">
        <v>25</v>
      </c>
      <c r="BX1697" s="1">
        <v>30</v>
      </c>
      <c r="CB1697" s="1"/>
      <c r="CC1697" s="1"/>
      <c r="DQ1697" s="1">
        <v>17.94</v>
      </c>
      <c r="DR1697" s="1">
        <v>0.3984</v>
      </c>
      <c r="DS1697" s="1">
        <v>3.46</v>
      </c>
      <c r="DT1697" s="1">
        <v>0.0346</v>
      </c>
      <c r="EC1697" s="1">
        <f t="shared" si="53"/>
        <v>80.7134894091416</v>
      </c>
      <c r="ED1697" s="1">
        <v>80.7134894091416</v>
      </c>
      <c r="FJ1697" s="1">
        <v>137.47</v>
      </c>
      <c r="FK1697" s="1">
        <v>0</v>
      </c>
      <c r="FL1697" s="1">
        <v>18.05</v>
      </c>
      <c r="FM1697" s="1">
        <v>0.1155</v>
      </c>
      <c r="FV1697" s="1">
        <f t="shared" si="54"/>
        <v>86.8698625154579</v>
      </c>
      <c r="FW1697" s="1">
        <v>86.8698625154579</v>
      </c>
    </row>
    <row r="1698" customHeight="1" spans="1:198">
      <c r="A1698" s="25">
        <v>57</v>
      </c>
      <c r="B1698" s="25" t="s">
        <v>1469</v>
      </c>
      <c r="C1698" s="46" t="s">
        <v>1329</v>
      </c>
      <c r="D1698" s="1" t="s">
        <v>300</v>
      </c>
      <c r="E1698" s="1" t="s">
        <v>1470</v>
      </c>
      <c r="F1698" s="1"/>
      <c r="G1698" s="1"/>
      <c r="H1698" s="1"/>
      <c r="I1698" s="1"/>
      <c r="J1698" s="1"/>
      <c r="K1698" s="1"/>
      <c r="L1698" s="1"/>
      <c r="M1698" s="1"/>
      <c r="N1698" s="1" t="s">
        <v>567</v>
      </c>
      <c r="O1698" s="1" t="s">
        <v>343</v>
      </c>
      <c r="P1698" s="1">
        <v>3</v>
      </c>
      <c r="AI1698" s="47" t="s">
        <v>1478</v>
      </c>
      <c r="BI1698" s="4" t="s">
        <v>321</v>
      </c>
      <c r="BJ1698" s="1"/>
      <c r="BK1698" s="1"/>
      <c r="BL1698" s="1">
        <v>100</v>
      </c>
      <c r="BM1698" s="1"/>
      <c r="BN1698" s="1"/>
      <c r="BP1698" s="4">
        <v>5</v>
      </c>
      <c r="BV1698" s="35" t="s">
        <v>1487</v>
      </c>
      <c r="BW1698" s="1">
        <v>25</v>
      </c>
      <c r="BX1698" s="1">
        <v>30</v>
      </c>
      <c r="CB1698" s="1"/>
      <c r="CC1698" s="1"/>
      <c r="DQ1698" s="1">
        <v>11.47</v>
      </c>
      <c r="DR1698" s="1">
        <v>0.2598</v>
      </c>
      <c r="DS1698" s="1">
        <v>1.24</v>
      </c>
      <c r="DT1698" s="1">
        <v>0.0231</v>
      </c>
      <c r="EC1698" s="1">
        <f t="shared" si="53"/>
        <v>89.1891891891892</v>
      </c>
      <c r="ED1698" s="1">
        <v>89.1891891891892</v>
      </c>
      <c r="FJ1698" s="1">
        <v>17598.4</v>
      </c>
      <c r="FK1698" s="1">
        <v>136.9186</v>
      </c>
      <c r="FL1698" s="1">
        <v>9736.68</v>
      </c>
      <c r="FM1698" s="1">
        <v>75.4943</v>
      </c>
      <c r="FV1698" s="1">
        <f t="shared" si="54"/>
        <v>44.6729248113465</v>
      </c>
      <c r="FW1698" s="1">
        <v>44.6729248113465</v>
      </c>
    </row>
    <row r="1699" customHeight="1" spans="1:198">
      <c r="A1699" s="25">
        <v>57</v>
      </c>
      <c r="B1699" s="25" t="s">
        <v>1469</v>
      </c>
      <c r="C1699" s="46" t="s">
        <v>1329</v>
      </c>
      <c r="D1699" s="1" t="s">
        <v>300</v>
      </c>
      <c r="E1699" s="1" t="s">
        <v>1470</v>
      </c>
      <c r="F1699" s="1"/>
      <c r="G1699" s="1"/>
      <c r="H1699" s="1"/>
      <c r="I1699" s="1"/>
      <c r="J1699" s="1"/>
      <c r="K1699" s="1"/>
      <c r="L1699" s="1"/>
      <c r="M1699" s="1"/>
      <c r="N1699" s="1" t="s">
        <v>567</v>
      </c>
      <c r="O1699" s="1" t="s">
        <v>343</v>
      </c>
      <c r="P1699" s="1">
        <v>3</v>
      </c>
      <c r="AI1699" s="47" t="s">
        <v>1480</v>
      </c>
      <c r="BI1699" s="4" t="s">
        <v>321</v>
      </c>
      <c r="BJ1699" s="1"/>
      <c r="BK1699" s="1"/>
      <c r="BL1699" s="1">
        <v>100</v>
      </c>
      <c r="BM1699" s="1"/>
      <c r="BN1699" s="1"/>
      <c r="BP1699" s="4">
        <v>5</v>
      </c>
      <c r="BV1699" s="35" t="s">
        <v>1487</v>
      </c>
      <c r="BW1699" s="1">
        <v>25</v>
      </c>
      <c r="BX1699" s="1">
        <v>30</v>
      </c>
      <c r="CB1699" s="1"/>
      <c r="CC1699" s="1"/>
      <c r="DQ1699" s="1">
        <v>15.07</v>
      </c>
      <c r="DR1699" s="1">
        <v>5.0229</v>
      </c>
      <c r="DS1699" s="1" t="s">
        <v>1488</v>
      </c>
      <c r="DT1699" s="1" t="s">
        <v>1488</v>
      </c>
      <c r="ED1699" s="1">
        <v>100</v>
      </c>
      <c r="FJ1699" s="1">
        <v>613.37</v>
      </c>
      <c r="FK1699" s="1">
        <v>0.866</v>
      </c>
      <c r="FL1699" s="1">
        <v>2185.72</v>
      </c>
      <c r="FM1699" s="1">
        <v>1.836</v>
      </c>
      <c r="FV1699" s="1">
        <f t="shared" si="54"/>
        <v>-256.346088005608</v>
      </c>
      <c r="FW1699" s="1">
        <v>-256.346088005608</v>
      </c>
    </row>
    <row r="1700" customHeight="1" spans="1:198">
      <c r="A1700" s="25">
        <v>57</v>
      </c>
      <c r="B1700" s="25" t="s">
        <v>1469</v>
      </c>
      <c r="C1700" s="46" t="s">
        <v>1329</v>
      </c>
      <c r="D1700" s="1" t="s">
        <v>300</v>
      </c>
      <c r="E1700" s="1" t="s">
        <v>1470</v>
      </c>
      <c r="F1700" s="1"/>
      <c r="G1700" s="1"/>
      <c r="H1700" s="1"/>
      <c r="I1700" s="1"/>
      <c r="J1700" s="1"/>
      <c r="K1700" s="1"/>
      <c r="L1700" s="1"/>
      <c r="M1700" s="1"/>
      <c r="N1700" s="1" t="s">
        <v>567</v>
      </c>
      <c r="O1700" s="1" t="s">
        <v>343</v>
      </c>
      <c r="P1700" s="1">
        <v>3</v>
      </c>
      <c r="AI1700" s="47" t="s">
        <v>1482</v>
      </c>
      <c r="BI1700" s="4" t="s">
        <v>321</v>
      </c>
      <c r="BJ1700" s="1"/>
      <c r="BK1700" s="1"/>
      <c r="BL1700" s="1">
        <v>100</v>
      </c>
      <c r="BM1700" s="1"/>
      <c r="BN1700" s="1"/>
      <c r="BP1700" s="4">
        <v>5</v>
      </c>
      <c r="BV1700" s="35" t="s">
        <v>1487</v>
      </c>
      <c r="BW1700" s="1">
        <v>25</v>
      </c>
      <c r="BX1700" s="1">
        <v>30</v>
      </c>
      <c r="CB1700" s="1"/>
      <c r="CC1700" s="1"/>
      <c r="DQ1700" s="1">
        <v>18.05</v>
      </c>
      <c r="DR1700" s="1">
        <v>6.016</v>
      </c>
      <c r="DS1700" s="1" t="s">
        <v>1488</v>
      </c>
      <c r="DT1700" s="1" t="s">
        <v>1488</v>
      </c>
      <c r="ED1700" s="1">
        <v>100</v>
      </c>
      <c r="FJ1700" s="1">
        <v>476.21</v>
      </c>
      <c r="FK1700" s="1">
        <v>1.0219</v>
      </c>
      <c r="FL1700" s="1">
        <v>177.7</v>
      </c>
      <c r="FM1700" s="1">
        <v>0.4561</v>
      </c>
      <c r="FV1700" s="1">
        <f t="shared" si="54"/>
        <v>62.6845299342727</v>
      </c>
      <c r="FW1700" s="1">
        <v>62.6845299342727</v>
      </c>
    </row>
    <row r="1701" customHeight="1" spans="1:198">
      <c r="A1701" s="25">
        <v>57</v>
      </c>
      <c r="B1701" s="25" t="s">
        <v>1469</v>
      </c>
      <c r="C1701" s="46" t="s">
        <v>1329</v>
      </c>
      <c r="D1701" s="1" t="s">
        <v>300</v>
      </c>
      <c r="E1701" s="1" t="s">
        <v>1470</v>
      </c>
      <c r="F1701" s="1"/>
      <c r="G1701" s="1"/>
      <c r="H1701" s="1"/>
      <c r="I1701" s="1"/>
      <c r="J1701" s="1"/>
      <c r="K1701" s="1"/>
      <c r="L1701" s="1"/>
      <c r="M1701" s="1"/>
      <c r="N1701" s="1" t="s">
        <v>567</v>
      </c>
      <c r="O1701" s="1" t="s">
        <v>343</v>
      </c>
      <c r="P1701" s="1">
        <v>3</v>
      </c>
      <c r="AI1701" s="47" t="s">
        <v>1484</v>
      </c>
      <c r="BI1701" s="4" t="s">
        <v>321</v>
      </c>
      <c r="BJ1701" s="1"/>
      <c r="BK1701" s="1"/>
      <c r="BL1701" s="1">
        <v>100</v>
      </c>
      <c r="BM1701" s="1"/>
      <c r="BN1701" s="1"/>
      <c r="BP1701" s="4">
        <v>5</v>
      </c>
      <c r="BV1701" s="35" t="s">
        <v>1487</v>
      </c>
      <c r="BW1701" s="1">
        <v>25</v>
      </c>
      <c r="BX1701" s="1">
        <v>30</v>
      </c>
      <c r="CB1701" s="1"/>
      <c r="CC1701" s="1"/>
      <c r="DQ1701" s="1">
        <v>19.05</v>
      </c>
      <c r="DR1701" s="1">
        <v>6.3509</v>
      </c>
      <c r="DS1701" s="1" t="s">
        <v>1488</v>
      </c>
      <c r="DT1701" s="1" t="s">
        <v>1488</v>
      </c>
      <c r="ED1701" s="1">
        <v>100</v>
      </c>
      <c r="FJ1701" s="1">
        <v>1522.36</v>
      </c>
      <c r="FK1701" s="1">
        <v>2.217</v>
      </c>
      <c r="FL1701" s="1">
        <v>569.49</v>
      </c>
      <c r="FM1701" s="1">
        <v>1.8013</v>
      </c>
      <c r="FV1701" s="1">
        <f t="shared" si="54"/>
        <v>62.5916340418823</v>
      </c>
      <c r="FW1701" s="1">
        <v>62.5916340418823</v>
      </c>
    </row>
    <row r="1702" customHeight="1" spans="1:198">
      <c r="A1702" s="25">
        <v>57</v>
      </c>
      <c r="B1702" s="25" t="s">
        <v>1469</v>
      </c>
      <c r="C1702" s="46" t="s">
        <v>1329</v>
      </c>
      <c r="D1702" s="1" t="s">
        <v>300</v>
      </c>
      <c r="E1702" s="1" t="s">
        <v>1470</v>
      </c>
      <c r="F1702" s="1"/>
      <c r="G1702" s="1"/>
      <c r="H1702" s="1"/>
      <c r="I1702" s="1"/>
      <c r="J1702" s="1"/>
      <c r="K1702" s="1"/>
      <c r="L1702" s="1"/>
      <c r="M1702" s="1"/>
      <c r="N1702" s="1" t="s">
        <v>567</v>
      </c>
      <c r="O1702" s="1" t="s">
        <v>343</v>
      </c>
      <c r="P1702" s="1">
        <v>3</v>
      </c>
      <c r="AI1702" s="47" t="s">
        <v>1486</v>
      </c>
      <c r="BI1702" s="4" t="s">
        <v>321</v>
      </c>
      <c r="BJ1702" s="1"/>
      <c r="BK1702" s="1"/>
      <c r="BL1702" s="1">
        <v>100</v>
      </c>
      <c r="BM1702" s="1"/>
      <c r="BN1702" s="1"/>
      <c r="BP1702" s="4">
        <v>5</v>
      </c>
      <c r="BV1702" s="35" t="s">
        <v>1487</v>
      </c>
      <c r="BW1702" s="1">
        <v>25</v>
      </c>
      <c r="BX1702" s="1">
        <v>30</v>
      </c>
      <c r="CB1702" s="1"/>
      <c r="CC1702" s="1"/>
      <c r="DQ1702" s="1">
        <v>29.1</v>
      </c>
      <c r="DR1702" s="1">
        <v>20.4209</v>
      </c>
      <c r="DS1702" s="1" t="s">
        <v>1488</v>
      </c>
      <c r="DT1702" s="1" t="s">
        <v>1488</v>
      </c>
      <c r="ED1702" s="1">
        <v>100</v>
      </c>
      <c r="FJ1702" s="1">
        <v>162.89</v>
      </c>
      <c r="FK1702" s="1">
        <v>0.8314</v>
      </c>
      <c r="FL1702" s="1">
        <v>48.51</v>
      </c>
      <c r="FM1702" s="1">
        <v>0.2078</v>
      </c>
      <c r="FV1702" s="1">
        <f t="shared" si="54"/>
        <v>70.2191663085518</v>
      </c>
      <c r="FW1702" s="1">
        <v>70.2191663085518</v>
      </c>
    </row>
    <row r="1703" customHeight="1" spans="1:198">
      <c r="A1703" s="25">
        <v>57</v>
      </c>
      <c r="B1703" s="25" t="s">
        <v>1469</v>
      </c>
      <c r="C1703" s="46" t="s">
        <v>1329</v>
      </c>
      <c r="D1703" s="1" t="s">
        <v>300</v>
      </c>
      <c r="E1703" s="1" t="s">
        <v>1470</v>
      </c>
      <c r="F1703" s="1"/>
      <c r="G1703" s="1"/>
      <c r="H1703" s="1"/>
      <c r="I1703" s="1"/>
      <c r="J1703" s="1"/>
      <c r="K1703" s="1"/>
      <c r="L1703" s="1"/>
      <c r="M1703" s="1"/>
      <c r="N1703" s="1" t="s">
        <v>567</v>
      </c>
      <c r="O1703" s="1" t="s">
        <v>343</v>
      </c>
      <c r="P1703" s="1">
        <v>3</v>
      </c>
      <c r="AI1703" s="47" t="s">
        <v>1472</v>
      </c>
      <c r="BI1703" s="4" t="s">
        <v>321</v>
      </c>
      <c r="BJ1703" s="1"/>
      <c r="BK1703" s="1"/>
      <c r="BL1703" s="1">
        <v>100</v>
      </c>
      <c r="BM1703" s="1"/>
      <c r="BN1703" s="1"/>
      <c r="BP1703" s="4">
        <v>5</v>
      </c>
      <c r="BV1703" s="35" t="s">
        <v>1489</v>
      </c>
      <c r="BW1703" s="1">
        <v>25</v>
      </c>
      <c r="BX1703" s="1">
        <v>30</v>
      </c>
      <c r="CB1703" s="1"/>
      <c r="CC1703" s="1"/>
      <c r="DQ1703" s="1">
        <v>12.43</v>
      </c>
      <c r="DR1703" s="1">
        <v>0.612</v>
      </c>
      <c r="DS1703" s="1">
        <v>1.96</v>
      </c>
      <c r="DT1703" s="1">
        <v>0.0751</v>
      </c>
      <c r="EC1703" s="1">
        <f t="shared" si="53"/>
        <v>84.2316975060338</v>
      </c>
      <c r="ED1703" s="1">
        <v>84.2316975060338</v>
      </c>
      <c r="FJ1703" s="1">
        <v>172.26</v>
      </c>
      <c r="FK1703" s="1">
        <v>0.866</v>
      </c>
      <c r="FL1703" s="1">
        <v>20.23</v>
      </c>
      <c r="FM1703" s="1">
        <v>0.9064</v>
      </c>
      <c r="FV1703" s="1">
        <f t="shared" si="54"/>
        <v>88.256124463021</v>
      </c>
      <c r="FW1703" s="1">
        <v>88.256124463021</v>
      </c>
    </row>
    <row r="1704" customHeight="1" spans="1:198">
      <c r="A1704" s="25">
        <v>57</v>
      </c>
      <c r="B1704" s="25" t="s">
        <v>1469</v>
      </c>
      <c r="C1704" s="46" t="s">
        <v>1329</v>
      </c>
      <c r="D1704" s="1" t="s">
        <v>300</v>
      </c>
      <c r="E1704" s="1" t="s">
        <v>1470</v>
      </c>
      <c r="F1704" s="1"/>
      <c r="G1704" s="1"/>
      <c r="H1704" s="1"/>
      <c r="I1704" s="1"/>
      <c r="J1704" s="1"/>
      <c r="K1704" s="1"/>
      <c r="L1704" s="1"/>
      <c r="M1704" s="1"/>
      <c r="N1704" s="1" t="s">
        <v>567</v>
      </c>
      <c r="O1704" s="1" t="s">
        <v>343</v>
      </c>
      <c r="P1704" s="1">
        <v>3</v>
      </c>
      <c r="AI1704" s="47" t="s">
        <v>1474</v>
      </c>
      <c r="BI1704" s="4" t="s">
        <v>321</v>
      </c>
      <c r="BJ1704" s="1"/>
      <c r="BK1704" s="1"/>
      <c r="BL1704" s="1">
        <v>100</v>
      </c>
      <c r="BM1704" s="1"/>
      <c r="BN1704" s="1"/>
      <c r="BP1704" s="4">
        <v>5</v>
      </c>
      <c r="BV1704" s="35" t="s">
        <v>1489</v>
      </c>
      <c r="BW1704" s="1">
        <v>25</v>
      </c>
      <c r="BX1704" s="1">
        <v>30</v>
      </c>
      <c r="CB1704" s="1"/>
      <c r="CC1704" s="1"/>
      <c r="DQ1704" s="1">
        <v>13.48</v>
      </c>
      <c r="DR1704" s="1">
        <v>0.3926</v>
      </c>
      <c r="DS1704" s="1">
        <v>2.6</v>
      </c>
      <c r="DT1704" s="1">
        <v>0.127</v>
      </c>
      <c r="EC1704" s="1">
        <f t="shared" si="53"/>
        <v>80.7121661721068</v>
      </c>
      <c r="ED1704" s="1">
        <v>80.7121661721068</v>
      </c>
      <c r="FJ1704" s="1">
        <v>199.16</v>
      </c>
      <c r="FK1704" s="1">
        <v>0.9988</v>
      </c>
      <c r="FL1704" s="1">
        <v>54.69</v>
      </c>
      <c r="FM1704" s="1">
        <v>1.2413</v>
      </c>
      <c r="FV1704" s="1">
        <f t="shared" si="54"/>
        <v>72.5396665997188</v>
      </c>
      <c r="FW1704" s="1">
        <v>72.5396665997188</v>
      </c>
    </row>
    <row r="1705" customHeight="1" spans="1:198">
      <c r="A1705" s="25">
        <v>57</v>
      </c>
      <c r="B1705" s="25" t="s">
        <v>1469</v>
      </c>
      <c r="C1705" s="46" t="s">
        <v>1329</v>
      </c>
      <c r="D1705" s="1" t="s">
        <v>300</v>
      </c>
      <c r="E1705" s="1" t="s">
        <v>1470</v>
      </c>
      <c r="F1705" s="1"/>
      <c r="G1705" s="1"/>
      <c r="H1705" s="1"/>
      <c r="I1705" s="1"/>
      <c r="J1705" s="1"/>
      <c r="K1705" s="1"/>
      <c r="L1705" s="1"/>
      <c r="M1705" s="1"/>
      <c r="N1705" s="1" t="s">
        <v>567</v>
      </c>
      <c r="O1705" s="1" t="s">
        <v>343</v>
      </c>
      <c r="P1705" s="1">
        <v>3</v>
      </c>
      <c r="AI1705" s="47" t="s">
        <v>1476</v>
      </c>
      <c r="BI1705" s="4" t="s">
        <v>321</v>
      </c>
      <c r="BJ1705" s="1"/>
      <c r="BK1705" s="1"/>
      <c r="BL1705" s="1">
        <v>100</v>
      </c>
      <c r="BM1705" s="1"/>
      <c r="BN1705" s="1"/>
      <c r="BP1705" s="4">
        <v>5</v>
      </c>
      <c r="BV1705" s="35" t="s">
        <v>1489</v>
      </c>
      <c r="BW1705" s="1">
        <v>25</v>
      </c>
      <c r="BX1705" s="1">
        <v>30</v>
      </c>
      <c r="CB1705" s="1"/>
      <c r="CC1705" s="1"/>
      <c r="DQ1705" s="1">
        <v>17.94</v>
      </c>
      <c r="DR1705" s="1">
        <v>0.3984</v>
      </c>
      <c r="DS1705" s="1">
        <v>8.1</v>
      </c>
      <c r="DT1705" s="1">
        <v>0.1039</v>
      </c>
      <c r="EC1705" s="1">
        <f t="shared" si="53"/>
        <v>54.8494983277592</v>
      </c>
      <c r="ED1705" s="1">
        <v>54.8494983277592</v>
      </c>
      <c r="FJ1705" s="1">
        <v>137.47</v>
      </c>
      <c r="FK1705" s="1">
        <v>0</v>
      </c>
      <c r="FL1705" s="1">
        <v>12.61</v>
      </c>
      <c r="FM1705" s="1">
        <v>0.358</v>
      </c>
      <c r="FV1705" s="1">
        <f t="shared" si="54"/>
        <v>90.8270895468102</v>
      </c>
      <c r="FW1705" s="1">
        <v>90.8270895468102</v>
      </c>
    </row>
    <row r="1706" customHeight="1" spans="1:198">
      <c r="A1706" s="25">
        <v>57</v>
      </c>
      <c r="B1706" s="25" t="s">
        <v>1469</v>
      </c>
      <c r="C1706" s="46" t="s">
        <v>1329</v>
      </c>
      <c r="D1706" s="1" t="s">
        <v>300</v>
      </c>
      <c r="E1706" s="1" t="s">
        <v>1470</v>
      </c>
      <c r="F1706" s="1"/>
      <c r="G1706" s="1"/>
      <c r="H1706" s="1"/>
      <c r="I1706" s="1"/>
      <c r="J1706" s="1"/>
      <c r="K1706" s="1"/>
      <c r="L1706" s="1"/>
      <c r="M1706" s="1"/>
      <c r="N1706" s="1" t="s">
        <v>567</v>
      </c>
      <c r="O1706" s="1" t="s">
        <v>343</v>
      </c>
      <c r="P1706" s="1">
        <v>3</v>
      </c>
      <c r="AI1706" s="47" t="s">
        <v>1478</v>
      </c>
      <c r="BI1706" s="4" t="s">
        <v>321</v>
      </c>
      <c r="BJ1706" s="1"/>
      <c r="BK1706" s="1"/>
      <c r="BL1706" s="1">
        <v>100</v>
      </c>
      <c r="BM1706" s="1"/>
      <c r="BN1706" s="1"/>
      <c r="BP1706" s="4">
        <v>5</v>
      </c>
      <c r="BV1706" s="35" t="s">
        <v>1489</v>
      </c>
      <c r="BW1706" s="1">
        <v>25</v>
      </c>
      <c r="BX1706" s="1">
        <v>30</v>
      </c>
      <c r="CB1706" s="1"/>
      <c r="CC1706" s="1"/>
      <c r="DQ1706" s="1">
        <v>11.47</v>
      </c>
      <c r="DR1706" s="1">
        <v>0.2598</v>
      </c>
      <c r="DS1706" s="1">
        <v>3.24</v>
      </c>
      <c r="DT1706" s="1">
        <v>0.0173</v>
      </c>
      <c r="EC1706" s="1">
        <f t="shared" si="53"/>
        <v>71.7523975588492</v>
      </c>
      <c r="ED1706" s="1">
        <v>71.7523975588492</v>
      </c>
      <c r="FJ1706" s="1">
        <v>17598.4</v>
      </c>
      <c r="FK1706" s="1">
        <v>136.9186</v>
      </c>
      <c r="FL1706" s="1">
        <v>5687.9</v>
      </c>
      <c r="FM1706" s="1">
        <v>22.8284</v>
      </c>
      <c r="FV1706" s="1">
        <f t="shared" si="54"/>
        <v>67.6794481316483</v>
      </c>
      <c r="FW1706" s="1">
        <v>67.6794481316483</v>
      </c>
    </row>
    <row r="1707" customHeight="1" spans="1:198">
      <c r="A1707" s="25">
        <v>57</v>
      </c>
      <c r="B1707" s="25" t="s">
        <v>1469</v>
      </c>
      <c r="C1707" s="46" t="s">
        <v>1329</v>
      </c>
      <c r="D1707" s="1" t="s">
        <v>300</v>
      </c>
      <c r="E1707" s="1" t="s">
        <v>1470</v>
      </c>
      <c r="F1707" s="1"/>
      <c r="G1707" s="1"/>
      <c r="H1707" s="1"/>
      <c r="I1707" s="1"/>
      <c r="J1707" s="1"/>
      <c r="K1707" s="1"/>
      <c r="L1707" s="1"/>
      <c r="M1707" s="1"/>
      <c r="N1707" s="1" t="s">
        <v>567</v>
      </c>
      <c r="O1707" s="1" t="s">
        <v>343</v>
      </c>
      <c r="P1707" s="1">
        <v>3</v>
      </c>
      <c r="AI1707" s="47" t="s">
        <v>1480</v>
      </c>
      <c r="BI1707" s="4" t="s">
        <v>321</v>
      </c>
      <c r="BJ1707" s="1"/>
      <c r="BK1707" s="1"/>
      <c r="BL1707" s="1">
        <v>100</v>
      </c>
      <c r="BM1707" s="1"/>
      <c r="BN1707" s="1"/>
      <c r="BP1707" s="4">
        <v>5</v>
      </c>
      <c r="BV1707" s="35" t="s">
        <v>1489</v>
      </c>
      <c r="BW1707" s="1">
        <v>25</v>
      </c>
      <c r="BX1707" s="1">
        <v>30</v>
      </c>
      <c r="CB1707" s="1"/>
      <c r="CC1707" s="1"/>
      <c r="DQ1707" s="1">
        <v>15.07</v>
      </c>
      <c r="DR1707" s="1">
        <v>5.0229</v>
      </c>
      <c r="DS1707" s="1">
        <v>2.45</v>
      </c>
      <c r="DT1707" s="1">
        <v>0.1732</v>
      </c>
      <c r="EC1707" s="1">
        <f t="shared" si="53"/>
        <v>83.7425348374254</v>
      </c>
      <c r="ED1707" s="1">
        <v>83.7425348374254</v>
      </c>
      <c r="FJ1707" s="1">
        <v>613.37</v>
      </c>
      <c r="FK1707" s="1">
        <v>0.866</v>
      </c>
      <c r="FL1707" s="1">
        <v>119.31</v>
      </c>
      <c r="FM1707" s="1">
        <v>6.9859</v>
      </c>
      <c r="FV1707" s="1">
        <f t="shared" si="54"/>
        <v>80.5484454733684</v>
      </c>
      <c r="FW1707" s="1">
        <v>80.5484454733684</v>
      </c>
    </row>
    <row r="1708" customHeight="1" spans="1:198">
      <c r="A1708" s="25">
        <v>57</v>
      </c>
      <c r="B1708" s="25" t="s">
        <v>1469</v>
      </c>
      <c r="C1708" s="46" t="s">
        <v>1329</v>
      </c>
      <c r="D1708" s="1" t="s">
        <v>300</v>
      </c>
      <c r="E1708" s="1" t="s">
        <v>1470</v>
      </c>
      <c r="F1708" s="1"/>
      <c r="G1708" s="1"/>
      <c r="H1708" s="1"/>
      <c r="I1708" s="1"/>
      <c r="J1708" s="1"/>
      <c r="K1708" s="1"/>
      <c r="L1708" s="1"/>
      <c r="M1708" s="1"/>
      <c r="N1708" s="1" t="s">
        <v>567</v>
      </c>
      <c r="O1708" s="1" t="s">
        <v>343</v>
      </c>
      <c r="P1708" s="1">
        <v>3</v>
      </c>
      <c r="AI1708" s="47" t="s">
        <v>1482</v>
      </c>
      <c r="BI1708" s="4" t="s">
        <v>321</v>
      </c>
      <c r="BJ1708" s="1"/>
      <c r="BK1708" s="1"/>
      <c r="BL1708" s="1">
        <v>100</v>
      </c>
      <c r="BM1708" s="1"/>
      <c r="BN1708" s="1"/>
      <c r="BP1708" s="4">
        <v>5</v>
      </c>
      <c r="BV1708" s="35" t="s">
        <v>1489</v>
      </c>
      <c r="BW1708" s="1">
        <v>25</v>
      </c>
      <c r="BX1708" s="1">
        <v>30</v>
      </c>
      <c r="CB1708" s="1"/>
      <c r="CC1708" s="1"/>
      <c r="DQ1708" s="1">
        <v>18.05</v>
      </c>
      <c r="DR1708" s="1">
        <v>6.016</v>
      </c>
      <c r="DS1708" s="1">
        <v>2.23</v>
      </c>
      <c r="DT1708" s="1">
        <v>0.127</v>
      </c>
      <c r="EC1708" s="1">
        <f t="shared" si="53"/>
        <v>87.6454293628809</v>
      </c>
      <c r="ED1708" s="1">
        <v>87.6454293628809</v>
      </c>
      <c r="FJ1708" s="1">
        <v>476.21</v>
      </c>
      <c r="FK1708" s="1">
        <v>1.0219</v>
      </c>
      <c r="FL1708" s="1">
        <v>279.28</v>
      </c>
      <c r="FM1708" s="1">
        <v>3.3833</v>
      </c>
      <c r="FV1708" s="1">
        <f t="shared" si="54"/>
        <v>41.3536045022154</v>
      </c>
      <c r="FW1708" s="1">
        <v>41.3536045022154</v>
      </c>
    </row>
    <row r="1709" customHeight="1" spans="1:198">
      <c r="A1709" s="25">
        <v>57</v>
      </c>
      <c r="B1709" s="25" t="s">
        <v>1469</v>
      </c>
      <c r="C1709" s="46" t="s">
        <v>1329</v>
      </c>
      <c r="D1709" s="1" t="s">
        <v>300</v>
      </c>
      <c r="E1709" s="1" t="s">
        <v>1470</v>
      </c>
      <c r="F1709" s="1"/>
      <c r="G1709" s="1"/>
      <c r="H1709" s="1"/>
      <c r="I1709" s="1"/>
      <c r="J1709" s="1"/>
      <c r="K1709" s="1"/>
      <c r="L1709" s="1"/>
      <c r="M1709" s="1"/>
      <c r="N1709" s="1" t="s">
        <v>567</v>
      </c>
      <c r="O1709" s="1" t="s">
        <v>343</v>
      </c>
      <c r="P1709" s="1">
        <v>3</v>
      </c>
      <c r="AI1709" s="47" t="s">
        <v>1484</v>
      </c>
      <c r="BI1709" s="4" t="s">
        <v>321</v>
      </c>
      <c r="BJ1709" s="1"/>
      <c r="BK1709" s="1"/>
      <c r="BL1709" s="1">
        <v>100</v>
      </c>
      <c r="BM1709" s="1"/>
      <c r="BN1709" s="1"/>
      <c r="BP1709" s="4">
        <v>5</v>
      </c>
      <c r="BV1709" s="35" t="s">
        <v>1489</v>
      </c>
      <c r="BW1709" s="1">
        <v>25</v>
      </c>
      <c r="BX1709" s="1">
        <v>30</v>
      </c>
      <c r="CB1709" s="1"/>
      <c r="CC1709" s="1"/>
      <c r="DQ1709" s="1">
        <v>19.05</v>
      </c>
      <c r="DR1709" s="1">
        <v>6.3509</v>
      </c>
      <c r="DS1709" s="1">
        <v>2.19</v>
      </c>
      <c r="DT1709" s="1">
        <v>0.1212</v>
      </c>
      <c r="EC1709" s="1">
        <f t="shared" si="53"/>
        <v>88.503937007874</v>
      </c>
      <c r="ED1709" s="1">
        <v>88.503937007874</v>
      </c>
      <c r="FJ1709" s="1">
        <v>1522.36</v>
      </c>
      <c r="FK1709" s="1">
        <v>2.217</v>
      </c>
      <c r="FL1709" s="1">
        <v>1321.9</v>
      </c>
      <c r="FM1709" s="1">
        <v>4.9306</v>
      </c>
      <c r="FV1709" s="1">
        <f t="shared" si="54"/>
        <v>13.1677132872645</v>
      </c>
      <c r="FW1709" s="1">
        <v>13.1677132872645</v>
      </c>
    </row>
    <row r="1710" customHeight="1" spans="1:198">
      <c r="A1710" s="25">
        <v>57</v>
      </c>
      <c r="B1710" s="25" t="s">
        <v>1469</v>
      </c>
      <c r="C1710" s="46" t="s">
        <v>1329</v>
      </c>
      <c r="D1710" s="1" t="s">
        <v>300</v>
      </c>
      <c r="E1710" s="1" t="s">
        <v>1470</v>
      </c>
      <c r="F1710" s="1"/>
      <c r="G1710" s="1"/>
      <c r="H1710" s="1"/>
      <c r="I1710" s="1"/>
      <c r="J1710" s="1"/>
      <c r="K1710" s="1"/>
      <c r="L1710" s="1"/>
      <c r="M1710" s="1"/>
      <c r="N1710" s="1" t="s">
        <v>567</v>
      </c>
      <c r="O1710" s="1" t="s">
        <v>343</v>
      </c>
      <c r="P1710" s="1">
        <v>3</v>
      </c>
      <c r="AI1710" s="47" t="s">
        <v>1486</v>
      </c>
      <c r="BI1710" s="4" t="s">
        <v>321</v>
      </c>
      <c r="BJ1710" s="1"/>
      <c r="BK1710" s="1"/>
      <c r="BL1710" s="1">
        <v>100</v>
      </c>
      <c r="BM1710" s="1"/>
      <c r="BN1710" s="1"/>
      <c r="BP1710" s="4">
        <v>5</v>
      </c>
      <c r="BV1710" s="35" t="s">
        <v>1489</v>
      </c>
      <c r="BW1710" s="1">
        <v>25</v>
      </c>
      <c r="BX1710" s="1">
        <v>30</v>
      </c>
      <c r="CB1710" s="1"/>
      <c r="CC1710" s="1"/>
      <c r="DQ1710" s="1">
        <v>29.1</v>
      </c>
      <c r="DR1710" s="1">
        <v>20.4209</v>
      </c>
      <c r="DS1710" s="1">
        <v>2.06</v>
      </c>
      <c r="DT1710" s="1">
        <v>0.0981</v>
      </c>
      <c r="EC1710" s="1">
        <f t="shared" si="53"/>
        <v>92.9209621993127</v>
      </c>
      <c r="ED1710" s="1">
        <v>92.9209621993127</v>
      </c>
      <c r="FJ1710" s="1">
        <v>162.89</v>
      </c>
      <c r="FK1710" s="1">
        <v>0.8314</v>
      </c>
      <c r="FL1710" s="1">
        <v>224.97</v>
      </c>
      <c r="FM1710" s="1">
        <v>0.5716</v>
      </c>
      <c r="FV1710" s="1">
        <f t="shared" si="54"/>
        <v>-38.1116090613297</v>
      </c>
      <c r="FW1710" s="1">
        <v>-38.1116090613297</v>
      </c>
    </row>
    <row r="1711" customHeight="1" spans="1:198">
      <c r="A1711" s="5">
        <v>58</v>
      </c>
      <c r="B1711" s="4" t="s">
        <v>1490</v>
      </c>
      <c r="C1711" s="40" t="s">
        <v>1491</v>
      </c>
      <c r="D1711" s="4" t="s">
        <v>300</v>
      </c>
      <c r="E1711" s="4" t="s">
        <v>1492</v>
      </c>
      <c r="AD1711" s="4" t="s">
        <v>1493</v>
      </c>
      <c r="AH1711" s="4" t="s">
        <v>1217</v>
      </c>
      <c r="BD1711" s="4" t="s">
        <v>1494</v>
      </c>
      <c r="BI1711" s="1" t="s">
        <v>407</v>
      </c>
      <c r="BJ1711" s="1"/>
      <c r="BK1711" s="1"/>
      <c r="BL1711" s="1">
        <v>50</v>
      </c>
      <c r="BM1711" s="1"/>
      <c r="BN1711" s="1"/>
      <c r="BP1711" s="1">
        <v>0</v>
      </c>
      <c r="BV1711" s="4" t="s">
        <v>1415</v>
      </c>
      <c r="BW1711" s="1" t="s">
        <v>1495</v>
      </c>
      <c r="BX1711" s="1" t="s">
        <v>1496</v>
      </c>
      <c r="CB1711" s="1" t="s">
        <v>12</v>
      </c>
      <c r="CC1711" s="1"/>
      <c r="DO1711" s="4">
        <v>3</v>
      </c>
      <c r="GP1711" s="1">
        <v>0.183</v>
      </c>
    </row>
    <row r="1712" customHeight="1" spans="1:198">
      <c r="A1712" s="5">
        <v>58</v>
      </c>
      <c r="B1712" s="4" t="s">
        <v>1490</v>
      </c>
      <c r="C1712" s="40" t="s">
        <v>1491</v>
      </c>
      <c r="D1712" s="4" t="s">
        <v>300</v>
      </c>
      <c r="E1712" s="4" t="s">
        <v>1492</v>
      </c>
      <c r="AD1712" s="4" t="s">
        <v>1493</v>
      </c>
      <c r="AH1712" s="4" t="s">
        <v>1217</v>
      </c>
      <c r="BD1712" s="4" t="s">
        <v>1494</v>
      </c>
      <c r="BI1712" s="1" t="s">
        <v>321</v>
      </c>
      <c r="BJ1712" s="1"/>
      <c r="BK1712" s="1"/>
      <c r="BL1712" s="1">
        <v>50</v>
      </c>
      <c r="BM1712" s="1"/>
      <c r="BN1712" s="1"/>
      <c r="BP1712" s="1">
        <v>0</v>
      </c>
      <c r="BV1712" s="4" t="s">
        <v>1415</v>
      </c>
      <c r="BW1712" s="1" t="s">
        <v>1495</v>
      </c>
      <c r="BX1712" s="1" t="s">
        <v>1496</v>
      </c>
      <c r="CB1712" s="1" t="s">
        <v>12</v>
      </c>
      <c r="CC1712" s="1">
        <v>2000</v>
      </c>
      <c r="DO1712" s="4">
        <v>3</v>
      </c>
      <c r="GN1712" s="1">
        <v>1.73</v>
      </c>
      <c r="GP1712" s="1">
        <v>1.73</v>
      </c>
    </row>
    <row r="1713" customHeight="1" spans="1:239">
      <c r="A1713" s="5">
        <v>58</v>
      </c>
      <c r="B1713" s="4" t="s">
        <v>1490</v>
      </c>
      <c r="C1713" s="40" t="s">
        <v>1491</v>
      </c>
      <c r="D1713" s="4" t="s">
        <v>300</v>
      </c>
      <c r="E1713" s="4" t="s">
        <v>1492</v>
      </c>
      <c r="AD1713" s="4" t="s">
        <v>1493</v>
      </c>
      <c r="AH1713" s="4" t="s">
        <v>1217</v>
      </c>
      <c r="BD1713" s="4" t="s">
        <v>1494</v>
      </c>
      <c r="BI1713" s="1" t="s">
        <v>321</v>
      </c>
      <c r="BJ1713" s="1"/>
      <c r="BK1713" s="1"/>
      <c r="BL1713" s="1">
        <v>50</v>
      </c>
      <c r="BM1713" s="1"/>
      <c r="BN1713" s="1"/>
      <c r="BP1713" s="1">
        <v>0.625</v>
      </c>
      <c r="BV1713" s="4" t="s">
        <v>1415</v>
      </c>
      <c r="BW1713" s="1" t="s">
        <v>1495</v>
      </c>
      <c r="BX1713" s="1" t="s">
        <v>1496</v>
      </c>
      <c r="CB1713" s="1" t="s">
        <v>12</v>
      </c>
      <c r="CC1713" s="1">
        <v>2000</v>
      </c>
      <c r="DO1713" s="4">
        <v>3</v>
      </c>
      <c r="GN1713" s="1">
        <v>1.73</v>
      </c>
      <c r="GP1713" s="1">
        <v>1.767</v>
      </c>
      <c r="GZ1713" s="1">
        <f>(GN1713-GP1713)/GN1713*100</f>
        <v>-2.13872832369942</v>
      </c>
      <c r="HA1713" s="1">
        <v>-2.13872832369942</v>
      </c>
    </row>
    <row r="1714" customHeight="1" spans="1:239">
      <c r="A1714" s="45">
        <v>59</v>
      </c>
      <c r="B1714" s="4" t="s">
        <v>1497</v>
      </c>
      <c r="C1714" s="40" t="s">
        <v>1498</v>
      </c>
      <c r="E1714" s="4" t="s">
        <v>1499</v>
      </c>
      <c r="N1714" s="4" t="s">
        <v>567</v>
      </c>
      <c r="O1714" s="4" t="s">
        <v>343</v>
      </c>
      <c r="P1714" s="4">
        <v>2.42</v>
      </c>
      <c r="AH1714" s="4" t="s">
        <v>596</v>
      </c>
      <c r="AI1714" s="4" t="s">
        <v>1500</v>
      </c>
      <c r="AM1714" s="4">
        <v>6.51</v>
      </c>
      <c r="AQ1714" s="4" t="s">
        <v>319</v>
      </c>
      <c r="AR1714" s="4">
        <v>0.78</v>
      </c>
      <c r="AS1714" s="4" t="s">
        <v>7</v>
      </c>
      <c r="AT1714" s="4">
        <v>0.48</v>
      </c>
      <c r="BI1714" s="4" t="s">
        <v>321</v>
      </c>
      <c r="BK1714" s="4">
        <v>20</v>
      </c>
      <c r="BL1714" s="4">
        <v>10</v>
      </c>
      <c r="BM1714" s="4">
        <v>2</v>
      </c>
      <c r="BU1714" s="4">
        <v>180</v>
      </c>
      <c r="BV1714" s="4">
        <v>180</v>
      </c>
      <c r="BW1714" s="4">
        <v>25</v>
      </c>
      <c r="CB1714" s="4" t="s">
        <v>319</v>
      </c>
      <c r="CE1714" s="4" t="s">
        <v>526</v>
      </c>
      <c r="DO1714" s="4">
        <v>3</v>
      </c>
      <c r="DQ1714" s="1">
        <v>0.51</v>
      </c>
      <c r="DR1714" s="1">
        <v>0.00558</v>
      </c>
      <c r="DS1714" s="1">
        <v>0.27</v>
      </c>
      <c r="DT1714" s="1">
        <v>0</v>
      </c>
      <c r="DY1714" s="1">
        <v>0</v>
      </c>
      <c r="DZ1714" s="1">
        <v>0</v>
      </c>
      <c r="EA1714" s="4" t="s">
        <v>1501</v>
      </c>
      <c r="EB1714" s="36">
        <v>0.11</v>
      </c>
      <c r="EC1714" s="36"/>
      <c r="ED1714" s="4" t="s">
        <v>1501</v>
      </c>
    </row>
    <row r="1715" customHeight="1" spans="1:239">
      <c r="A1715" s="45">
        <v>59</v>
      </c>
      <c r="B1715" s="4" t="s">
        <v>1497</v>
      </c>
      <c r="C1715" s="40" t="s">
        <v>1498</v>
      </c>
      <c r="E1715" s="4" t="s">
        <v>1499</v>
      </c>
      <c r="N1715" s="4" t="s">
        <v>567</v>
      </c>
      <c r="O1715" s="4" t="s">
        <v>343</v>
      </c>
      <c r="P1715" s="4">
        <v>2.42</v>
      </c>
      <c r="AH1715" s="4" t="s">
        <v>665</v>
      </c>
      <c r="AI1715" s="4" t="s">
        <v>666</v>
      </c>
      <c r="AM1715" s="4">
        <v>8.24</v>
      </c>
      <c r="AQ1715" s="4" t="s">
        <v>319</v>
      </c>
      <c r="AR1715" s="4">
        <v>0.73</v>
      </c>
      <c r="AS1715" s="4" t="s">
        <v>7</v>
      </c>
      <c r="AT1715" s="4">
        <v>0.23</v>
      </c>
      <c r="BI1715" s="4" t="s">
        <v>321</v>
      </c>
      <c r="BK1715" s="4">
        <v>20</v>
      </c>
      <c r="BL1715" s="4">
        <v>10</v>
      </c>
      <c r="BM1715" s="4">
        <v>2</v>
      </c>
      <c r="BU1715" s="4">
        <v>180</v>
      </c>
      <c r="BV1715" s="4">
        <v>180</v>
      </c>
      <c r="BW1715" s="4">
        <v>25</v>
      </c>
      <c r="CB1715" s="4" t="s">
        <v>319</v>
      </c>
      <c r="CE1715" s="4" t="s">
        <v>526</v>
      </c>
      <c r="DO1715" s="4">
        <v>3</v>
      </c>
      <c r="DQ1715" s="1">
        <v>0.24</v>
      </c>
      <c r="DR1715" s="1">
        <v>0.0138</v>
      </c>
      <c r="DS1715" s="1">
        <v>0.14</v>
      </c>
      <c r="DT1715" s="1">
        <v>0.00767</v>
      </c>
      <c r="DY1715" s="1">
        <v>0</v>
      </c>
      <c r="DZ1715" s="1">
        <v>0</v>
      </c>
      <c r="EA1715" s="4">
        <v>40.61</v>
      </c>
      <c r="EB1715" s="1">
        <v>3.44</v>
      </c>
      <c r="ED1715" s="4">
        <v>40.61</v>
      </c>
    </row>
    <row r="1716" customHeight="1" spans="1:239">
      <c r="A1716" s="45">
        <v>59</v>
      </c>
      <c r="B1716" s="4" t="s">
        <v>1497</v>
      </c>
      <c r="C1716" s="40" t="s">
        <v>1502</v>
      </c>
      <c r="E1716" s="4" t="s">
        <v>1503</v>
      </c>
      <c r="P1716" s="4">
        <v>2.37</v>
      </c>
      <c r="AH1716" s="4" t="s">
        <v>596</v>
      </c>
      <c r="AI1716" s="4" t="s">
        <v>1500</v>
      </c>
      <c r="AM1716" s="4">
        <v>6.51</v>
      </c>
      <c r="AQ1716" s="4" t="s">
        <v>319</v>
      </c>
      <c r="AR1716" s="4">
        <v>0.78</v>
      </c>
      <c r="AS1716" s="4" t="s">
        <v>7</v>
      </c>
      <c r="AT1716" s="4">
        <v>0.48</v>
      </c>
      <c r="BI1716" s="4" t="s">
        <v>321</v>
      </c>
      <c r="BK1716" s="4">
        <v>20</v>
      </c>
      <c r="BL1716" s="4">
        <v>10</v>
      </c>
      <c r="BM1716" s="4">
        <v>2</v>
      </c>
      <c r="BU1716" s="4">
        <v>180</v>
      </c>
      <c r="BV1716" s="4">
        <v>180</v>
      </c>
      <c r="BW1716" s="4">
        <v>25</v>
      </c>
      <c r="CB1716" s="4" t="s">
        <v>319</v>
      </c>
      <c r="CE1716" s="4" t="s">
        <v>526</v>
      </c>
      <c r="DO1716" s="4">
        <v>3</v>
      </c>
      <c r="DQ1716" s="1">
        <v>0.51</v>
      </c>
      <c r="DR1716" s="1">
        <v>0.00558</v>
      </c>
      <c r="DS1716" s="1">
        <v>0.36</v>
      </c>
      <c r="DT1716" s="1">
        <v>0.00139</v>
      </c>
      <c r="DY1716" s="1">
        <v>0</v>
      </c>
      <c r="DZ1716" s="1">
        <v>0</v>
      </c>
      <c r="EA1716" s="4">
        <v>30.35</v>
      </c>
      <c r="EB1716" s="36">
        <v>0.22</v>
      </c>
      <c r="EC1716" s="36"/>
      <c r="ED1716" s="4">
        <v>30.35</v>
      </c>
    </row>
    <row r="1717" customHeight="1" spans="1:239">
      <c r="A1717" s="45">
        <v>59</v>
      </c>
      <c r="B1717" s="4" t="s">
        <v>1497</v>
      </c>
      <c r="C1717" s="40" t="s">
        <v>1502</v>
      </c>
      <c r="E1717" s="4" t="s">
        <v>1503</v>
      </c>
      <c r="P1717" s="4">
        <v>2.37</v>
      </c>
      <c r="AH1717" s="4" t="s">
        <v>665</v>
      </c>
      <c r="AI1717" s="4" t="s">
        <v>666</v>
      </c>
      <c r="AM1717" s="4">
        <v>8.24</v>
      </c>
      <c r="AQ1717" s="4" t="s">
        <v>319</v>
      </c>
      <c r="AR1717" s="4">
        <v>0.73</v>
      </c>
      <c r="AS1717" s="4" t="s">
        <v>7</v>
      </c>
      <c r="AT1717" s="4">
        <v>0.23</v>
      </c>
      <c r="BI1717" s="4" t="s">
        <v>321</v>
      </c>
      <c r="BK1717" s="4">
        <v>20</v>
      </c>
      <c r="BL1717" s="4">
        <v>10</v>
      </c>
      <c r="BM1717" s="4">
        <v>2</v>
      </c>
      <c r="BU1717" s="4">
        <v>180</v>
      </c>
      <c r="BV1717" s="4">
        <v>180</v>
      </c>
      <c r="BW1717" s="4">
        <v>25</v>
      </c>
      <c r="CB1717" s="4" t="s">
        <v>319</v>
      </c>
      <c r="CE1717" s="4" t="s">
        <v>526</v>
      </c>
      <c r="DO1717" s="4">
        <v>3</v>
      </c>
      <c r="DQ1717" s="1">
        <v>0.24</v>
      </c>
      <c r="DR1717" s="1">
        <v>0.0138</v>
      </c>
      <c r="DS1717" s="1">
        <v>0.15</v>
      </c>
      <c r="DT1717" s="1">
        <v>0.00307</v>
      </c>
      <c r="DY1717" s="1">
        <v>0</v>
      </c>
      <c r="DZ1717" s="1">
        <v>0</v>
      </c>
      <c r="EA1717" s="4">
        <v>37.06</v>
      </c>
      <c r="EB1717" s="1">
        <v>0.61</v>
      </c>
      <c r="ED1717" s="4">
        <v>37.06</v>
      </c>
    </row>
    <row r="1718" customHeight="1" spans="1:239">
      <c r="A1718" s="45">
        <v>59</v>
      </c>
      <c r="B1718" s="4" t="s">
        <v>1497</v>
      </c>
      <c r="C1718" s="40" t="s">
        <v>1504</v>
      </c>
      <c r="E1718" s="4" t="s">
        <v>1505</v>
      </c>
      <c r="P1718" s="4">
        <v>2.01</v>
      </c>
      <c r="T1718" s="4">
        <v>1.0521</v>
      </c>
      <c r="U1718" s="4">
        <v>0.0065</v>
      </c>
      <c r="V1718" s="4">
        <v>24.78</v>
      </c>
      <c r="AE1718" s="4" t="s">
        <v>1506</v>
      </c>
      <c r="AF1718" s="4" t="s">
        <v>1507</v>
      </c>
      <c r="AH1718" s="4" t="s">
        <v>596</v>
      </c>
      <c r="AI1718" s="4" t="s">
        <v>1500</v>
      </c>
      <c r="AM1718" s="4">
        <v>6.51</v>
      </c>
      <c r="AQ1718" s="4" t="s">
        <v>319</v>
      </c>
      <c r="AR1718" s="4">
        <v>0.78</v>
      </c>
      <c r="AS1718" s="4" t="s">
        <v>7</v>
      </c>
      <c r="AT1718" s="4">
        <v>0.48</v>
      </c>
      <c r="BI1718" s="4" t="s">
        <v>321</v>
      </c>
      <c r="BK1718" s="4">
        <v>20</v>
      </c>
      <c r="BL1718" s="4">
        <v>10</v>
      </c>
      <c r="BM1718" s="4">
        <v>2</v>
      </c>
      <c r="BU1718" s="4">
        <v>180</v>
      </c>
      <c r="BV1718" s="4">
        <v>180</v>
      </c>
      <c r="BW1718" s="4">
        <v>25</v>
      </c>
      <c r="CB1718" s="4" t="s">
        <v>319</v>
      </c>
      <c r="CE1718" s="4" t="s">
        <v>526</v>
      </c>
      <c r="DO1718" s="4">
        <v>3</v>
      </c>
      <c r="DQ1718" s="1">
        <v>0.51</v>
      </c>
      <c r="DR1718" s="1">
        <v>0.00558</v>
      </c>
      <c r="DS1718" s="1">
        <v>0.19</v>
      </c>
      <c r="DT1718" s="1">
        <v>0.00279</v>
      </c>
      <c r="DY1718" s="1">
        <v>0</v>
      </c>
      <c r="DZ1718" s="1">
        <v>0</v>
      </c>
      <c r="EA1718" s="4">
        <v>63.38</v>
      </c>
      <c r="EB1718" s="36">
        <v>0.67</v>
      </c>
      <c r="EC1718" s="36"/>
      <c r="ED1718" s="4">
        <v>63.38</v>
      </c>
    </row>
    <row r="1719" customHeight="1" spans="1:239">
      <c r="A1719" s="45">
        <v>59</v>
      </c>
      <c r="B1719" s="4" t="s">
        <v>1497</v>
      </c>
      <c r="C1719" s="40" t="s">
        <v>1504</v>
      </c>
      <c r="E1719" s="4" t="s">
        <v>1505</v>
      </c>
      <c r="P1719" s="4">
        <v>2.01</v>
      </c>
      <c r="T1719" s="4">
        <v>1.0521</v>
      </c>
      <c r="U1719" s="4">
        <v>0.0065</v>
      </c>
      <c r="V1719" s="4">
        <v>24.78</v>
      </c>
      <c r="AE1719" s="4" t="s">
        <v>1506</v>
      </c>
      <c r="AF1719" s="4" t="s">
        <v>1507</v>
      </c>
      <c r="AH1719" s="4" t="s">
        <v>665</v>
      </c>
      <c r="AI1719" s="4" t="s">
        <v>666</v>
      </c>
      <c r="AM1719" s="4">
        <v>8.24</v>
      </c>
      <c r="AQ1719" s="4" t="s">
        <v>319</v>
      </c>
      <c r="AR1719" s="4">
        <v>0.73</v>
      </c>
      <c r="AS1719" s="4" t="s">
        <v>7</v>
      </c>
      <c r="AT1719" s="4">
        <v>0.23</v>
      </c>
      <c r="BI1719" s="4" t="s">
        <v>321</v>
      </c>
      <c r="BK1719" s="4">
        <v>20</v>
      </c>
      <c r="BL1719" s="4">
        <v>10</v>
      </c>
      <c r="BM1719" s="4">
        <v>2</v>
      </c>
      <c r="BU1719" s="4">
        <v>180</v>
      </c>
      <c r="BV1719" s="4">
        <v>180</v>
      </c>
      <c r="BW1719" s="4">
        <v>25</v>
      </c>
      <c r="CB1719" s="4" t="s">
        <v>319</v>
      </c>
      <c r="CE1719" s="4" t="s">
        <v>526</v>
      </c>
      <c r="DO1719" s="4">
        <v>3</v>
      </c>
      <c r="DQ1719" s="1">
        <v>0.24</v>
      </c>
      <c r="DR1719" s="1">
        <v>0.0138</v>
      </c>
      <c r="DS1719" s="1">
        <v>0.12</v>
      </c>
      <c r="DT1719" s="1">
        <v>0.01074</v>
      </c>
      <c r="DY1719" s="1">
        <v>0</v>
      </c>
      <c r="DZ1719" s="1">
        <v>0</v>
      </c>
      <c r="EA1719" s="4">
        <v>51.9</v>
      </c>
      <c r="EB1719" s="1">
        <v>2.45</v>
      </c>
      <c r="ED1719" s="4">
        <v>51.9</v>
      </c>
    </row>
    <row r="1720" customHeight="1" spans="1:239">
      <c r="A1720" s="45">
        <v>59</v>
      </c>
      <c r="B1720" s="4" t="s">
        <v>1497</v>
      </c>
      <c r="C1720" s="40" t="s">
        <v>1504</v>
      </c>
      <c r="E1720" s="4" t="s">
        <v>1505</v>
      </c>
      <c r="P1720" s="4">
        <v>2.01</v>
      </c>
      <c r="T1720" s="4">
        <v>1.0521</v>
      </c>
      <c r="U1720" s="4">
        <v>0.0065</v>
      </c>
      <c r="V1720" s="4">
        <v>24.78</v>
      </c>
      <c r="AE1720" s="4" t="s">
        <v>1506</v>
      </c>
      <c r="AF1720" s="4" t="s">
        <v>1507</v>
      </c>
      <c r="AH1720" s="4" t="s">
        <v>596</v>
      </c>
      <c r="AI1720" s="4" t="s">
        <v>1500</v>
      </c>
      <c r="AM1720" s="4">
        <v>6.51</v>
      </c>
      <c r="AQ1720" s="4" t="s">
        <v>319</v>
      </c>
      <c r="AR1720" s="4">
        <v>0.78</v>
      </c>
      <c r="AS1720" s="4" t="s">
        <v>7</v>
      </c>
      <c r="AT1720" s="4">
        <v>0.48</v>
      </c>
      <c r="BI1720" s="4" t="s">
        <v>321</v>
      </c>
      <c r="BK1720" s="4">
        <v>20</v>
      </c>
      <c r="BL1720" s="4">
        <v>100</v>
      </c>
      <c r="BM1720" s="4">
        <v>1</v>
      </c>
      <c r="BO1720" s="4">
        <v>0.1</v>
      </c>
      <c r="BS1720" s="4">
        <v>6.51</v>
      </c>
      <c r="BV1720" s="4">
        <v>180</v>
      </c>
      <c r="CB1720" s="4" t="s">
        <v>319</v>
      </c>
      <c r="CE1720" s="4" t="s">
        <v>526</v>
      </c>
      <c r="DO1720" s="4">
        <v>3</v>
      </c>
      <c r="DQ1720" s="1">
        <v>0.48</v>
      </c>
      <c r="DR1720" s="1">
        <v>0.04438</v>
      </c>
      <c r="DS1720" s="1">
        <v>0.29</v>
      </c>
      <c r="DT1720" s="1">
        <v>0.00411</v>
      </c>
      <c r="DY1720" s="1">
        <v>0</v>
      </c>
      <c r="DZ1720" s="1">
        <v>0</v>
      </c>
      <c r="EA1720" s="4">
        <v>40.3</v>
      </c>
      <c r="EB1720" s="1">
        <v>1.1</v>
      </c>
      <c r="ED1720" s="4">
        <v>40.3</v>
      </c>
    </row>
    <row r="1721" customHeight="1" spans="1:239">
      <c r="A1721" s="45">
        <v>59</v>
      </c>
      <c r="B1721" s="4" t="s">
        <v>1497</v>
      </c>
      <c r="C1721" s="40" t="s">
        <v>1504</v>
      </c>
      <c r="E1721" s="4" t="s">
        <v>1505</v>
      </c>
      <c r="P1721" s="4">
        <v>2.01</v>
      </c>
      <c r="T1721" s="4">
        <v>1.0521</v>
      </c>
      <c r="U1721" s="4">
        <v>0.0065</v>
      </c>
      <c r="V1721" s="4">
        <v>24.78</v>
      </c>
      <c r="AE1721" s="4" t="s">
        <v>1506</v>
      </c>
      <c r="AF1721" s="4" t="s">
        <v>1507</v>
      </c>
      <c r="AH1721" s="4" t="s">
        <v>665</v>
      </c>
      <c r="AI1721" s="4" t="s">
        <v>666</v>
      </c>
      <c r="AM1721" s="4">
        <v>8.24</v>
      </c>
      <c r="AQ1721" s="4" t="s">
        <v>319</v>
      </c>
      <c r="AR1721" s="4">
        <v>0.73</v>
      </c>
      <c r="AS1721" s="4" t="s">
        <v>7</v>
      </c>
      <c r="AT1721" s="4">
        <v>0.23</v>
      </c>
      <c r="BI1721" s="4" t="s">
        <v>321</v>
      </c>
      <c r="BK1721" s="4">
        <v>20</v>
      </c>
      <c r="BL1721" s="4">
        <v>100</v>
      </c>
      <c r="BM1721" s="4">
        <v>1</v>
      </c>
      <c r="BO1721" s="4">
        <v>0.1</v>
      </c>
      <c r="BS1721" s="4">
        <v>5.51</v>
      </c>
      <c r="BV1721" s="4">
        <v>180</v>
      </c>
      <c r="CB1721" s="4" t="s">
        <v>319</v>
      </c>
      <c r="CE1721" s="4" t="s">
        <v>526</v>
      </c>
      <c r="DO1721" s="4">
        <v>3</v>
      </c>
      <c r="DQ1721" s="1">
        <v>0.23</v>
      </c>
      <c r="DR1721" s="1">
        <v>0.01808</v>
      </c>
      <c r="DS1721" s="1">
        <v>0.15</v>
      </c>
      <c r="DT1721" s="1">
        <v>0.00164</v>
      </c>
      <c r="DY1721" s="1">
        <v>0</v>
      </c>
      <c r="DZ1721" s="1">
        <v>0</v>
      </c>
      <c r="EA1721" s="4">
        <v>33.7</v>
      </c>
      <c r="EB1721" s="1">
        <v>0.11</v>
      </c>
      <c r="ED1721" s="4">
        <v>33.7</v>
      </c>
    </row>
    <row r="1722" customHeight="1" spans="1:239">
      <c r="A1722" s="45">
        <v>59</v>
      </c>
      <c r="B1722" s="4" t="s">
        <v>1497</v>
      </c>
      <c r="C1722" s="40" t="s">
        <v>1504</v>
      </c>
      <c r="E1722" s="4" t="s">
        <v>1505</v>
      </c>
      <c r="P1722" s="4">
        <v>2.01</v>
      </c>
      <c r="T1722" s="4">
        <v>1.0521</v>
      </c>
      <c r="U1722" s="4">
        <v>0.0065</v>
      </c>
      <c r="V1722" s="4">
        <v>24.78</v>
      </c>
      <c r="AE1722" s="4" t="s">
        <v>1506</v>
      </c>
      <c r="AF1722" s="4" t="s">
        <v>1507</v>
      </c>
      <c r="AH1722" s="4" t="s">
        <v>1508</v>
      </c>
      <c r="AI1722" s="4" t="s">
        <v>1509</v>
      </c>
      <c r="AM1722" s="4">
        <v>5.51</v>
      </c>
      <c r="AQ1722" s="4" t="s">
        <v>319</v>
      </c>
      <c r="AR1722" s="4">
        <v>0.86</v>
      </c>
      <c r="AS1722" s="4" t="s">
        <v>7</v>
      </c>
      <c r="AT1722" s="4">
        <v>0.44</v>
      </c>
      <c r="BI1722" s="4" t="s">
        <v>321</v>
      </c>
      <c r="BK1722" s="4">
        <v>20</v>
      </c>
      <c r="BL1722" s="4">
        <v>100</v>
      </c>
      <c r="BM1722" s="4">
        <v>1</v>
      </c>
      <c r="BO1722" s="4">
        <v>0.1</v>
      </c>
      <c r="BS1722" s="4">
        <v>8.24</v>
      </c>
      <c r="BV1722" s="4">
        <v>180</v>
      </c>
      <c r="CB1722" s="4" t="s">
        <v>319</v>
      </c>
      <c r="CE1722" s="4" t="s">
        <v>526</v>
      </c>
      <c r="DO1722" s="4">
        <v>3</v>
      </c>
      <c r="DQ1722" s="1">
        <v>0.44</v>
      </c>
      <c r="DR1722" s="1">
        <v>0.0263</v>
      </c>
      <c r="DS1722" s="1">
        <v>0.23</v>
      </c>
      <c r="DT1722" s="1">
        <v>0.00247</v>
      </c>
      <c r="DY1722" s="1">
        <v>0</v>
      </c>
      <c r="DZ1722" s="1">
        <v>0</v>
      </c>
      <c r="EA1722" s="4">
        <v>47.3</v>
      </c>
      <c r="EB1722" s="1">
        <v>0.22</v>
      </c>
      <c r="ED1722" s="4">
        <v>47.3</v>
      </c>
    </row>
    <row r="1723" customHeight="1" spans="1:239">
      <c r="A1723" s="45">
        <v>59</v>
      </c>
      <c r="B1723" s="4" t="s">
        <v>1497</v>
      </c>
      <c r="C1723" s="40" t="s">
        <v>1510</v>
      </c>
      <c r="E1723" s="4" t="s">
        <v>1511</v>
      </c>
      <c r="P1723" s="4">
        <v>2.99</v>
      </c>
      <c r="AH1723" s="4" t="s">
        <v>596</v>
      </c>
      <c r="AI1723" s="4" t="s">
        <v>1500</v>
      </c>
      <c r="AM1723" s="4">
        <v>6.51</v>
      </c>
      <c r="AQ1723" s="4" t="s">
        <v>319</v>
      </c>
      <c r="AR1723" s="4">
        <v>0.78</v>
      </c>
      <c r="AS1723" s="4" t="s">
        <v>7</v>
      </c>
      <c r="AT1723" s="4">
        <v>0.48</v>
      </c>
      <c r="BI1723" s="4" t="s">
        <v>321</v>
      </c>
      <c r="BK1723" s="4">
        <v>20</v>
      </c>
      <c r="BL1723" s="4">
        <v>10</v>
      </c>
      <c r="BM1723" s="4">
        <v>2</v>
      </c>
      <c r="BU1723" s="4">
        <v>180</v>
      </c>
      <c r="BV1723" s="4">
        <v>180</v>
      </c>
      <c r="BW1723" s="4">
        <v>25</v>
      </c>
      <c r="CB1723" s="4" t="s">
        <v>319</v>
      </c>
      <c r="CE1723" s="4" t="s">
        <v>526</v>
      </c>
      <c r="DO1723" s="4">
        <v>3</v>
      </c>
      <c r="DQ1723" s="1">
        <v>0.51</v>
      </c>
      <c r="DR1723" s="1">
        <v>0.00558</v>
      </c>
      <c r="DS1723" s="1">
        <v>0.42</v>
      </c>
      <c r="DT1723" s="1">
        <v>0</v>
      </c>
      <c r="DY1723" s="1">
        <v>0</v>
      </c>
      <c r="DZ1723" s="1">
        <v>0</v>
      </c>
      <c r="EA1723" s="4">
        <v>17.96</v>
      </c>
      <c r="EB1723" s="36">
        <v>0.56</v>
      </c>
      <c r="EC1723" s="36"/>
      <c r="ED1723" s="4">
        <v>17.96</v>
      </c>
    </row>
    <row r="1724" customHeight="1" spans="1:239">
      <c r="A1724" s="45">
        <v>59</v>
      </c>
      <c r="B1724" s="4" t="s">
        <v>1497</v>
      </c>
      <c r="C1724" s="40" t="s">
        <v>1510</v>
      </c>
      <c r="E1724" s="4" t="s">
        <v>1511</v>
      </c>
      <c r="P1724" s="4">
        <v>2.99</v>
      </c>
      <c r="AH1724" s="4" t="s">
        <v>665</v>
      </c>
      <c r="AI1724" s="4" t="s">
        <v>666</v>
      </c>
      <c r="AM1724" s="4">
        <v>8.24</v>
      </c>
      <c r="AQ1724" s="4" t="s">
        <v>319</v>
      </c>
      <c r="AR1724" s="4">
        <v>0.73</v>
      </c>
      <c r="AS1724" s="4" t="s">
        <v>7</v>
      </c>
      <c r="AT1724" s="4">
        <v>0.23</v>
      </c>
      <c r="BI1724" s="4" t="s">
        <v>321</v>
      </c>
      <c r="BK1724" s="4">
        <v>20</v>
      </c>
      <c r="BL1724" s="4">
        <v>10</v>
      </c>
      <c r="BM1724" s="4">
        <v>2</v>
      </c>
      <c r="BU1724" s="4">
        <v>180</v>
      </c>
      <c r="BV1724" s="4">
        <v>180</v>
      </c>
      <c r="BW1724" s="4">
        <v>25</v>
      </c>
      <c r="CB1724" s="4" t="s">
        <v>319</v>
      </c>
      <c r="CE1724" s="4" t="s">
        <v>526</v>
      </c>
      <c r="DO1724" s="4">
        <v>3</v>
      </c>
      <c r="DQ1724" s="1">
        <v>0.24</v>
      </c>
      <c r="DR1724" s="1">
        <v>0.0138</v>
      </c>
      <c r="DS1724" s="1">
        <v>0.17</v>
      </c>
      <c r="DT1724" s="1">
        <v>0.00307</v>
      </c>
      <c r="DY1724" s="1">
        <v>0</v>
      </c>
      <c r="DZ1724" s="1">
        <v>0</v>
      </c>
      <c r="EA1724" s="4">
        <v>28.71</v>
      </c>
      <c r="EB1724" s="1">
        <v>1.6</v>
      </c>
      <c r="ED1724" s="4">
        <v>28.71</v>
      </c>
    </row>
    <row r="1725" customHeight="1" spans="1:239">
      <c r="A1725" s="5">
        <v>60</v>
      </c>
      <c r="B1725" s="4" t="s">
        <v>1512</v>
      </c>
      <c r="C1725" s="40" t="s">
        <v>1513</v>
      </c>
      <c r="DO1725" s="4">
        <v>3</v>
      </c>
    </row>
    <row r="1726" customHeight="1" spans="1:239">
      <c r="A1726" s="3">
        <v>61</v>
      </c>
      <c r="B1726" s="4" t="s">
        <v>1514</v>
      </c>
      <c r="C1726" s="5" t="s">
        <v>1031</v>
      </c>
      <c r="D1726" s="4" t="s">
        <v>300</v>
      </c>
      <c r="E1726" s="4" t="s">
        <v>1515</v>
      </c>
      <c r="N1726" s="4" t="s">
        <v>536</v>
      </c>
      <c r="O1726" s="4" t="s">
        <v>502</v>
      </c>
      <c r="P1726" s="4">
        <v>1.51</v>
      </c>
      <c r="AB1726" s="4" t="s">
        <v>1516</v>
      </c>
      <c r="BI1726" s="4" t="s">
        <v>309</v>
      </c>
      <c r="CB1726" s="4" t="s">
        <v>458</v>
      </c>
      <c r="DO1726" s="4">
        <v>3</v>
      </c>
      <c r="DW1726" s="4">
        <v>225.19</v>
      </c>
    </row>
    <row r="1727" customHeight="1" spans="1:239">
      <c r="A1727" s="3">
        <v>61</v>
      </c>
      <c r="B1727" s="4" t="s">
        <v>1514</v>
      </c>
      <c r="C1727" s="5" t="s">
        <v>1031</v>
      </c>
      <c r="D1727" s="4" t="s">
        <v>300</v>
      </c>
      <c r="AI1727" s="4" t="s">
        <v>1517</v>
      </c>
      <c r="AL1727" s="4" t="s">
        <v>689</v>
      </c>
      <c r="AM1727" s="4">
        <v>8.04</v>
      </c>
      <c r="AQ1727" s="4" t="s">
        <v>7</v>
      </c>
      <c r="AR1727" s="4">
        <v>16.57</v>
      </c>
      <c r="AS1727" s="4" t="s">
        <v>11</v>
      </c>
      <c r="AT1727" s="4">
        <v>70.32</v>
      </c>
      <c r="AU1727" s="4" t="s">
        <v>14</v>
      </c>
      <c r="AV1727" s="4">
        <v>783</v>
      </c>
      <c r="AW1727" s="4" t="s">
        <v>12</v>
      </c>
      <c r="AX1727" s="4">
        <v>78.41</v>
      </c>
      <c r="BI1727" s="4" t="s">
        <v>321</v>
      </c>
      <c r="BL1727" s="4">
        <v>1000</v>
      </c>
      <c r="BM1727" s="4">
        <v>0</v>
      </c>
      <c r="BS1727" s="4">
        <v>8.03</v>
      </c>
      <c r="BV1727" s="4" t="s">
        <v>1518</v>
      </c>
      <c r="CB1727" s="4" t="s">
        <v>7</v>
      </c>
      <c r="CD1727" s="4">
        <v>16.57</v>
      </c>
      <c r="CE1727" s="4" t="s">
        <v>11</v>
      </c>
      <c r="CG1727" s="4">
        <v>70.32</v>
      </c>
      <c r="CH1727" s="4" t="s">
        <v>14</v>
      </c>
      <c r="CJ1727" s="4">
        <v>783</v>
      </c>
      <c r="CK1727" s="4" t="s">
        <v>12</v>
      </c>
      <c r="CM1727" s="4">
        <v>78.41</v>
      </c>
      <c r="CW1727" s="4">
        <v>7.91</v>
      </c>
      <c r="DO1727" s="4">
        <v>3</v>
      </c>
      <c r="DS1727" s="1">
        <v>10.37</v>
      </c>
      <c r="DT1727" s="36">
        <v>0</v>
      </c>
      <c r="GA1727" s="36">
        <v>9.38</v>
      </c>
      <c r="GB1727" s="36">
        <v>0.22</v>
      </c>
      <c r="GI1727" s="4"/>
      <c r="GL1727" s="4"/>
      <c r="GP1727" s="36">
        <v>5.99</v>
      </c>
      <c r="GQ1727" s="36">
        <v>-0.29</v>
      </c>
      <c r="GX1727" s="4"/>
      <c r="GZ1727" s="1">
        <f t="shared" ref="GZ1727:GZ1732" si="55">(CM1727-GP1727)/CM1727*100</f>
        <v>92.3606682821069</v>
      </c>
      <c r="HA1727" s="4">
        <v>92.3606682821069</v>
      </c>
      <c r="HT1727" s="36">
        <v>52.95</v>
      </c>
      <c r="HU1727" s="36">
        <v>2.32</v>
      </c>
      <c r="IB1727" s="4"/>
      <c r="IE1727" s="4"/>
    </row>
    <row r="1728" customHeight="1" spans="1:239">
      <c r="A1728" s="3">
        <v>61</v>
      </c>
      <c r="B1728" s="4" t="s">
        <v>1514</v>
      </c>
      <c r="C1728" s="5" t="s">
        <v>1031</v>
      </c>
      <c r="D1728" s="4" t="s">
        <v>300</v>
      </c>
      <c r="AI1728" s="4" t="s">
        <v>1517</v>
      </c>
      <c r="AL1728" s="4" t="s">
        <v>689</v>
      </c>
      <c r="AM1728" s="4">
        <v>8.04</v>
      </c>
      <c r="AQ1728" s="4" t="s">
        <v>7</v>
      </c>
      <c r="AR1728" s="4">
        <v>16.57</v>
      </c>
      <c r="AS1728" s="4" t="s">
        <v>11</v>
      </c>
      <c r="AT1728" s="4">
        <v>70.32</v>
      </c>
      <c r="AU1728" s="4" t="s">
        <v>14</v>
      </c>
      <c r="AV1728" s="4">
        <v>783</v>
      </c>
      <c r="AW1728" s="4" t="s">
        <v>12</v>
      </c>
      <c r="AX1728" s="4">
        <v>78.41</v>
      </c>
      <c r="BI1728" s="4" t="s">
        <v>321</v>
      </c>
      <c r="BL1728" s="4">
        <v>1000</v>
      </c>
      <c r="BM1728" s="4">
        <v>5</v>
      </c>
      <c r="BS1728" s="4">
        <v>7.77</v>
      </c>
      <c r="BV1728" s="4" t="s">
        <v>1518</v>
      </c>
      <c r="CB1728" s="4" t="s">
        <v>7</v>
      </c>
      <c r="CD1728" s="4">
        <v>16.57</v>
      </c>
      <c r="CE1728" s="4" t="s">
        <v>11</v>
      </c>
      <c r="CG1728" s="4">
        <v>70.32</v>
      </c>
      <c r="CH1728" s="4" t="s">
        <v>14</v>
      </c>
      <c r="CJ1728" s="4">
        <v>783</v>
      </c>
      <c r="CK1728" s="4" t="s">
        <v>12</v>
      </c>
      <c r="CM1728" s="4">
        <v>78.41</v>
      </c>
      <c r="CW1728" s="4">
        <v>7.8</v>
      </c>
      <c r="DO1728" s="4">
        <v>3</v>
      </c>
      <c r="DS1728" s="1">
        <v>8.95</v>
      </c>
      <c r="DT1728" s="36">
        <v>0.04</v>
      </c>
      <c r="EA1728" s="4">
        <v>13.71</v>
      </c>
      <c r="ED1728" s="4">
        <v>13.71</v>
      </c>
      <c r="GA1728" s="36">
        <v>8.26</v>
      </c>
      <c r="GB1728" s="36">
        <v>0.1</v>
      </c>
      <c r="GI1728" s="4">
        <v>17.8</v>
      </c>
      <c r="GL1728" s="4">
        <v>17.8</v>
      </c>
      <c r="GP1728" s="36">
        <v>6.07</v>
      </c>
      <c r="GQ1728" s="36">
        <v>0</v>
      </c>
      <c r="GX1728" s="4">
        <v>7.59</v>
      </c>
      <c r="GZ1728" s="1">
        <f t="shared" si="55"/>
        <v>92.2586404795307</v>
      </c>
      <c r="HA1728" s="4">
        <v>92.2586404795307</v>
      </c>
      <c r="HT1728" s="36">
        <v>32.74</v>
      </c>
      <c r="HU1728" s="36">
        <v>0.74</v>
      </c>
      <c r="IB1728" s="4">
        <v>3.59</v>
      </c>
      <c r="IE1728" s="4">
        <v>3.59</v>
      </c>
    </row>
    <row r="1729" customHeight="1" spans="1:239">
      <c r="A1729" s="3">
        <v>61</v>
      </c>
      <c r="B1729" s="4" t="s">
        <v>1514</v>
      </c>
      <c r="C1729" s="5" t="s">
        <v>1031</v>
      </c>
      <c r="D1729" s="4" t="s">
        <v>300</v>
      </c>
      <c r="AI1729" s="4" t="s">
        <v>1517</v>
      </c>
      <c r="AL1729" s="4" t="s">
        <v>689</v>
      </c>
      <c r="AM1729" s="4">
        <v>8.04</v>
      </c>
      <c r="AQ1729" s="4" t="s">
        <v>7</v>
      </c>
      <c r="AR1729" s="4">
        <v>16.57</v>
      </c>
      <c r="AS1729" s="4" t="s">
        <v>11</v>
      </c>
      <c r="AT1729" s="4">
        <v>70.32</v>
      </c>
      <c r="AU1729" s="4" t="s">
        <v>14</v>
      </c>
      <c r="AV1729" s="4">
        <v>783</v>
      </c>
      <c r="AW1729" s="4" t="s">
        <v>12</v>
      </c>
      <c r="AX1729" s="4">
        <v>78.41</v>
      </c>
      <c r="BI1729" s="4" t="s">
        <v>321</v>
      </c>
      <c r="BL1729" s="4">
        <v>1000</v>
      </c>
      <c r="BM1729" s="4">
        <v>10</v>
      </c>
      <c r="BS1729" s="4">
        <v>7.87</v>
      </c>
      <c r="BV1729" s="4" t="s">
        <v>1518</v>
      </c>
      <c r="CB1729" s="4" t="s">
        <v>7</v>
      </c>
      <c r="CD1729" s="4">
        <v>16.57</v>
      </c>
      <c r="CE1729" s="4" t="s">
        <v>11</v>
      </c>
      <c r="CG1729" s="4">
        <v>70.32</v>
      </c>
      <c r="CH1729" s="4" t="s">
        <v>14</v>
      </c>
      <c r="CJ1729" s="4">
        <v>783</v>
      </c>
      <c r="CK1729" s="4" t="s">
        <v>12</v>
      </c>
      <c r="CM1729" s="4">
        <v>78.41</v>
      </c>
      <c r="CW1729" s="4">
        <v>7.79</v>
      </c>
      <c r="DO1729" s="4">
        <v>3</v>
      </c>
      <c r="DS1729" s="1">
        <v>8.61</v>
      </c>
      <c r="DT1729" s="36">
        <v>0.29</v>
      </c>
      <c r="EA1729" s="4">
        <v>17.01</v>
      </c>
      <c r="ED1729" s="4">
        <v>17.01</v>
      </c>
      <c r="GA1729" s="36">
        <v>7.39</v>
      </c>
      <c r="GB1729" s="36">
        <v>-0.18</v>
      </c>
      <c r="GI1729" s="4">
        <v>15.41</v>
      </c>
      <c r="GL1729" s="4">
        <v>15.41</v>
      </c>
      <c r="GP1729" s="36">
        <v>5.41</v>
      </c>
      <c r="GQ1729" s="36">
        <v>0.17</v>
      </c>
      <c r="GX1729" s="4">
        <v>14.34</v>
      </c>
      <c r="GZ1729" s="1">
        <f t="shared" si="55"/>
        <v>93.1003698507843</v>
      </c>
      <c r="HA1729" s="4">
        <v>93.1003698507843</v>
      </c>
      <c r="HT1729" s="36">
        <v>25.79</v>
      </c>
      <c r="HU1729" s="36">
        <v>1.16</v>
      </c>
      <c r="IB1729" s="4">
        <v>7.64</v>
      </c>
      <c r="IE1729" s="4">
        <v>7.64</v>
      </c>
    </row>
    <row r="1730" customHeight="1" spans="1:239">
      <c r="A1730" s="3">
        <v>61</v>
      </c>
      <c r="B1730" s="4" t="s">
        <v>1514</v>
      </c>
      <c r="C1730" s="5" t="s">
        <v>1031</v>
      </c>
      <c r="D1730" s="4" t="s">
        <v>300</v>
      </c>
      <c r="AI1730" s="4" t="s">
        <v>1517</v>
      </c>
      <c r="AL1730" s="4" t="s">
        <v>689</v>
      </c>
      <c r="AM1730" s="4">
        <v>8.04</v>
      </c>
      <c r="AQ1730" s="4" t="s">
        <v>7</v>
      </c>
      <c r="AR1730" s="4">
        <v>16.57</v>
      </c>
      <c r="AS1730" s="4" t="s">
        <v>11</v>
      </c>
      <c r="AT1730" s="4">
        <v>70.32</v>
      </c>
      <c r="AU1730" s="4" t="s">
        <v>14</v>
      </c>
      <c r="AV1730" s="4">
        <v>783</v>
      </c>
      <c r="AW1730" s="4" t="s">
        <v>12</v>
      </c>
      <c r="AX1730" s="4">
        <v>78.41</v>
      </c>
      <c r="BI1730" s="4" t="s">
        <v>321</v>
      </c>
      <c r="BL1730" s="4">
        <v>1000</v>
      </c>
      <c r="BM1730" s="4">
        <v>30</v>
      </c>
      <c r="BS1730" s="4">
        <v>7.92</v>
      </c>
      <c r="BV1730" s="4" t="s">
        <v>1518</v>
      </c>
      <c r="CB1730" s="4" t="s">
        <v>7</v>
      </c>
      <c r="CD1730" s="4">
        <v>16.57</v>
      </c>
      <c r="CE1730" s="4" t="s">
        <v>11</v>
      </c>
      <c r="CG1730" s="4">
        <v>70.32</v>
      </c>
      <c r="CH1730" s="4" t="s">
        <v>14</v>
      </c>
      <c r="CJ1730" s="4">
        <v>783</v>
      </c>
      <c r="CK1730" s="4" t="s">
        <v>12</v>
      </c>
      <c r="CM1730" s="4">
        <v>78.41</v>
      </c>
      <c r="CW1730" s="4">
        <v>7.87</v>
      </c>
      <c r="DO1730" s="4">
        <v>3</v>
      </c>
      <c r="DS1730" s="1">
        <v>6.91</v>
      </c>
      <c r="DT1730" s="36">
        <v>0.37</v>
      </c>
      <c r="EA1730" s="4">
        <v>33.25</v>
      </c>
      <c r="ED1730" s="4">
        <v>33.25</v>
      </c>
      <c r="GA1730" s="36">
        <v>6.29</v>
      </c>
      <c r="GB1730" s="36">
        <v>-0.06</v>
      </c>
      <c r="GI1730" s="4">
        <v>29.67</v>
      </c>
      <c r="GL1730" s="4">
        <v>29.67</v>
      </c>
      <c r="GP1730" s="36">
        <v>4.96</v>
      </c>
      <c r="GQ1730" s="36">
        <v>0.09</v>
      </c>
      <c r="GX1730" s="4">
        <v>20.74</v>
      </c>
      <c r="GZ1730" s="1">
        <f t="shared" si="55"/>
        <v>93.6742762402755</v>
      </c>
      <c r="HA1730" s="4">
        <v>93.6742762402755</v>
      </c>
      <c r="HT1730" s="36">
        <v>19.58</v>
      </c>
      <c r="HU1730" s="36">
        <v>1.16</v>
      </c>
      <c r="IB1730" s="4">
        <v>13.24</v>
      </c>
      <c r="IE1730" s="4">
        <v>13.24</v>
      </c>
    </row>
    <row r="1731" customHeight="1" spans="1:239">
      <c r="A1731" s="3">
        <v>61</v>
      </c>
      <c r="B1731" s="4" t="s">
        <v>1514</v>
      </c>
      <c r="C1731" s="5" t="s">
        <v>1031</v>
      </c>
      <c r="D1731" s="4" t="s">
        <v>300</v>
      </c>
      <c r="AI1731" s="4" t="s">
        <v>1517</v>
      </c>
      <c r="AL1731" s="4" t="s">
        <v>689</v>
      </c>
      <c r="AM1731" s="4">
        <v>8.04</v>
      </c>
      <c r="AQ1731" s="4" t="s">
        <v>7</v>
      </c>
      <c r="AR1731" s="4">
        <v>16.57</v>
      </c>
      <c r="AS1731" s="4" t="s">
        <v>11</v>
      </c>
      <c r="AT1731" s="4">
        <v>70.32</v>
      </c>
      <c r="AU1731" s="4" t="s">
        <v>14</v>
      </c>
      <c r="AV1731" s="4">
        <v>783</v>
      </c>
      <c r="AW1731" s="4" t="s">
        <v>12</v>
      </c>
      <c r="AX1731" s="4">
        <v>78.41</v>
      </c>
      <c r="BI1731" s="4" t="s">
        <v>321</v>
      </c>
      <c r="BL1731" s="4">
        <v>1000</v>
      </c>
      <c r="BM1731" s="4">
        <v>50</v>
      </c>
      <c r="BS1731" s="4">
        <v>7.95</v>
      </c>
      <c r="BV1731" s="4" t="s">
        <v>1518</v>
      </c>
      <c r="CB1731" s="4" t="s">
        <v>7</v>
      </c>
      <c r="CD1731" s="4">
        <v>16.57</v>
      </c>
      <c r="CE1731" s="4" t="s">
        <v>11</v>
      </c>
      <c r="CG1731" s="4">
        <v>70.32</v>
      </c>
      <c r="CH1731" s="4" t="s">
        <v>14</v>
      </c>
      <c r="CJ1731" s="4">
        <v>783</v>
      </c>
      <c r="CK1731" s="4" t="s">
        <v>12</v>
      </c>
      <c r="CM1731" s="4">
        <v>78.41</v>
      </c>
      <c r="CW1731" s="4">
        <v>7.88</v>
      </c>
      <c r="DO1731" s="4">
        <v>3</v>
      </c>
      <c r="DS1731" s="1">
        <v>6.06</v>
      </c>
      <c r="DT1731" s="36">
        <v>0.01</v>
      </c>
      <c r="EA1731" s="4">
        <v>41.56</v>
      </c>
      <c r="ED1731" s="4">
        <v>41.56</v>
      </c>
      <c r="GA1731" s="36">
        <v>5.72</v>
      </c>
      <c r="GB1731" s="36">
        <v>0.16</v>
      </c>
      <c r="GI1731" s="4">
        <v>36.1</v>
      </c>
      <c r="GL1731" s="4">
        <v>36.1</v>
      </c>
      <c r="GP1731" s="36">
        <v>4.96</v>
      </c>
      <c r="GQ1731" s="36">
        <v>0.17</v>
      </c>
      <c r="GX1731" s="4">
        <v>25.2</v>
      </c>
      <c r="GZ1731" s="1">
        <f t="shared" si="55"/>
        <v>93.6742762402755</v>
      </c>
      <c r="HA1731" s="4">
        <v>93.6742762402755</v>
      </c>
      <c r="HT1731" s="36">
        <v>17.05</v>
      </c>
      <c r="HU1731" s="36">
        <v>1.26</v>
      </c>
      <c r="IB1731" s="4">
        <v>15.1</v>
      </c>
      <c r="IE1731" s="4">
        <v>15.1</v>
      </c>
    </row>
    <row r="1732" customHeight="1" spans="1:239">
      <c r="A1732" s="3">
        <v>61</v>
      </c>
      <c r="B1732" s="4" t="s">
        <v>1514</v>
      </c>
      <c r="C1732" s="5" t="s">
        <v>1031</v>
      </c>
      <c r="D1732" s="4" t="s">
        <v>300</v>
      </c>
      <c r="AI1732" s="4" t="s">
        <v>1517</v>
      </c>
      <c r="AL1732" s="4" t="s">
        <v>689</v>
      </c>
      <c r="AM1732" s="4">
        <v>8.04</v>
      </c>
      <c r="AQ1732" s="4" t="s">
        <v>7</v>
      </c>
      <c r="AR1732" s="4">
        <v>16.57</v>
      </c>
      <c r="AS1732" s="4" t="s">
        <v>11</v>
      </c>
      <c r="AT1732" s="4">
        <v>70.32</v>
      </c>
      <c r="AU1732" s="4" t="s">
        <v>14</v>
      </c>
      <c r="AV1732" s="4">
        <v>783</v>
      </c>
      <c r="AW1732" s="4" t="s">
        <v>12</v>
      </c>
      <c r="AX1732" s="4">
        <v>78.41</v>
      </c>
      <c r="BI1732" s="4" t="s">
        <v>321</v>
      </c>
      <c r="BL1732" s="4">
        <v>1000</v>
      </c>
      <c r="BM1732" s="4">
        <v>100</v>
      </c>
      <c r="BS1732" s="4">
        <v>8.01</v>
      </c>
      <c r="BV1732" s="4" t="s">
        <v>1518</v>
      </c>
      <c r="CB1732" s="4" t="s">
        <v>7</v>
      </c>
      <c r="CD1732" s="4">
        <v>16.57</v>
      </c>
      <c r="CE1732" s="4" t="s">
        <v>11</v>
      </c>
      <c r="CG1732" s="4">
        <v>70.32</v>
      </c>
      <c r="CH1732" s="4" t="s">
        <v>14</v>
      </c>
      <c r="CJ1732" s="4">
        <v>783</v>
      </c>
      <c r="CK1732" s="4" t="s">
        <v>12</v>
      </c>
      <c r="CM1732" s="4">
        <v>78.41</v>
      </c>
      <c r="CW1732" s="4">
        <v>7.9</v>
      </c>
      <c r="DO1732" s="4">
        <v>3</v>
      </c>
      <c r="DS1732" s="1">
        <v>5.87</v>
      </c>
      <c r="DT1732" s="36">
        <v>0.17</v>
      </c>
      <c r="EA1732" s="4">
        <v>43.48</v>
      </c>
      <c r="ED1732" s="4">
        <v>43.48</v>
      </c>
      <c r="GA1732" s="36">
        <v>5.29</v>
      </c>
      <c r="GB1732" s="36">
        <v>0.35</v>
      </c>
      <c r="GI1732" s="4">
        <v>46.38</v>
      </c>
      <c r="GL1732" s="4">
        <v>46.38</v>
      </c>
      <c r="GP1732" s="36">
        <v>4.4</v>
      </c>
      <c r="GQ1732" s="36">
        <v>0.36</v>
      </c>
      <c r="GX1732" s="4">
        <v>29.71</v>
      </c>
      <c r="GZ1732" s="1">
        <f t="shared" si="55"/>
        <v>94.3884708583089</v>
      </c>
      <c r="HA1732" s="4">
        <v>94.3884708583089</v>
      </c>
      <c r="HT1732" s="36">
        <v>14.84</v>
      </c>
      <c r="HU1732" s="36">
        <v>1.37</v>
      </c>
      <c r="IB1732" s="4">
        <v>21.35</v>
      </c>
      <c r="IE1732" s="4">
        <v>21.35</v>
      </c>
    </row>
    <row r="1733" customHeight="1" spans="1:239">
      <c r="A1733" s="3">
        <v>61</v>
      </c>
      <c r="B1733" s="4" t="s">
        <v>1514</v>
      </c>
      <c r="C1733" s="5" t="s">
        <v>1031</v>
      </c>
      <c r="D1733" s="4" t="s">
        <v>300</v>
      </c>
      <c r="AI1733" s="4" t="s">
        <v>1517</v>
      </c>
      <c r="AL1733" s="4" t="s">
        <v>689</v>
      </c>
      <c r="AM1733" s="4">
        <v>8.04</v>
      </c>
      <c r="AQ1733" s="4" t="s">
        <v>7</v>
      </c>
      <c r="AR1733" s="4">
        <v>16.57</v>
      </c>
      <c r="AS1733" s="4" t="s">
        <v>11</v>
      </c>
      <c r="AT1733" s="4">
        <v>70.32</v>
      </c>
      <c r="AU1733" s="4" t="s">
        <v>14</v>
      </c>
      <c r="AV1733" s="4">
        <v>783</v>
      </c>
      <c r="AW1733" s="4" t="s">
        <v>12</v>
      </c>
      <c r="AX1733" s="4">
        <v>78.41</v>
      </c>
      <c r="DO1733" s="4">
        <v>3</v>
      </c>
      <c r="IB1733" s="4"/>
      <c r="IE1733" s="4"/>
    </row>
    <row r="1734" customHeight="1" spans="1:239">
      <c r="A1734" s="3">
        <v>61</v>
      </c>
      <c r="B1734" s="4" t="s">
        <v>1514</v>
      </c>
      <c r="C1734" s="5" t="s">
        <v>1031</v>
      </c>
      <c r="D1734" s="4" t="s">
        <v>300</v>
      </c>
      <c r="AI1734" s="4" t="s">
        <v>1517</v>
      </c>
      <c r="AL1734" s="4" t="s">
        <v>689</v>
      </c>
      <c r="AM1734" s="4">
        <v>8.04</v>
      </c>
      <c r="AQ1734" s="4" t="s">
        <v>7</v>
      </c>
      <c r="AR1734" s="4">
        <v>16.57</v>
      </c>
      <c r="AS1734" s="4" t="s">
        <v>11</v>
      </c>
      <c r="AT1734" s="4">
        <v>70.32</v>
      </c>
      <c r="AU1734" s="4" t="s">
        <v>14</v>
      </c>
      <c r="AV1734" s="4">
        <v>783</v>
      </c>
      <c r="AW1734" s="4" t="s">
        <v>12</v>
      </c>
      <c r="AX1734" s="4">
        <v>78.41</v>
      </c>
      <c r="DO1734" s="4">
        <v>3</v>
      </c>
      <c r="IB1734" s="4"/>
      <c r="IE1734" s="4"/>
    </row>
    <row r="1735" customHeight="1" spans="1:239">
      <c r="A1735" s="3">
        <v>61</v>
      </c>
      <c r="B1735" s="4" t="s">
        <v>1514</v>
      </c>
      <c r="C1735" s="5" t="s">
        <v>1031</v>
      </c>
      <c r="D1735" s="4" t="s">
        <v>300</v>
      </c>
      <c r="AI1735" s="4" t="s">
        <v>1517</v>
      </c>
      <c r="AL1735" s="4" t="s">
        <v>689</v>
      </c>
      <c r="AM1735" s="4">
        <v>8.04</v>
      </c>
      <c r="AQ1735" s="4" t="s">
        <v>7</v>
      </c>
      <c r="AR1735" s="4">
        <v>16.57</v>
      </c>
      <c r="AS1735" s="4" t="s">
        <v>11</v>
      </c>
      <c r="AT1735" s="4">
        <v>70.32</v>
      </c>
      <c r="AU1735" s="4" t="s">
        <v>14</v>
      </c>
      <c r="AV1735" s="4">
        <v>783</v>
      </c>
      <c r="AW1735" s="4" t="s">
        <v>12</v>
      </c>
      <c r="AX1735" s="4">
        <v>78.41</v>
      </c>
      <c r="DO1735" s="4">
        <v>3</v>
      </c>
      <c r="IB1735" s="4"/>
      <c r="IE1735" s="4"/>
    </row>
    <row r="1736" customHeight="1" spans="1:239">
      <c r="A1736" s="3">
        <v>61</v>
      </c>
      <c r="B1736" s="4" t="s">
        <v>1514</v>
      </c>
      <c r="C1736" s="5" t="s">
        <v>1031</v>
      </c>
      <c r="D1736" s="4" t="s">
        <v>300</v>
      </c>
      <c r="AI1736" s="4" t="s">
        <v>1517</v>
      </c>
      <c r="AL1736" s="4" t="s">
        <v>689</v>
      </c>
      <c r="AM1736" s="4">
        <v>8.04</v>
      </c>
      <c r="AQ1736" s="4" t="s">
        <v>7</v>
      </c>
      <c r="AR1736" s="4">
        <v>16.57</v>
      </c>
      <c r="AS1736" s="4" t="s">
        <v>11</v>
      </c>
      <c r="AT1736" s="4">
        <v>70.32</v>
      </c>
      <c r="AU1736" s="4" t="s">
        <v>14</v>
      </c>
      <c r="AV1736" s="4">
        <v>783</v>
      </c>
      <c r="AW1736" s="4" t="s">
        <v>12</v>
      </c>
      <c r="AX1736" s="4">
        <v>78.41</v>
      </c>
      <c r="DO1736" s="4">
        <v>3</v>
      </c>
      <c r="IB1736" s="4"/>
      <c r="IE1736" s="4"/>
    </row>
    <row r="1737" customHeight="1" spans="1:239">
      <c r="A1737" s="3">
        <v>61</v>
      </c>
      <c r="B1737" s="4" t="s">
        <v>1514</v>
      </c>
      <c r="C1737" s="5" t="s">
        <v>1031</v>
      </c>
      <c r="D1737" s="4" t="s">
        <v>300</v>
      </c>
      <c r="AI1737" s="4" t="s">
        <v>1517</v>
      </c>
      <c r="AL1737" s="4" t="s">
        <v>689</v>
      </c>
      <c r="AM1737" s="4">
        <v>8.04</v>
      </c>
      <c r="AQ1737" s="4" t="s">
        <v>7</v>
      </c>
      <c r="AR1737" s="4">
        <v>16.57</v>
      </c>
      <c r="AS1737" s="4" t="s">
        <v>11</v>
      </c>
      <c r="AT1737" s="4">
        <v>70.32</v>
      </c>
      <c r="AU1737" s="4" t="s">
        <v>14</v>
      </c>
      <c r="AV1737" s="4">
        <v>783</v>
      </c>
      <c r="AW1737" s="4" t="s">
        <v>12</v>
      </c>
      <c r="AX1737" s="4">
        <v>78.41</v>
      </c>
      <c r="DO1737" s="4">
        <v>3</v>
      </c>
      <c r="IB1737" s="4"/>
      <c r="IE1737" s="4"/>
    </row>
    <row r="1738" customHeight="1" spans="1:239">
      <c r="A1738" s="3">
        <v>61</v>
      </c>
      <c r="B1738" s="4" t="s">
        <v>1514</v>
      </c>
      <c r="C1738" s="5" t="s">
        <v>1031</v>
      </c>
      <c r="D1738" s="4" t="s">
        <v>300</v>
      </c>
      <c r="AI1738" s="4" t="s">
        <v>1517</v>
      </c>
      <c r="AL1738" s="4" t="s">
        <v>689</v>
      </c>
      <c r="AM1738" s="4">
        <v>8.04</v>
      </c>
      <c r="AQ1738" s="4" t="s">
        <v>7</v>
      </c>
      <c r="AR1738" s="4">
        <v>16.57</v>
      </c>
      <c r="AS1738" s="4" t="s">
        <v>11</v>
      </c>
      <c r="AT1738" s="4">
        <v>70.32</v>
      </c>
      <c r="AU1738" s="4" t="s">
        <v>14</v>
      </c>
      <c r="AV1738" s="4">
        <v>783</v>
      </c>
      <c r="AW1738" s="4" t="s">
        <v>12</v>
      </c>
      <c r="AX1738" s="4">
        <v>78.41</v>
      </c>
      <c r="DO1738" s="4">
        <v>3</v>
      </c>
      <c r="IB1738" s="4"/>
      <c r="IE1738" s="4"/>
    </row>
    <row r="1739" customHeight="1" spans="1:239">
      <c r="A1739" s="3">
        <v>61</v>
      </c>
      <c r="B1739" s="4" t="s">
        <v>1514</v>
      </c>
      <c r="C1739" s="5" t="s">
        <v>341</v>
      </c>
      <c r="D1739" s="4" t="s">
        <v>300</v>
      </c>
      <c r="E1739" s="4" t="s">
        <v>1519</v>
      </c>
      <c r="N1739" s="4" t="s">
        <v>536</v>
      </c>
      <c r="O1739" s="4" t="s">
        <v>343</v>
      </c>
      <c r="P1739" s="4">
        <v>2.49</v>
      </c>
      <c r="AB1739" s="4" t="s">
        <v>1516</v>
      </c>
      <c r="BI1739" s="4" t="s">
        <v>309</v>
      </c>
      <c r="CB1739" s="4" t="s">
        <v>458</v>
      </c>
      <c r="DO1739" s="4">
        <v>3</v>
      </c>
      <c r="DW1739" s="4">
        <v>146.23</v>
      </c>
      <c r="IB1739" s="4"/>
      <c r="IE1739" s="4"/>
    </row>
    <row r="1740" customHeight="1" spans="1:239">
      <c r="A1740" s="3">
        <v>61</v>
      </c>
      <c r="B1740" s="4" t="s">
        <v>1514</v>
      </c>
      <c r="C1740" s="5" t="s">
        <v>341</v>
      </c>
      <c r="D1740" s="4" t="s">
        <v>300</v>
      </c>
      <c r="E1740" s="4" t="s">
        <v>1519</v>
      </c>
      <c r="N1740" s="4" t="s">
        <v>536</v>
      </c>
      <c r="O1740" s="4" t="s">
        <v>343</v>
      </c>
      <c r="P1740" s="4">
        <v>2.49</v>
      </c>
      <c r="AB1740" s="4" t="s">
        <v>1516</v>
      </c>
      <c r="BI1740" s="4" t="s">
        <v>309</v>
      </c>
      <c r="CB1740" s="4" t="s">
        <v>11</v>
      </c>
      <c r="DO1740" s="4">
        <v>3</v>
      </c>
      <c r="GE1740" s="4">
        <v>142.7</v>
      </c>
      <c r="IB1740" s="4"/>
      <c r="IE1740" s="4"/>
    </row>
    <row r="1741" customHeight="1" spans="1:239">
      <c r="A1741" s="3">
        <v>61</v>
      </c>
      <c r="B1741" s="4" t="s">
        <v>1514</v>
      </c>
      <c r="C1741" s="5" t="s">
        <v>341</v>
      </c>
      <c r="D1741" s="4" t="s">
        <v>300</v>
      </c>
      <c r="E1741" s="4" t="s">
        <v>1519</v>
      </c>
      <c r="N1741" s="4" t="s">
        <v>536</v>
      </c>
      <c r="O1741" s="4" t="s">
        <v>343</v>
      </c>
      <c r="P1741" s="4">
        <v>2.49</v>
      </c>
      <c r="AB1741" s="4" t="s">
        <v>1516</v>
      </c>
      <c r="BI1741" s="4" t="s">
        <v>309</v>
      </c>
      <c r="CB1741" s="4" t="s">
        <v>7</v>
      </c>
      <c r="CE1741" s="4" t="s">
        <v>11</v>
      </c>
      <c r="DO1741" s="4">
        <v>3</v>
      </c>
      <c r="IB1741" s="4"/>
      <c r="IE1741" s="4"/>
    </row>
    <row r="1742" customHeight="1" spans="1:239">
      <c r="A1742" s="3">
        <v>61</v>
      </c>
      <c r="B1742" s="4" t="s">
        <v>1514</v>
      </c>
      <c r="C1742" s="5" t="s">
        <v>341</v>
      </c>
      <c r="D1742" s="4" t="s">
        <v>300</v>
      </c>
      <c r="AH1742" s="4" t="s">
        <v>1413</v>
      </c>
      <c r="AI1742" s="4" t="s">
        <v>1517</v>
      </c>
      <c r="AL1742" s="4" t="s">
        <v>689</v>
      </c>
      <c r="AM1742" s="4">
        <v>7.91</v>
      </c>
      <c r="AQ1742" s="4" t="s">
        <v>7</v>
      </c>
      <c r="AR1742" s="4">
        <v>26.37</v>
      </c>
      <c r="AS1742" s="4" t="s">
        <v>11</v>
      </c>
      <c r="AT1742" s="4">
        <v>339.33</v>
      </c>
      <c r="AU1742" s="4" t="s">
        <v>14</v>
      </c>
      <c r="AV1742" s="4">
        <v>1657</v>
      </c>
      <c r="AW1742" s="4" t="s">
        <v>12</v>
      </c>
      <c r="AX1742" s="4">
        <v>104.1</v>
      </c>
      <c r="BI1742" s="4" t="s">
        <v>321</v>
      </c>
      <c r="BL1742" s="4">
        <v>1000</v>
      </c>
      <c r="BM1742" s="4">
        <v>0</v>
      </c>
      <c r="BS1742" s="4">
        <v>7.62</v>
      </c>
      <c r="BV1742" s="4" t="s">
        <v>1518</v>
      </c>
      <c r="CB1742" s="4" t="s">
        <v>7</v>
      </c>
      <c r="CD1742" s="4">
        <v>26.37</v>
      </c>
      <c r="CE1742" s="4" t="s">
        <v>11</v>
      </c>
      <c r="CG1742" s="4">
        <v>339.33</v>
      </c>
      <c r="CH1742" s="4" t="s">
        <v>14</v>
      </c>
      <c r="CJ1742" s="4">
        <v>1657</v>
      </c>
      <c r="CK1742" s="4" t="s">
        <v>12</v>
      </c>
      <c r="CM1742" s="4">
        <v>104.1</v>
      </c>
      <c r="CW1742" s="4">
        <v>7.73</v>
      </c>
      <c r="DO1742" s="4">
        <v>3</v>
      </c>
      <c r="DS1742" s="1">
        <v>9.63</v>
      </c>
      <c r="DT1742" s="36">
        <v>0.29</v>
      </c>
      <c r="GA1742" s="36">
        <v>49.94</v>
      </c>
      <c r="GB1742" s="36">
        <v>2.08</v>
      </c>
      <c r="GI1742" s="4"/>
      <c r="GK1742" s="1">
        <f t="shared" ref="GK1742:GK1747" si="56">(CG1742-GA1742)/CG1742*100</f>
        <v>85.2827630919754</v>
      </c>
      <c r="GL1742" s="4">
        <v>85.2827630919754</v>
      </c>
      <c r="GP1742" s="36">
        <v>7.77</v>
      </c>
      <c r="GQ1742" s="36">
        <v>0</v>
      </c>
      <c r="GX1742" s="4"/>
      <c r="GZ1742" s="1">
        <f t="shared" ref="GZ1742:GZ1747" si="57">(CM1742-GP1742)/CM1742*100</f>
        <v>92.536023054755</v>
      </c>
      <c r="HA1742" s="4">
        <v>92.536023054755</v>
      </c>
      <c r="HT1742" s="36">
        <v>53.02</v>
      </c>
      <c r="HU1742" s="36">
        <v>1.24</v>
      </c>
      <c r="IB1742" s="4"/>
      <c r="IE1742" s="4"/>
    </row>
    <row r="1743" customHeight="1" spans="1:239">
      <c r="A1743" s="3">
        <v>61</v>
      </c>
      <c r="B1743" s="4" t="s">
        <v>1514</v>
      </c>
      <c r="C1743" s="5" t="s">
        <v>341</v>
      </c>
      <c r="D1743" s="4" t="s">
        <v>300</v>
      </c>
      <c r="AH1743" s="4" t="s">
        <v>1413</v>
      </c>
      <c r="AI1743" s="4" t="s">
        <v>1517</v>
      </c>
      <c r="AL1743" s="4" t="s">
        <v>689</v>
      </c>
      <c r="AM1743" s="4">
        <v>7.91</v>
      </c>
      <c r="AQ1743" s="4" t="s">
        <v>7</v>
      </c>
      <c r="AR1743" s="4">
        <v>26.37</v>
      </c>
      <c r="AS1743" s="4" t="s">
        <v>11</v>
      </c>
      <c r="AT1743" s="4">
        <v>339.33</v>
      </c>
      <c r="AU1743" s="4" t="s">
        <v>14</v>
      </c>
      <c r="AV1743" s="4">
        <v>1657</v>
      </c>
      <c r="AW1743" s="4" t="s">
        <v>12</v>
      </c>
      <c r="AX1743" s="4">
        <v>104.1</v>
      </c>
      <c r="BI1743" s="4" t="s">
        <v>321</v>
      </c>
      <c r="BL1743" s="4">
        <v>1000</v>
      </c>
      <c r="BM1743" s="4">
        <v>5</v>
      </c>
      <c r="BS1743" s="4">
        <v>7.68</v>
      </c>
      <c r="BV1743" s="4" t="s">
        <v>1518</v>
      </c>
      <c r="CB1743" s="4" t="s">
        <v>7</v>
      </c>
      <c r="CD1743" s="4">
        <v>26.37</v>
      </c>
      <c r="CE1743" s="4" t="s">
        <v>11</v>
      </c>
      <c r="CG1743" s="4">
        <v>339.33</v>
      </c>
      <c r="CH1743" s="4" t="s">
        <v>14</v>
      </c>
      <c r="CJ1743" s="4">
        <v>1657</v>
      </c>
      <c r="CK1743" s="4" t="s">
        <v>12</v>
      </c>
      <c r="CM1743" s="4">
        <v>104.1</v>
      </c>
      <c r="CW1743" s="4">
        <v>7.91</v>
      </c>
      <c r="DO1743" s="4">
        <v>3</v>
      </c>
      <c r="DS1743" s="1">
        <v>7.89</v>
      </c>
      <c r="DT1743" s="36">
        <v>0.23</v>
      </c>
      <c r="EA1743" s="4">
        <v>17.81</v>
      </c>
      <c r="ED1743" s="4">
        <v>17.81</v>
      </c>
      <c r="GA1743" s="36">
        <v>34.33</v>
      </c>
      <c r="GB1743" s="36">
        <v>0.15</v>
      </c>
      <c r="GI1743" s="4">
        <v>12.01</v>
      </c>
      <c r="GK1743" s="1">
        <f t="shared" si="56"/>
        <v>89.8830047446439</v>
      </c>
      <c r="GL1743" s="4">
        <v>89.8830047446439</v>
      </c>
      <c r="GP1743" s="36">
        <v>7.48</v>
      </c>
      <c r="GQ1743" s="36">
        <v>0.06</v>
      </c>
      <c r="GX1743" s="4">
        <v>38.37</v>
      </c>
      <c r="GZ1743" s="1">
        <f t="shared" si="57"/>
        <v>92.8146013448607</v>
      </c>
      <c r="HA1743" s="4">
        <v>92.8146013448607</v>
      </c>
      <c r="HT1743" s="36">
        <v>32.65</v>
      </c>
      <c r="HU1743" s="36">
        <v>2.81</v>
      </c>
      <c r="IB1743" s="4">
        <v>7.62</v>
      </c>
      <c r="IE1743" s="4">
        <v>7.62</v>
      </c>
    </row>
    <row r="1744" customHeight="1" spans="1:239">
      <c r="A1744" s="3">
        <v>61</v>
      </c>
      <c r="B1744" s="4" t="s">
        <v>1514</v>
      </c>
      <c r="C1744" s="5" t="s">
        <v>341</v>
      </c>
      <c r="D1744" s="4" t="s">
        <v>300</v>
      </c>
      <c r="AH1744" s="4" t="s">
        <v>1413</v>
      </c>
      <c r="AI1744" s="4" t="s">
        <v>1517</v>
      </c>
      <c r="AL1744" s="4" t="s">
        <v>689</v>
      </c>
      <c r="AM1744" s="4">
        <v>7.91</v>
      </c>
      <c r="AQ1744" s="4" t="s">
        <v>7</v>
      </c>
      <c r="AR1744" s="4">
        <v>26.37</v>
      </c>
      <c r="AS1744" s="4" t="s">
        <v>11</v>
      </c>
      <c r="AT1744" s="4">
        <v>339.33</v>
      </c>
      <c r="AU1744" s="4" t="s">
        <v>14</v>
      </c>
      <c r="AV1744" s="4">
        <v>1657</v>
      </c>
      <c r="AW1744" s="4" t="s">
        <v>12</v>
      </c>
      <c r="AX1744" s="4">
        <v>104.1</v>
      </c>
      <c r="BI1744" s="4" t="s">
        <v>321</v>
      </c>
      <c r="BL1744" s="4">
        <v>1000</v>
      </c>
      <c r="BM1744" s="4">
        <v>10</v>
      </c>
      <c r="BS1744" s="4">
        <v>7.68</v>
      </c>
      <c r="BV1744" s="4" t="s">
        <v>1518</v>
      </c>
      <c r="CB1744" s="4" t="s">
        <v>7</v>
      </c>
      <c r="CD1744" s="4">
        <v>26.37</v>
      </c>
      <c r="CE1744" s="4" t="s">
        <v>11</v>
      </c>
      <c r="CG1744" s="4">
        <v>339.33</v>
      </c>
      <c r="CH1744" s="4" t="s">
        <v>14</v>
      </c>
      <c r="CJ1744" s="4">
        <v>1657</v>
      </c>
      <c r="CK1744" s="4" t="s">
        <v>12</v>
      </c>
      <c r="CM1744" s="4">
        <v>104.1</v>
      </c>
      <c r="CW1744" s="4">
        <v>7.94</v>
      </c>
      <c r="DO1744" s="4">
        <v>3</v>
      </c>
      <c r="DS1744" s="1">
        <v>7.15</v>
      </c>
      <c r="DT1744" s="36">
        <v>0.29</v>
      </c>
      <c r="EA1744" s="4">
        <v>25.75</v>
      </c>
      <c r="ED1744" s="4">
        <v>25.75</v>
      </c>
      <c r="GA1744" s="36">
        <v>31.8</v>
      </c>
      <c r="GB1744" s="36">
        <v>-2.08</v>
      </c>
      <c r="GI1744" s="4">
        <v>21.36</v>
      </c>
      <c r="GK1744" s="1">
        <f t="shared" si="56"/>
        <v>90.6285916364601</v>
      </c>
      <c r="GL1744" s="4">
        <v>90.6285916364601</v>
      </c>
      <c r="GP1744" s="36">
        <v>7.69</v>
      </c>
      <c r="GQ1744" s="36">
        <v>0.18</v>
      </c>
      <c r="GX1744" s="4">
        <v>51.44</v>
      </c>
      <c r="GZ1744" s="1">
        <f t="shared" si="57"/>
        <v>92.6128722382325</v>
      </c>
      <c r="HA1744" s="4">
        <v>92.6128722382325</v>
      </c>
      <c r="HT1744" s="36">
        <v>21.84</v>
      </c>
      <c r="HU1744" s="36">
        <v>1.01</v>
      </c>
      <c r="IB1744" s="4">
        <v>9.91</v>
      </c>
      <c r="IE1744" s="4">
        <v>9.91</v>
      </c>
    </row>
    <row r="1745" customHeight="1" spans="1:239">
      <c r="A1745" s="3">
        <v>61</v>
      </c>
      <c r="B1745" s="4" t="s">
        <v>1514</v>
      </c>
      <c r="C1745" s="5" t="s">
        <v>341</v>
      </c>
      <c r="D1745" s="4" t="s">
        <v>300</v>
      </c>
      <c r="AH1745" s="4" t="s">
        <v>1413</v>
      </c>
      <c r="AI1745" s="4" t="s">
        <v>1517</v>
      </c>
      <c r="AL1745" s="4" t="s">
        <v>689</v>
      </c>
      <c r="AM1745" s="4">
        <v>7.91</v>
      </c>
      <c r="AQ1745" s="4" t="s">
        <v>7</v>
      </c>
      <c r="AR1745" s="4">
        <v>26.37</v>
      </c>
      <c r="AS1745" s="4" t="s">
        <v>11</v>
      </c>
      <c r="AT1745" s="4">
        <v>339.33</v>
      </c>
      <c r="AU1745" s="4" t="s">
        <v>14</v>
      </c>
      <c r="AV1745" s="4">
        <v>1657</v>
      </c>
      <c r="AW1745" s="4" t="s">
        <v>12</v>
      </c>
      <c r="AX1745" s="4">
        <v>104.1</v>
      </c>
      <c r="BI1745" s="4" t="s">
        <v>321</v>
      </c>
      <c r="BL1745" s="4">
        <v>1000</v>
      </c>
      <c r="BM1745" s="4">
        <v>30</v>
      </c>
      <c r="BS1745" s="4">
        <v>7.63</v>
      </c>
      <c r="BV1745" s="4" t="s">
        <v>1518</v>
      </c>
      <c r="CB1745" s="4" t="s">
        <v>7</v>
      </c>
      <c r="CD1745" s="4">
        <v>26.37</v>
      </c>
      <c r="CE1745" s="4" t="s">
        <v>11</v>
      </c>
      <c r="CG1745" s="4">
        <v>339.33</v>
      </c>
      <c r="CH1745" s="4" t="s">
        <v>14</v>
      </c>
      <c r="CJ1745" s="4">
        <v>1657</v>
      </c>
      <c r="CK1745" s="4" t="s">
        <v>12</v>
      </c>
      <c r="CM1745" s="4">
        <v>104.1</v>
      </c>
      <c r="CW1745" s="4">
        <v>7.87</v>
      </c>
      <c r="DO1745" s="4">
        <v>3</v>
      </c>
      <c r="DS1745" s="1">
        <v>5.41</v>
      </c>
      <c r="DT1745" s="36">
        <v>0.34</v>
      </c>
      <c r="EA1745" s="4">
        <v>43.67</v>
      </c>
      <c r="ED1745" s="4">
        <v>43.67</v>
      </c>
      <c r="GA1745" s="36">
        <v>19.47</v>
      </c>
      <c r="GB1745" s="36">
        <v>2.08</v>
      </c>
      <c r="GI1745" s="4">
        <v>32.88</v>
      </c>
      <c r="GK1745" s="1">
        <f t="shared" si="56"/>
        <v>94.2622226151534</v>
      </c>
      <c r="GL1745" s="4">
        <v>94.2622226151534</v>
      </c>
      <c r="GP1745" s="36">
        <v>7.5</v>
      </c>
      <c r="GQ1745" s="36">
        <v>-0.08</v>
      </c>
      <c r="GX1745" s="4">
        <v>62.9</v>
      </c>
      <c r="GZ1745" s="1">
        <f t="shared" si="57"/>
        <v>92.7953890489914</v>
      </c>
      <c r="HA1745" s="4">
        <v>92.7953890489914</v>
      </c>
      <c r="HT1745" s="36">
        <v>19.59</v>
      </c>
      <c r="HU1745" s="36">
        <v>1.13</v>
      </c>
      <c r="IB1745" s="4">
        <v>17.17</v>
      </c>
      <c r="IE1745" s="4">
        <v>17.17</v>
      </c>
    </row>
    <row r="1746" customHeight="1" spans="1:239">
      <c r="A1746" s="3">
        <v>61</v>
      </c>
      <c r="B1746" s="4" t="s">
        <v>1514</v>
      </c>
      <c r="C1746" s="5" t="s">
        <v>341</v>
      </c>
      <c r="D1746" s="4" t="s">
        <v>300</v>
      </c>
      <c r="AH1746" s="4" t="s">
        <v>1413</v>
      </c>
      <c r="AI1746" s="4" t="s">
        <v>1517</v>
      </c>
      <c r="AL1746" s="4" t="s">
        <v>689</v>
      </c>
      <c r="AM1746" s="4">
        <v>7.91</v>
      </c>
      <c r="AQ1746" s="4" t="s">
        <v>7</v>
      </c>
      <c r="AR1746" s="4">
        <v>26.37</v>
      </c>
      <c r="AS1746" s="4" t="s">
        <v>11</v>
      </c>
      <c r="AT1746" s="4">
        <v>339.33</v>
      </c>
      <c r="AU1746" s="4" t="s">
        <v>14</v>
      </c>
      <c r="AV1746" s="4">
        <v>1657</v>
      </c>
      <c r="AW1746" s="4" t="s">
        <v>12</v>
      </c>
      <c r="AX1746" s="4">
        <v>104.1</v>
      </c>
      <c r="BI1746" s="4" t="s">
        <v>321</v>
      </c>
      <c r="BL1746" s="4">
        <v>1000</v>
      </c>
      <c r="BM1746" s="4">
        <v>50</v>
      </c>
      <c r="BS1746" s="4">
        <v>7.93</v>
      </c>
      <c r="BV1746" s="4" t="s">
        <v>1518</v>
      </c>
      <c r="CB1746" s="4" t="s">
        <v>7</v>
      </c>
      <c r="CD1746" s="4">
        <v>26.37</v>
      </c>
      <c r="CE1746" s="4" t="s">
        <v>11</v>
      </c>
      <c r="CG1746" s="4">
        <v>339.33</v>
      </c>
      <c r="CH1746" s="4" t="s">
        <v>14</v>
      </c>
      <c r="CJ1746" s="4">
        <v>1657</v>
      </c>
      <c r="CK1746" s="4" t="s">
        <v>12</v>
      </c>
      <c r="CM1746" s="4">
        <v>104.1</v>
      </c>
      <c r="CW1746" s="4">
        <v>7.85</v>
      </c>
      <c r="DO1746" s="4">
        <v>3</v>
      </c>
      <c r="DS1746" s="1">
        <v>4.65</v>
      </c>
      <c r="DT1746" s="36">
        <v>0.02</v>
      </c>
      <c r="EA1746" s="4">
        <v>51.75</v>
      </c>
      <c r="ED1746" s="4">
        <v>51.75</v>
      </c>
      <c r="GA1746" s="36">
        <v>13.08</v>
      </c>
      <c r="GB1746" s="36">
        <v>1.93</v>
      </c>
      <c r="GI1746" s="4">
        <v>39.11</v>
      </c>
      <c r="GK1746" s="1">
        <f t="shared" si="56"/>
        <v>96.1453452391477</v>
      </c>
      <c r="GL1746" s="4">
        <v>96.1453452391477</v>
      </c>
      <c r="GP1746" s="36">
        <v>7.53</v>
      </c>
      <c r="GQ1746" s="36">
        <v>-0.15</v>
      </c>
      <c r="GX1746" s="4">
        <v>67.05</v>
      </c>
      <c r="GZ1746" s="1">
        <f t="shared" si="57"/>
        <v>92.7665706051873</v>
      </c>
      <c r="HA1746" s="4">
        <v>92.7665706051873</v>
      </c>
      <c r="HT1746" s="36">
        <v>17.11</v>
      </c>
      <c r="HU1746" s="36">
        <v>1.13</v>
      </c>
      <c r="IB1746" s="4">
        <v>17.05</v>
      </c>
      <c r="IE1746" s="4">
        <v>17.05</v>
      </c>
    </row>
    <row r="1747" customHeight="1" spans="1:239">
      <c r="A1747" s="3">
        <v>61</v>
      </c>
      <c r="B1747" s="4" t="s">
        <v>1514</v>
      </c>
      <c r="C1747" s="5" t="s">
        <v>341</v>
      </c>
      <c r="D1747" s="4" t="s">
        <v>300</v>
      </c>
      <c r="AH1747" s="4" t="s">
        <v>1413</v>
      </c>
      <c r="AI1747" s="4" t="s">
        <v>1517</v>
      </c>
      <c r="AL1747" s="4" t="s">
        <v>689</v>
      </c>
      <c r="AM1747" s="4">
        <v>7.91</v>
      </c>
      <c r="AQ1747" s="4" t="s">
        <v>7</v>
      </c>
      <c r="AR1747" s="4">
        <v>26.37</v>
      </c>
      <c r="AS1747" s="4" t="s">
        <v>11</v>
      </c>
      <c r="AT1747" s="4">
        <v>339.33</v>
      </c>
      <c r="AU1747" s="4" t="s">
        <v>14</v>
      </c>
      <c r="AV1747" s="4">
        <v>1657</v>
      </c>
      <c r="AW1747" s="4" t="s">
        <v>12</v>
      </c>
      <c r="AX1747" s="4">
        <v>104.1</v>
      </c>
      <c r="BI1747" s="4" t="s">
        <v>321</v>
      </c>
      <c r="BL1747" s="4">
        <v>1000</v>
      </c>
      <c r="BM1747" s="4">
        <v>100</v>
      </c>
      <c r="BS1747" s="4">
        <v>9.1</v>
      </c>
      <c r="BV1747" s="4" t="s">
        <v>1518</v>
      </c>
      <c r="CB1747" s="4" t="s">
        <v>7</v>
      </c>
      <c r="CD1747" s="4">
        <v>26.37</v>
      </c>
      <c r="CE1747" s="4" t="s">
        <v>11</v>
      </c>
      <c r="CG1747" s="4">
        <v>339.33</v>
      </c>
      <c r="CH1747" s="4" t="s">
        <v>14</v>
      </c>
      <c r="CJ1747" s="4">
        <v>1657</v>
      </c>
      <c r="CK1747" s="4" t="s">
        <v>12</v>
      </c>
      <c r="CM1747" s="4">
        <v>104.1</v>
      </c>
      <c r="CW1747" s="4">
        <v>7.89</v>
      </c>
      <c r="DO1747" s="4">
        <v>3</v>
      </c>
      <c r="DS1747" s="1">
        <v>3.07</v>
      </c>
      <c r="DT1747" s="36">
        <v>0.68</v>
      </c>
      <c r="EA1747" s="4">
        <v>68.01</v>
      </c>
      <c r="ED1747" s="4">
        <v>68.01</v>
      </c>
      <c r="GA1747" s="36">
        <v>2.53</v>
      </c>
      <c r="GB1747" s="36">
        <v>2.38</v>
      </c>
      <c r="GI1747" s="4">
        <v>43.81</v>
      </c>
      <c r="GK1747" s="1">
        <f t="shared" si="56"/>
        <v>99.2544131081838</v>
      </c>
      <c r="GL1747" s="4">
        <v>99.2544131081838</v>
      </c>
      <c r="GP1747" s="36">
        <v>6.11</v>
      </c>
      <c r="GQ1747" s="36">
        <v>0.06</v>
      </c>
      <c r="GX1747" s="4">
        <v>72.04</v>
      </c>
      <c r="GZ1747" s="1">
        <f t="shared" si="57"/>
        <v>94.1306436119116</v>
      </c>
      <c r="HA1747" s="4">
        <v>94.1306436119116</v>
      </c>
      <c r="HT1747" s="36">
        <v>8.89</v>
      </c>
      <c r="HU1747" s="36">
        <v>1.24</v>
      </c>
      <c r="IB1747" s="4">
        <v>26.64</v>
      </c>
      <c r="IE1747" s="4">
        <v>26.64</v>
      </c>
    </row>
    <row r="1748" customHeight="1" spans="1:239">
      <c r="A1748" s="3">
        <v>61</v>
      </c>
      <c r="B1748" s="4" t="s">
        <v>1514</v>
      </c>
      <c r="C1748" s="5" t="s">
        <v>341</v>
      </c>
      <c r="D1748" s="4" t="s">
        <v>300</v>
      </c>
      <c r="AH1748" s="4" t="s">
        <v>1413</v>
      </c>
      <c r="AI1748" s="4" t="s">
        <v>1517</v>
      </c>
      <c r="AL1748" s="4" t="s">
        <v>689</v>
      </c>
      <c r="AM1748" s="4">
        <v>7.91</v>
      </c>
      <c r="AQ1748" s="4" t="s">
        <v>7</v>
      </c>
      <c r="AR1748" s="4">
        <v>26.37</v>
      </c>
      <c r="AS1748" s="4" t="s">
        <v>11</v>
      </c>
      <c r="AT1748" s="4">
        <v>339.33</v>
      </c>
      <c r="AU1748" s="4" t="s">
        <v>14</v>
      </c>
      <c r="AV1748" s="4">
        <v>1657</v>
      </c>
      <c r="AW1748" s="4" t="s">
        <v>12</v>
      </c>
      <c r="AX1748" s="4">
        <v>104.1</v>
      </c>
      <c r="DO1748" s="4">
        <v>3</v>
      </c>
      <c r="IB1748" s="4"/>
      <c r="IE1748" s="4"/>
    </row>
    <row r="1749" customHeight="1" spans="1:239">
      <c r="A1749" s="3">
        <v>61</v>
      </c>
      <c r="B1749" s="4" t="s">
        <v>1514</v>
      </c>
      <c r="C1749" s="5" t="s">
        <v>341</v>
      </c>
      <c r="D1749" s="4" t="s">
        <v>300</v>
      </c>
      <c r="AH1749" s="4" t="s">
        <v>1413</v>
      </c>
      <c r="AI1749" s="4" t="s">
        <v>1517</v>
      </c>
      <c r="AL1749" s="4" t="s">
        <v>689</v>
      </c>
      <c r="AM1749" s="4">
        <v>7.91</v>
      </c>
      <c r="AQ1749" s="4" t="s">
        <v>7</v>
      </c>
      <c r="AR1749" s="4">
        <v>26.37</v>
      </c>
      <c r="AS1749" s="4" t="s">
        <v>11</v>
      </c>
      <c r="AT1749" s="4">
        <v>339.33</v>
      </c>
      <c r="AU1749" s="4" t="s">
        <v>14</v>
      </c>
      <c r="AV1749" s="4">
        <v>1657</v>
      </c>
      <c r="AW1749" s="4" t="s">
        <v>12</v>
      </c>
      <c r="AX1749" s="4">
        <v>104.1</v>
      </c>
      <c r="DO1749" s="4">
        <v>3</v>
      </c>
      <c r="IB1749" s="4"/>
      <c r="IE1749" s="4"/>
    </row>
    <row r="1750" customHeight="1" spans="1:239">
      <c r="A1750" s="3">
        <v>61</v>
      </c>
      <c r="B1750" s="4" t="s">
        <v>1514</v>
      </c>
      <c r="C1750" s="5" t="s">
        <v>341</v>
      </c>
      <c r="D1750" s="4" t="s">
        <v>300</v>
      </c>
      <c r="AH1750" s="4" t="s">
        <v>1413</v>
      </c>
      <c r="AI1750" s="4" t="s">
        <v>1517</v>
      </c>
      <c r="AL1750" s="4" t="s">
        <v>689</v>
      </c>
      <c r="AM1750" s="4">
        <v>7.91</v>
      </c>
      <c r="AQ1750" s="4" t="s">
        <v>7</v>
      </c>
      <c r="AR1750" s="4">
        <v>26.37</v>
      </c>
      <c r="AS1750" s="4" t="s">
        <v>11</v>
      </c>
      <c r="AT1750" s="4">
        <v>339.33</v>
      </c>
      <c r="AU1750" s="4" t="s">
        <v>14</v>
      </c>
      <c r="AV1750" s="4">
        <v>1657</v>
      </c>
      <c r="AW1750" s="4" t="s">
        <v>12</v>
      </c>
      <c r="AX1750" s="4">
        <v>104.1</v>
      </c>
      <c r="DO1750" s="4">
        <v>3</v>
      </c>
      <c r="IB1750" s="4"/>
      <c r="IE1750" s="4"/>
    </row>
    <row r="1751" customHeight="1" spans="1:239">
      <c r="A1751" s="3">
        <v>61</v>
      </c>
      <c r="B1751" s="4" t="s">
        <v>1514</v>
      </c>
      <c r="C1751" s="5" t="s">
        <v>341</v>
      </c>
      <c r="D1751" s="4" t="s">
        <v>300</v>
      </c>
      <c r="AH1751" s="4" t="s">
        <v>1413</v>
      </c>
      <c r="AI1751" s="4" t="s">
        <v>1517</v>
      </c>
      <c r="AL1751" s="4" t="s">
        <v>689</v>
      </c>
      <c r="AM1751" s="4">
        <v>7.91</v>
      </c>
      <c r="AQ1751" s="4" t="s">
        <v>7</v>
      </c>
      <c r="AR1751" s="4">
        <v>26.37</v>
      </c>
      <c r="AS1751" s="4" t="s">
        <v>11</v>
      </c>
      <c r="AT1751" s="4">
        <v>339.33</v>
      </c>
      <c r="AU1751" s="4" t="s">
        <v>14</v>
      </c>
      <c r="AV1751" s="4">
        <v>1657</v>
      </c>
      <c r="AW1751" s="4" t="s">
        <v>12</v>
      </c>
      <c r="AX1751" s="4">
        <v>104.1</v>
      </c>
      <c r="DO1751" s="4">
        <v>3</v>
      </c>
      <c r="IB1751" s="4"/>
      <c r="IE1751" s="4"/>
    </row>
    <row r="1752" customHeight="1" spans="1:239">
      <c r="A1752" s="3">
        <v>61</v>
      </c>
      <c r="B1752" s="4" t="s">
        <v>1514</v>
      </c>
      <c r="C1752" s="5" t="s">
        <v>341</v>
      </c>
      <c r="D1752" s="4" t="s">
        <v>300</v>
      </c>
      <c r="AH1752" s="4" t="s">
        <v>1413</v>
      </c>
      <c r="AI1752" s="4" t="s">
        <v>1517</v>
      </c>
      <c r="AL1752" s="4" t="s">
        <v>689</v>
      </c>
      <c r="AM1752" s="4">
        <v>7.91</v>
      </c>
      <c r="AQ1752" s="4" t="s">
        <v>7</v>
      </c>
      <c r="AR1752" s="4">
        <v>26.37</v>
      </c>
      <c r="AS1752" s="4" t="s">
        <v>11</v>
      </c>
      <c r="AT1752" s="4">
        <v>339.33</v>
      </c>
      <c r="AU1752" s="4" t="s">
        <v>14</v>
      </c>
      <c r="AV1752" s="4">
        <v>1657</v>
      </c>
      <c r="AW1752" s="4" t="s">
        <v>12</v>
      </c>
      <c r="AX1752" s="4">
        <v>104.1</v>
      </c>
      <c r="DO1752" s="4">
        <v>3</v>
      </c>
      <c r="IB1752" s="4"/>
      <c r="IE1752" s="4"/>
    </row>
    <row r="1753" customHeight="1" spans="1:239">
      <c r="A1753" s="3">
        <v>61</v>
      </c>
      <c r="B1753" s="4" t="s">
        <v>1514</v>
      </c>
      <c r="C1753" s="5" t="s">
        <v>341</v>
      </c>
      <c r="D1753" s="4" t="s">
        <v>300</v>
      </c>
      <c r="AH1753" s="4" t="s">
        <v>1413</v>
      </c>
      <c r="AI1753" s="4" t="s">
        <v>1517</v>
      </c>
      <c r="AL1753" s="4" t="s">
        <v>689</v>
      </c>
      <c r="AM1753" s="4">
        <v>7.91</v>
      </c>
      <c r="AQ1753" s="4" t="s">
        <v>7</v>
      </c>
      <c r="AR1753" s="4">
        <v>26.37</v>
      </c>
      <c r="AS1753" s="4" t="s">
        <v>11</v>
      </c>
      <c r="AT1753" s="4">
        <v>339.33</v>
      </c>
      <c r="AU1753" s="4" t="s">
        <v>14</v>
      </c>
      <c r="AV1753" s="4">
        <v>1657</v>
      </c>
      <c r="AW1753" s="4" t="s">
        <v>12</v>
      </c>
      <c r="AX1753" s="4">
        <v>104.1</v>
      </c>
      <c r="DO1753" s="4">
        <v>3</v>
      </c>
    </row>
    <row r="1754" customHeight="1" spans="1:239">
      <c r="A1754" s="5">
        <v>62</v>
      </c>
      <c r="B1754" s="4" t="s">
        <v>1520</v>
      </c>
      <c r="C1754" s="40" t="s">
        <v>1521</v>
      </c>
      <c r="D1754" s="4" t="s">
        <v>300</v>
      </c>
      <c r="H1754" s="4" t="s">
        <v>328</v>
      </c>
      <c r="I1754" s="4" t="s">
        <v>627</v>
      </c>
      <c r="J1754" s="4">
        <v>90.3</v>
      </c>
      <c r="N1754" s="4" t="s">
        <v>567</v>
      </c>
      <c r="O1754" s="4" t="s">
        <v>343</v>
      </c>
      <c r="P1754" s="4">
        <v>3</v>
      </c>
      <c r="Q1754" s="4" t="s">
        <v>542</v>
      </c>
      <c r="T1754" s="4">
        <v>99.2</v>
      </c>
      <c r="U1754" s="4">
        <v>0.222</v>
      </c>
      <c r="V1754" s="4">
        <v>8.5</v>
      </c>
      <c r="BI1754" s="4" t="s">
        <v>309</v>
      </c>
      <c r="BN1754" s="4">
        <v>0.5</v>
      </c>
      <c r="BV1754" s="4" t="s">
        <v>1306</v>
      </c>
      <c r="BW1754" s="4">
        <v>25</v>
      </c>
      <c r="CB1754" s="4" t="s">
        <v>458</v>
      </c>
      <c r="CC1754" s="4">
        <v>50</v>
      </c>
      <c r="CV1754" s="4">
        <v>2880</v>
      </c>
      <c r="CX1754" s="4" t="s">
        <v>314</v>
      </c>
      <c r="DO1754" s="4">
        <v>3</v>
      </c>
      <c r="DW1754" s="4">
        <v>75</v>
      </c>
      <c r="EA1754" s="4">
        <v>71</v>
      </c>
      <c r="ED1754" s="4">
        <v>71</v>
      </c>
    </row>
    <row r="1755" customHeight="1" spans="1:239">
      <c r="A1755" s="5">
        <v>62</v>
      </c>
      <c r="B1755" s="4" t="s">
        <v>1520</v>
      </c>
      <c r="C1755" s="40" t="s">
        <v>1521</v>
      </c>
      <c r="D1755" s="4" t="s">
        <v>300</v>
      </c>
      <c r="H1755" s="4" t="s">
        <v>328</v>
      </c>
      <c r="I1755" s="4" t="s">
        <v>627</v>
      </c>
      <c r="J1755" s="4">
        <v>90.3</v>
      </c>
      <c r="N1755" s="4" t="s">
        <v>567</v>
      </c>
      <c r="O1755" s="4" t="s">
        <v>343</v>
      </c>
      <c r="P1755" s="4">
        <v>3</v>
      </c>
      <c r="Q1755" s="4" t="s">
        <v>542</v>
      </c>
      <c r="T1755" s="4">
        <v>99.2</v>
      </c>
      <c r="U1755" s="4">
        <v>0.222</v>
      </c>
      <c r="V1755" s="4">
        <v>8.5</v>
      </c>
      <c r="BI1755" s="4" t="s">
        <v>309</v>
      </c>
      <c r="BM1755" s="4">
        <v>0.01</v>
      </c>
      <c r="BN1755" s="4">
        <v>0.5</v>
      </c>
      <c r="BS1755" s="4">
        <v>5</v>
      </c>
      <c r="BV1755" s="4">
        <v>2880</v>
      </c>
      <c r="BW1755" s="4">
        <v>25</v>
      </c>
      <c r="CB1755" s="4" t="s">
        <v>458</v>
      </c>
      <c r="CC1755" s="4" t="s">
        <v>1423</v>
      </c>
      <c r="DB1755" s="4" t="s">
        <v>951</v>
      </c>
      <c r="DC1755" s="4">
        <v>94.3</v>
      </c>
      <c r="DO1755" s="4">
        <v>3</v>
      </c>
      <c r="DW1755" s="4"/>
      <c r="EA1755" s="4"/>
      <c r="ED1755" s="4"/>
    </row>
    <row r="1756" customHeight="1" spans="1:239">
      <c r="A1756" s="5">
        <v>62</v>
      </c>
      <c r="B1756" s="4" t="s">
        <v>1520</v>
      </c>
      <c r="C1756" s="40" t="s">
        <v>1521</v>
      </c>
      <c r="D1756" s="4" t="s">
        <v>300</v>
      </c>
      <c r="H1756" s="4" t="s">
        <v>328</v>
      </c>
      <c r="I1756" s="4" t="s">
        <v>627</v>
      </c>
      <c r="J1756" s="4">
        <v>90.3</v>
      </c>
      <c r="N1756" s="4" t="s">
        <v>567</v>
      </c>
      <c r="O1756" s="4" t="s">
        <v>343</v>
      </c>
      <c r="P1756" s="4">
        <v>3</v>
      </c>
      <c r="Q1756" s="4" t="s">
        <v>542</v>
      </c>
      <c r="T1756" s="4">
        <v>99.2</v>
      </c>
      <c r="U1756" s="4">
        <v>0.222</v>
      </c>
      <c r="V1756" s="4">
        <v>8.5</v>
      </c>
      <c r="BI1756" s="4" t="s">
        <v>309</v>
      </c>
      <c r="BM1756" s="4">
        <v>0.01</v>
      </c>
      <c r="BN1756" s="4">
        <v>0.5</v>
      </c>
      <c r="BS1756" s="4">
        <v>5</v>
      </c>
      <c r="BV1756" s="4">
        <v>2880</v>
      </c>
      <c r="BW1756" s="4">
        <v>25</v>
      </c>
      <c r="CB1756" s="4" t="s">
        <v>458</v>
      </c>
      <c r="CC1756" s="4">
        <v>50</v>
      </c>
      <c r="CT1756" s="4" t="s">
        <v>1522</v>
      </c>
      <c r="CU1756" s="4">
        <v>0.02</v>
      </c>
      <c r="DO1756" s="4">
        <v>3</v>
      </c>
      <c r="DW1756" s="4">
        <v>55.8</v>
      </c>
      <c r="EA1756" s="4"/>
      <c r="EC1756" s="1">
        <f>DW1756*0.5/50*100</f>
        <v>55.8</v>
      </c>
      <c r="ED1756" s="4">
        <v>55.8</v>
      </c>
    </row>
    <row r="1757" customHeight="1" spans="1:239">
      <c r="A1757" s="5">
        <v>62</v>
      </c>
      <c r="B1757" s="4" t="s">
        <v>1520</v>
      </c>
      <c r="C1757" s="40" t="s">
        <v>1521</v>
      </c>
      <c r="D1757" s="4" t="s">
        <v>300</v>
      </c>
      <c r="H1757" s="4" t="s">
        <v>328</v>
      </c>
      <c r="I1757" s="4" t="s">
        <v>627</v>
      </c>
      <c r="J1757" s="4">
        <v>90.3</v>
      </c>
      <c r="N1757" s="4" t="s">
        <v>567</v>
      </c>
      <c r="O1757" s="4" t="s">
        <v>343</v>
      </c>
      <c r="P1757" s="4">
        <v>3</v>
      </c>
      <c r="Q1757" s="4" t="s">
        <v>542</v>
      </c>
      <c r="T1757" s="4">
        <v>99.2</v>
      </c>
      <c r="U1757" s="4">
        <v>0.222</v>
      </c>
      <c r="V1757" s="4">
        <v>8.5</v>
      </c>
      <c r="BI1757" s="4" t="s">
        <v>309</v>
      </c>
      <c r="BM1757" s="4">
        <v>0.01</v>
      </c>
      <c r="BN1757" s="4">
        <v>0.5</v>
      </c>
      <c r="BS1757" s="4">
        <v>5</v>
      </c>
      <c r="BV1757" s="4">
        <v>2880</v>
      </c>
      <c r="BW1757" s="4">
        <v>25</v>
      </c>
      <c r="CB1757" s="4" t="s">
        <v>458</v>
      </c>
      <c r="CC1757" s="4">
        <v>50</v>
      </c>
      <c r="CT1757" s="4" t="s">
        <v>1523</v>
      </c>
      <c r="CU1757" s="4">
        <v>0.02</v>
      </c>
      <c r="DO1757" s="4">
        <v>3</v>
      </c>
      <c r="DW1757" s="4">
        <v>49.4</v>
      </c>
      <c r="EA1757" s="4"/>
      <c r="EC1757" s="1">
        <f>DW1757*0.5/50*100</f>
        <v>49.4</v>
      </c>
      <c r="ED1757" s="4">
        <v>49.4</v>
      </c>
    </row>
    <row r="1758" customHeight="1" spans="1:239">
      <c r="A1758" s="5">
        <v>62</v>
      </c>
      <c r="B1758" s="4" t="s">
        <v>1520</v>
      </c>
      <c r="C1758" s="40" t="s">
        <v>1521</v>
      </c>
      <c r="D1758" s="4" t="s">
        <v>300</v>
      </c>
      <c r="H1758" s="4" t="s">
        <v>328</v>
      </c>
      <c r="I1758" s="4" t="s">
        <v>627</v>
      </c>
      <c r="J1758" s="4">
        <v>90.3</v>
      </c>
      <c r="N1758" s="4" t="s">
        <v>567</v>
      </c>
      <c r="O1758" s="4" t="s">
        <v>343</v>
      </c>
      <c r="P1758" s="4">
        <v>3</v>
      </c>
      <c r="Q1758" s="4" t="s">
        <v>542</v>
      </c>
      <c r="T1758" s="4">
        <v>99.2</v>
      </c>
      <c r="U1758" s="4">
        <v>0.222</v>
      </c>
      <c r="V1758" s="4">
        <v>8.5</v>
      </c>
      <c r="BI1758" s="4" t="s">
        <v>309</v>
      </c>
      <c r="BM1758" s="4">
        <v>0.01</v>
      </c>
      <c r="BN1758" s="4">
        <v>0.5</v>
      </c>
      <c r="BS1758" s="4">
        <v>5</v>
      </c>
      <c r="BV1758" s="4">
        <v>2880</v>
      </c>
      <c r="BW1758" s="4">
        <v>25</v>
      </c>
      <c r="CB1758" s="4" t="s">
        <v>458</v>
      </c>
      <c r="CC1758" s="4">
        <v>50</v>
      </c>
      <c r="CT1758" s="4" t="s">
        <v>536</v>
      </c>
      <c r="CU1758" s="4">
        <v>0.02</v>
      </c>
      <c r="DO1758" s="4">
        <v>3</v>
      </c>
      <c r="DW1758" s="4">
        <v>39.3</v>
      </c>
      <c r="EA1758" s="4"/>
      <c r="EC1758" s="1">
        <f>DW1758*0.5/50*100</f>
        <v>39.3</v>
      </c>
      <c r="ED1758" s="4">
        <v>39.3</v>
      </c>
    </row>
    <row r="1759" customHeight="1" spans="1:239">
      <c r="A1759" s="5">
        <v>62</v>
      </c>
      <c r="B1759" s="4" t="s">
        <v>1520</v>
      </c>
      <c r="C1759" s="40" t="s">
        <v>1521</v>
      </c>
      <c r="D1759" s="4" t="s">
        <v>300</v>
      </c>
      <c r="H1759" s="4" t="s">
        <v>328</v>
      </c>
      <c r="I1759" s="4" t="s">
        <v>627</v>
      </c>
      <c r="J1759" s="4">
        <v>90.3</v>
      </c>
      <c r="N1759" s="4" t="s">
        <v>567</v>
      </c>
      <c r="O1759" s="4" t="s">
        <v>343</v>
      </c>
      <c r="P1759" s="4">
        <v>3</v>
      </c>
      <c r="Q1759" s="4" t="s">
        <v>542</v>
      </c>
      <c r="T1759" s="4">
        <v>99.2</v>
      </c>
      <c r="U1759" s="4">
        <v>0.222</v>
      </c>
      <c r="V1759" s="4">
        <v>8.5</v>
      </c>
      <c r="BI1759" s="4" t="s">
        <v>309</v>
      </c>
      <c r="BM1759" s="4">
        <v>0.01</v>
      </c>
      <c r="BN1759" s="4">
        <v>0.5</v>
      </c>
      <c r="BS1759" s="4">
        <v>5</v>
      </c>
      <c r="BV1759" s="4">
        <v>2880</v>
      </c>
      <c r="BW1759" s="4">
        <v>25</v>
      </c>
      <c r="CB1759" s="4" t="s">
        <v>458</v>
      </c>
      <c r="CC1759" s="4">
        <v>50</v>
      </c>
      <c r="CT1759" s="4" t="s">
        <v>567</v>
      </c>
      <c r="CU1759" s="4">
        <v>0.02</v>
      </c>
      <c r="DO1759" s="4">
        <v>3</v>
      </c>
      <c r="DW1759" s="4">
        <v>25</v>
      </c>
      <c r="EA1759" s="4"/>
      <c r="EC1759" s="1">
        <f>DW1759*0.5/50*100</f>
        <v>25</v>
      </c>
      <c r="ED1759" s="4">
        <v>25</v>
      </c>
    </row>
    <row r="1760" customHeight="1" spans="1:239">
      <c r="A1760" s="5">
        <v>62</v>
      </c>
      <c r="B1760" s="4" t="s">
        <v>1520</v>
      </c>
      <c r="C1760" s="40" t="s">
        <v>1521</v>
      </c>
      <c r="D1760" s="4" t="s">
        <v>300</v>
      </c>
      <c r="H1760" s="4" t="s">
        <v>328</v>
      </c>
      <c r="I1760" s="4" t="s">
        <v>627</v>
      </c>
      <c r="J1760" s="4">
        <v>90.3</v>
      </c>
      <c r="N1760" s="4" t="s">
        <v>567</v>
      </c>
      <c r="O1760" s="4" t="s">
        <v>343</v>
      </c>
      <c r="P1760" s="4">
        <v>3</v>
      </c>
      <c r="Q1760" s="4" t="s">
        <v>542</v>
      </c>
      <c r="T1760" s="4">
        <v>99.2</v>
      </c>
      <c r="U1760" s="4">
        <v>0.222</v>
      </c>
      <c r="V1760" s="4">
        <v>8.5</v>
      </c>
      <c r="BI1760" s="4" t="s">
        <v>309</v>
      </c>
      <c r="BM1760" s="4">
        <v>0.01</v>
      </c>
      <c r="BN1760" s="4">
        <v>0.5</v>
      </c>
      <c r="BS1760" s="4">
        <v>5</v>
      </c>
      <c r="BV1760" s="4">
        <v>2880</v>
      </c>
      <c r="BW1760" s="4">
        <v>25</v>
      </c>
      <c r="CB1760" s="4" t="s">
        <v>458</v>
      </c>
      <c r="CC1760" s="4">
        <v>50</v>
      </c>
      <c r="CT1760" s="4" t="s">
        <v>661</v>
      </c>
      <c r="CU1760" s="4">
        <v>0.02</v>
      </c>
      <c r="DO1760" s="4">
        <v>3</v>
      </c>
      <c r="DW1760" s="4">
        <v>5.6</v>
      </c>
      <c r="EA1760" s="4"/>
      <c r="EC1760" s="1">
        <f>DW1760*0.5/50*100</f>
        <v>5.6</v>
      </c>
      <c r="ED1760" s="4">
        <v>5.6</v>
      </c>
    </row>
    <row r="1761" customHeight="1" spans="1:134">
      <c r="A1761" s="5">
        <v>62</v>
      </c>
      <c r="B1761" s="4" t="s">
        <v>1520</v>
      </c>
      <c r="C1761" s="40" t="s">
        <v>1521</v>
      </c>
      <c r="D1761" s="4" t="s">
        <v>300</v>
      </c>
      <c r="H1761" s="4" t="s">
        <v>328</v>
      </c>
      <c r="I1761" s="4" t="s">
        <v>627</v>
      </c>
      <c r="J1761" s="4">
        <v>90.3</v>
      </c>
      <c r="N1761" s="4" t="s">
        <v>567</v>
      </c>
      <c r="O1761" s="4" t="s">
        <v>343</v>
      </c>
      <c r="P1761" s="4">
        <v>3</v>
      </c>
      <c r="Q1761" s="4" t="s">
        <v>542</v>
      </c>
      <c r="T1761" s="4">
        <v>99.2</v>
      </c>
      <c r="U1761" s="4">
        <v>0.222</v>
      </c>
      <c r="V1761" s="4">
        <v>8.5</v>
      </c>
      <c r="AH1761" s="4" t="s">
        <v>1524</v>
      </c>
      <c r="AI1761" s="4" t="s">
        <v>1525</v>
      </c>
      <c r="AL1761" s="4" t="s">
        <v>1526</v>
      </c>
      <c r="BI1761" s="4" t="s">
        <v>321</v>
      </c>
      <c r="BK1761" s="4">
        <v>20</v>
      </c>
      <c r="BL1761" s="4">
        <v>1</v>
      </c>
      <c r="BM1761" s="4">
        <v>0</v>
      </c>
      <c r="BO1761" s="4">
        <v>0</v>
      </c>
      <c r="BV1761" s="4" t="s">
        <v>1527</v>
      </c>
      <c r="BW1761" s="4">
        <v>25</v>
      </c>
      <c r="CB1761" s="4" t="s">
        <v>458</v>
      </c>
      <c r="CC1761" s="4">
        <v>50</v>
      </c>
      <c r="DO1761" s="4">
        <v>3</v>
      </c>
      <c r="DS1761" s="36">
        <v>4.98</v>
      </c>
      <c r="DT1761" s="36">
        <v>0.05495</v>
      </c>
      <c r="DW1761" s="4"/>
      <c r="EA1761" s="4">
        <v>90.5</v>
      </c>
      <c r="ED1761" s="4">
        <v>90.5</v>
      </c>
    </row>
    <row r="1762" customHeight="1" spans="1:134">
      <c r="A1762" s="5">
        <v>62</v>
      </c>
      <c r="B1762" s="4" t="s">
        <v>1520</v>
      </c>
      <c r="C1762" s="40" t="s">
        <v>1521</v>
      </c>
      <c r="D1762" s="4" t="s">
        <v>300</v>
      </c>
      <c r="H1762" s="4" t="s">
        <v>328</v>
      </c>
      <c r="I1762" s="4" t="s">
        <v>627</v>
      </c>
      <c r="J1762" s="4">
        <v>90.3</v>
      </c>
      <c r="N1762" s="4" t="s">
        <v>567</v>
      </c>
      <c r="O1762" s="4" t="s">
        <v>343</v>
      </c>
      <c r="P1762" s="4">
        <v>3</v>
      </c>
      <c r="Q1762" s="4" t="s">
        <v>542</v>
      </c>
      <c r="T1762" s="4">
        <v>99.2</v>
      </c>
      <c r="U1762" s="4">
        <v>0.222</v>
      </c>
      <c r="V1762" s="4">
        <v>8.5</v>
      </c>
      <c r="AH1762" s="4" t="s">
        <v>1524</v>
      </c>
      <c r="AI1762" s="4" t="s">
        <v>1525</v>
      </c>
      <c r="AL1762" s="4" t="s">
        <v>1526</v>
      </c>
      <c r="BI1762" s="4" t="s">
        <v>321</v>
      </c>
      <c r="BK1762" s="4">
        <v>20</v>
      </c>
      <c r="BL1762" s="4">
        <v>1</v>
      </c>
      <c r="BM1762" s="4">
        <v>0.0025</v>
      </c>
      <c r="BO1762" s="4">
        <v>0.25</v>
      </c>
      <c r="BV1762" s="4" t="s">
        <v>1527</v>
      </c>
      <c r="BW1762" s="4">
        <v>25</v>
      </c>
      <c r="CB1762" s="4" t="s">
        <v>458</v>
      </c>
      <c r="CC1762" s="4">
        <v>50</v>
      </c>
      <c r="DO1762" s="4">
        <v>3</v>
      </c>
      <c r="DQ1762" s="36">
        <v>4.98</v>
      </c>
      <c r="DR1762" s="36">
        <v>0.05495</v>
      </c>
      <c r="DS1762" s="36">
        <v>4.27</v>
      </c>
      <c r="DT1762" s="36">
        <v>0.26374</v>
      </c>
      <c r="DW1762" s="4"/>
      <c r="EA1762" s="4">
        <v>91.84</v>
      </c>
      <c r="ED1762" s="4">
        <v>91.84</v>
      </c>
    </row>
    <row r="1763" customHeight="1" spans="1:134">
      <c r="A1763" s="5">
        <v>62</v>
      </c>
      <c r="B1763" s="4" t="s">
        <v>1520</v>
      </c>
      <c r="C1763" s="40" t="s">
        <v>1521</v>
      </c>
      <c r="D1763" s="4" t="s">
        <v>300</v>
      </c>
      <c r="H1763" s="4" t="s">
        <v>328</v>
      </c>
      <c r="I1763" s="4" t="s">
        <v>627</v>
      </c>
      <c r="J1763" s="4">
        <v>90.3</v>
      </c>
      <c r="N1763" s="4" t="s">
        <v>567</v>
      </c>
      <c r="O1763" s="4" t="s">
        <v>343</v>
      </c>
      <c r="P1763" s="4">
        <v>3</v>
      </c>
      <c r="Q1763" s="4" t="s">
        <v>542</v>
      </c>
      <c r="T1763" s="4">
        <v>99.2</v>
      </c>
      <c r="U1763" s="4">
        <v>0.222</v>
      </c>
      <c r="V1763" s="4">
        <v>8.5</v>
      </c>
      <c r="AH1763" s="4" t="s">
        <v>1524</v>
      </c>
      <c r="AI1763" s="4" t="s">
        <v>1525</v>
      </c>
      <c r="AL1763" s="4" t="s">
        <v>1526</v>
      </c>
      <c r="BI1763" s="4" t="s">
        <v>321</v>
      </c>
      <c r="BK1763" s="4">
        <v>20</v>
      </c>
      <c r="BL1763" s="4">
        <v>1</v>
      </c>
      <c r="BM1763" s="4">
        <v>0.005</v>
      </c>
      <c r="BO1763" s="4">
        <v>0.5</v>
      </c>
      <c r="BV1763" s="4" t="s">
        <v>1527</v>
      </c>
      <c r="BW1763" s="4">
        <v>25</v>
      </c>
      <c r="CB1763" s="4" t="s">
        <v>458</v>
      </c>
      <c r="CC1763" s="4">
        <v>50</v>
      </c>
      <c r="DO1763" s="4">
        <v>3</v>
      </c>
      <c r="DQ1763" s="36">
        <v>4.98</v>
      </c>
      <c r="DR1763" s="36">
        <v>0.05495</v>
      </c>
      <c r="DS1763" s="36">
        <v>3.23</v>
      </c>
      <c r="DT1763" s="36">
        <v>0.02198</v>
      </c>
      <c r="DW1763" s="4"/>
      <c r="EA1763" s="4">
        <v>93.82</v>
      </c>
      <c r="ED1763" s="4">
        <v>93.82</v>
      </c>
    </row>
    <row r="1764" customHeight="1" spans="1:134">
      <c r="A1764" s="5">
        <v>62</v>
      </c>
      <c r="B1764" s="4" t="s">
        <v>1520</v>
      </c>
      <c r="C1764" s="40" t="s">
        <v>1521</v>
      </c>
      <c r="D1764" s="4" t="s">
        <v>300</v>
      </c>
      <c r="H1764" s="4" t="s">
        <v>328</v>
      </c>
      <c r="I1764" s="4" t="s">
        <v>627</v>
      </c>
      <c r="J1764" s="4">
        <v>90.3</v>
      </c>
      <c r="N1764" s="4" t="s">
        <v>567</v>
      </c>
      <c r="O1764" s="4" t="s">
        <v>343</v>
      </c>
      <c r="P1764" s="4">
        <v>3</v>
      </c>
      <c r="Q1764" s="4" t="s">
        <v>542</v>
      </c>
      <c r="T1764" s="4">
        <v>99.2</v>
      </c>
      <c r="U1764" s="4">
        <v>0.222</v>
      </c>
      <c r="V1764" s="4">
        <v>8.5</v>
      </c>
      <c r="AH1764" s="4" t="s">
        <v>1524</v>
      </c>
      <c r="AI1764" s="4" t="s">
        <v>1525</v>
      </c>
      <c r="AL1764" s="4" t="s">
        <v>1526</v>
      </c>
      <c r="BI1764" s="4" t="s">
        <v>321</v>
      </c>
      <c r="BK1764" s="4">
        <v>20</v>
      </c>
      <c r="BL1764" s="4">
        <v>1</v>
      </c>
      <c r="BM1764" s="4">
        <v>0.01</v>
      </c>
      <c r="BO1764" s="4">
        <v>1</v>
      </c>
      <c r="BV1764" s="4" t="s">
        <v>1527</v>
      </c>
      <c r="BW1764" s="4">
        <v>25</v>
      </c>
      <c r="CB1764" s="4" t="s">
        <v>458</v>
      </c>
      <c r="CC1764" s="4">
        <v>50</v>
      </c>
      <c r="DO1764" s="4">
        <v>3</v>
      </c>
      <c r="DQ1764" s="36">
        <v>4.98</v>
      </c>
      <c r="DR1764" s="36">
        <v>0.05495</v>
      </c>
      <c r="DS1764" s="36">
        <v>2.54</v>
      </c>
      <c r="DT1764" s="36">
        <v>0.01099</v>
      </c>
      <c r="DW1764" s="4"/>
      <c r="EA1764" s="4">
        <v>95.14</v>
      </c>
      <c r="ED1764" s="4">
        <v>95.14</v>
      </c>
    </row>
    <row r="1765" customHeight="1" spans="1:134">
      <c r="A1765" s="5">
        <v>62</v>
      </c>
      <c r="B1765" s="4" t="s">
        <v>1520</v>
      </c>
      <c r="C1765" s="40" t="s">
        <v>1521</v>
      </c>
      <c r="D1765" s="4" t="s">
        <v>300</v>
      </c>
      <c r="H1765" s="4" t="s">
        <v>328</v>
      </c>
      <c r="I1765" s="4" t="s">
        <v>627</v>
      </c>
      <c r="J1765" s="4">
        <v>90.3</v>
      </c>
      <c r="N1765" s="4" t="s">
        <v>567</v>
      </c>
      <c r="O1765" s="4" t="s">
        <v>343</v>
      </c>
      <c r="P1765" s="4">
        <v>3</v>
      </c>
      <c r="Q1765" s="4" t="s">
        <v>542</v>
      </c>
      <c r="T1765" s="4">
        <v>99.2</v>
      </c>
      <c r="U1765" s="4">
        <v>0.222</v>
      </c>
      <c r="V1765" s="4">
        <v>8.5</v>
      </c>
      <c r="AH1765" s="4" t="s">
        <v>1524</v>
      </c>
      <c r="AI1765" s="4" t="s">
        <v>1525</v>
      </c>
      <c r="AL1765" s="4" t="s">
        <v>1526</v>
      </c>
      <c r="BI1765" s="4" t="s">
        <v>321</v>
      </c>
      <c r="BK1765" s="4">
        <v>20</v>
      </c>
      <c r="BL1765" s="4">
        <v>1</v>
      </c>
      <c r="BM1765" s="4">
        <v>0.02</v>
      </c>
      <c r="BO1765" s="4">
        <v>2</v>
      </c>
      <c r="BV1765" s="4" t="s">
        <v>1527</v>
      </c>
      <c r="BW1765" s="4">
        <v>25</v>
      </c>
      <c r="CB1765" s="4" t="s">
        <v>458</v>
      </c>
      <c r="CC1765" s="4">
        <v>50</v>
      </c>
      <c r="DO1765" s="4">
        <v>3</v>
      </c>
      <c r="DQ1765" s="36">
        <v>4.98</v>
      </c>
      <c r="DR1765" s="36">
        <v>0.05495</v>
      </c>
      <c r="DS1765" s="36">
        <v>1.66</v>
      </c>
      <c r="DT1765" s="36">
        <v>0.05495</v>
      </c>
      <c r="DW1765" s="4"/>
      <c r="EA1765" s="4">
        <v>96.82</v>
      </c>
      <c r="ED1765" s="4">
        <v>96.82</v>
      </c>
    </row>
    <row r="1766" customHeight="1" spans="1:134">
      <c r="A1766" s="5">
        <v>62</v>
      </c>
      <c r="B1766" s="4" t="s">
        <v>1520</v>
      </c>
      <c r="C1766" s="40" t="s">
        <v>1528</v>
      </c>
      <c r="D1766" s="4" t="s">
        <v>300</v>
      </c>
      <c r="H1766" s="4" t="s">
        <v>328</v>
      </c>
      <c r="I1766" s="4" t="s">
        <v>627</v>
      </c>
      <c r="J1766" s="4">
        <v>85</v>
      </c>
      <c r="N1766" s="4" t="s">
        <v>567</v>
      </c>
      <c r="O1766" s="4" t="s">
        <v>343</v>
      </c>
      <c r="P1766" s="4">
        <v>3</v>
      </c>
      <c r="Q1766" s="4" t="s">
        <v>540</v>
      </c>
      <c r="T1766" s="4">
        <v>97.6</v>
      </c>
      <c r="U1766" s="4">
        <v>0.209</v>
      </c>
      <c r="V1766" s="4">
        <v>9.2</v>
      </c>
      <c r="BI1766" s="4" t="s">
        <v>309</v>
      </c>
      <c r="BN1766" s="4">
        <v>0.5</v>
      </c>
      <c r="BV1766" s="4" t="s">
        <v>1306</v>
      </c>
      <c r="BW1766" s="4">
        <v>25</v>
      </c>
      <c r="CB1766" s="4" t="s">
        <v>458</v>
      </c>
      <c r="CC1766" s="4">
        <v>50</v>
      </c>
      <c r="CV1766" s="4">
        <v>2880</v>
      </c>
      <c r="CX1766" s="4" t="s">
        <v>314</v>
      </c>
      <c r="DO1766" s="4">
        <v>3</v>
      </c>
      <c r="DW1766" s="4">
        <v>42</v>
      </c>
      <c r="EA1766" s="4">
        <v>40</v>
      </c>
      <c r="ED1766" s="4">
        <v>40</v>
      </c>
    </row>
    <row r="1767" customHeight="1" spans="1:134">
      <c r="A1767" s="5">
        <v>62</v>
      </c>
      <c r="B1767" s="4" t="s">
        <v>1520</v>
      </c>
      <c r="C1767" s="40" t="s">
        <v>1528</v>
      </c>
      <c r="D1767" s="4" t="s">
        <v>300</v>
      </c>
      <c r="H1767" s="4" t="s">
        <v>328</v>
      </c>
      <c r="I1767" s="4" t="s">
        <v>627</v>
      </c>
      <c r="J1767" s="4">
        <v>85</v>
      </c>
      <c r="N1767" s="4" t="s">
        <v>567</v>
      </c>
      <c r="O1767" s="4" t="s">
        <v>343</v>
      </c>
      <c r="P1767" s="4">
        <v>3</v>
      </c>
      <c r="Q1767" s="4" t="s">
        <v>540</v>
      </c>
      <c r="T1767" s="4">
        <v>97.6</v>
      </c>
      <c r="U1767" s="4">
        <v>0.209</v>
      </c>
      <c r="V1767" s="4">
        <v>9.2</v>
      </c>
      <c r="BI1767" s="4" t="s">
        <v>309</v>
      </c>
      <c r="BN1767" s="4">
        <v>0.5</v>
      </c>
      <c r="BS1767" s="4">
        <v>5</v>
      </c>
      <c r="BV1767" s="4">
        <v>2880</v>
      </c>
      <c r="BW1767" s="4">
        <v>25</v>
      </c>
      <c r="CB1767" s="4" t="s">
        <v>458</v>
      </c>
      <c r="CC1767" s="4" t="s">
        <v>1423</v>
      </c>
      <c r="DB1767" s="4" t="s">
        <v>951</v>
      </c>
      <c r="DC1767" s="4">
        <v>62.5</v>
      </c>
      <c r="DO1767" s="4">
        <v>3</v>
      </c>
      <c r="DW1767" s="29">
        <v>62.5</v>
      </c>
      <c r="EA1767" s="4"/>
      <c r="ED1767" s="4"/>
    </row>
    <row r="1768" customHeight="1" spans="1:134">
      <c r="A1768" s="5">
        <v>62</v>
      </c>
      <c r="B1768" s="4" t="s">
        <v>1520</v>
      </c>
      <c r="C1768" s="40" t="s">
        <v>1528</v>
      </c>
      <c r="D1768" s="4" t="s">
        <v>300</v>
      </c>
      <c r="H1768" s="4" t="s">
        <v>328</v>
      </c>
      <c r="I1768" s="4" t="s">
        <v>627</v>
      </c>
      <c r="J1768" s="4">
        <v>85</v>
      </c>
      <c r="N1768" s="4" t="s">
        <v>567</v>
      </c>
      <c r="O1768" s="4" t="s">
        <v>343</v>
      </c>
      <c r="P1768" s="4">
        <v>3</v>
      </c>
      <c r="Q1768" s="4" t="s">
        <v>540</v>
      </c>
      <c r="T1768" s="4">
        <v>97.6</v>
      </c>
      <c r="U1768" s="4">
        <v>0.209</v>
      </c>
      <c r="V1768" s="4">
        <v>9.2</v>
      </c>
      <c r="BI1768" s="4" t="s">
        <v>309</v>
      </c>
      <c r="BM1768" s="4">
        <v>0.01</v>
      </c>
      <c r="BN1768" s="4">
        <v>0.5</v>
      </c>
      <c r="BS1768" s="4">
        <v>5</v>
      </c>
      <c r="BV1768" s="4">
        <v>2880</v>
      </c>
      <c r="BW1768" s="4">
        <v>25</v>
      </c>
      <c r="CB1768" s="4" t="s">
        <v>458</v>
      </c>
      <c r="CC1768" s="4">
        <v>50</v>
      </c>
      <c r="CT1768" s="4" t="s">
        <v>1522</v>
      </c>
      <c r="CU1768" s="4">
        <v>0.02</v>
      </c>
      <c r="DO1768" s="4">
        <v>3</v>
      </c>
      <c r="DW1768" s="4">
        <v>40.5</v>
      </c>
      <c r="EA1768" s="4"/>
      <c r="EC1768" s="1">
        <f t="shared" ref="EC1768:EC1772" si="58">DW1768*0.5/50*100</f>
        <v>40.5</v>
      </c>
      <c r="ED1768" s="1">
        <v>40.5</v>
      </c>
    </row>
    <row r="1769" customHeight="1" spans="1:134">
      <c r="A1769" s="5">
        <v>62</v>
      </c>
      <c r="B1769" s="4" t="s">
        <v>1520</v>
      </c>
      <c r="C1769" s="40" t="s">
        <v>1528</v>
      </c>
      <c r="D1769" s="4" t="s">
        <v>300</v>
      </c>
      <c r="H1769" s="4" t="s">
        <v>328</v>
      </c>
      <c r="I1769" s="4" t="s">
        <v>627</v>
      </c>
      <c r="J1769" s="4">
        <v>85</v>
      </c>
      <c r="N1769" s="4" t="s">
        <v>567</v>
      </c>
      <c r="O1769" s="4" t="s">
        <v>343</v>
      </c>
      <c r="P1769" s="4">
        <v>3</v>
      </c>
      <c r="Q1769" s="4" t="s">
        <v>540</v>
      </c>
      <c r="T1769" s="4">
        <v>97.6</v>
      </c>
      <c r="U1769" s="4">
        <v>0.209</v>
      </c>
      <c r="V1769" s="4">
        <v>9.2</v>
      </c>
      <c r="BI1769" s="4" t="s">
        <v>309</v>
      </c>
      <c r="BM1769" s="4">
        <v>0.01</v>
      </c>
      <c r="BN1769" s="4">
        <v>0.5</v>
      </c>
      <c r="BS1769" s="4">
        <v>5</v>
      </c>
      <c r="BV1769" s="4">
        <v>2880</v>
      </c>
      <c r="BW1769" s="4">
        <v>25</v>
      </c>
      <c r="CB1769" s="4" t="s">
        <v>458</v>
      </c>
      <c r="CC1769" s="4">
        <v>50</v>
      </c>
      <c r="CT1769" s="4" t="s">
        <v>1523</v>
      </c>
      <c r="CU1769" s="4">
        <v>0.02</v>
      </c>
      <c r="DO1769" s="4">
        <v>3</v>
      </c>
      <c r="DW1769" s="4">
        <v>32.3</v>
      </c>
      <c r="EA1769" s="4"/>
      <c r="EC1769" s="1">
        <f t="shared" si="58"/>
        <v>32.3</v>
      </c>
      <c r="ED1769" s="1">
        <v>32.3</v>
      </c>
    </row>
    <row r="1770" customHeight="1" spans="1:134">
      <c r="A1770" s="5">
        <v>62</v>
      </c>
      <c r="B1770" s="4" t="s">
        <v>1520</v>
      </c>
      <c r="C1770" s="40" t="s">
        <v>1528</v>
      </c>
      <c r="D1770" s="4" t="s">
        <v>300</v>
      </c>
      <c r="H1770" s="4" t="s">
        <v>328</v>
      </c>
      <c r="I1770" s="4" t="s">
        <v>627</v>
      </c>
      <c r="J1770" s="4">
        <v>85</v>
      </c>
      <c r="N1770" s="4" t="s">
        <v>567</v>
      </c>
      <c r="O1770" s="4" t="s">
        <v>343</v>
      </c>
      <c r="P1770" s="4">
        <v>3</v>
      </c>
      <c r="Q1770" s="4" t="s">
        <v>540</v>
      </c>
      <c r="T1770" s="4">
        <v>97.6</v>
      </c>
      <c r="U1770" s="4">
        <v>0.209</v>
      </c>
      <c r="V1770" s="4">
        <v>9.2</v>
      </c>
      <c r="BI1770" s="4" t="s">
        <v>309</v>
      </c>
      <c r="BM1770" s="4">
        <v>0.01</v>
      </c>
      <c r="BN1770" s="4">
        <v>0.5</v>
      </c>
      <c r="BS1770" s="4">
        <v>5</v>
      </c>
      <c r="BV1770" s="4">
        <v>2880</v>
      </c>
      <c r="BW1770" s="4">
        <v>25</v>
      </c>
      <c r="CB1770" s="4" t="s">
        <v>458</v>
      </c>
      <c r="CC1770" s="4">
        <v>50</v>
      </c>
      <c r="CT1770" s="4" t="s">
        <v>536</v>
      </c>
      <c r="CU1770" s="4">
        <v>0.02</v>
      </c>
      <c r="DO1770" s="4">
        <v>3</v>
      </c>
      <c r="DW1770" s="4">
        <v>27.6</v>
      </c>
      <c r="EA1770" s="4"/>
      <c r="EC1770" s="1">
        <f t="shared" si="58"/>
        <v>27.6</v>
      </c>
      <c r="ED1770" s="1">
        <v>27.6</v>
      </c>
    </row>
    <row r="1771" customHeight="1" spans="1:134">
      <c r="A1771" s="5">
        <v>62</v>
      </c>
      <c r="B1771" s="4" t="s">
        <v>1520</v>
      </c>
      <c r="C1771" s="40" t="s">
        <v>1528</v>
      </c>
      <c r="D1771" s="4" t="s">
        <v>300</v>
      </c>
      <c r="H1771" s="4" t="s">
        <v>328</v>
      </c>
      <c r="I1771" s="4" t="s">
        <v>627</v>
      </c>
      <c r="J1771" s="4">
        <v>85</v>
      </c>
      <c r="N1771" s="4" t="s">
        <v>567</v>
      </c>
      <c r="O1771" s="4" t="s">
        <v>343</v>
      </c>
      <c r="P1771" s="4">
        <v>3</v>
      </c>
      <c r="Q1771" s="4" t="s">
        <v>540</v>
      </c>
      <c r="T1771" s="4">
        <v>97.6</v>
      </c>
      <c r="U1771" s="4">
        <v>0.209</v>
      </c>
      <c r="V1771" s="4">
        <v>9.2</v>
      </c>
      <c r="BI1771" s="4" t="s">
        <v>309</v>
      </c>
      <c r="BM1771" s="4">
        <v>0.01</v>
      </c>
      <c r="BN1771" s="4">
        <v>0.5</v>
      </c>
      <c r="BS1771" s="4">
        <v>5</v>
      </c>
      <c r="BV1771" s="4">
        <v>2880</v>
      </c>
      <c r="BW1771" s="4">
        <v>25</v>
      </c>
      <c r="CB1771" s="4" t="s">
        <v>458</v>
      </c>
      <c r="CC1771" s="4">
        <v>50</v>
      </c>
      <c r="CT1771" s="4" t="s">
        <v>567</v>
      </c>
      <c r="CU1771" s="4">
        <v>0.02</v>
      </c>
      <c r="DO1771" s="4">
        <v>3</v>
      </c>
      <c r="DW1771" s="4">
        <v>17.9</v>
      </c>
      <c r="EA1771" s="4"/>
      <c r="EC1771" s="1">
        <f t="shared" si="58"/>
        <v>17.9</v>
      </c>
      <c r="ED1771" s="1">
        <v>17.9</v>
      </c>
    </row>
    <row r="1772" customHeight="1" spans="1:134">
      <c r="A1772" s="5">
        <v>62</v>
      </c>
      <c r="B1772" s="4" t="s">
        <v>1520</v>
      </c>
      <c r="C1772" s="40" t="s">
        <v>1528</v>
      </c>
      <c r="D1772" s="4" t="s">
        <v>300</v>
      </c>
      <c r="H1772" s="4" t="s">
        <v>328</v>
      </c>
      <c r="I1772" s="4" t="s">
        <v>627</v>
      </c>
      <c r="J1772" s="4">
        <v>85</v>
      </c>
      <c r="N1772" s="4" t="s">
        <v>567</v>
      </c>
      <c r="O1772" s="4" t="s">
        <v>343</v>
      </c>
      <c r="P1772" s="4">
        <v>3</v>
      </c>
      <c r="Q1772" s="4" t="s">
        <v>540</v>
      </c>
      <c r="T1772" s="4">
        <v>97.6</v>
      </c>
      <c r="U1772" s="4">
        <v>0.209</v>
      </c>
      <c r="V1772" s="4">
        <v>9.2</v>
      </c>
      <c r="BI1772" s="4" t="s">
        <v>309</v>
      </c>
      <c r="BM1772" s="4">
        <v>0.01</v>
      </c>
      <c r="BN1772" s="4">
        <v>0.5</v>
      </c>
      <c r="BS1772" s="4">
        <v>5</v>
      </c>
      <c r="BV1772" s="4">
        <v>2880</v>
      </c>
      <c r="BW1772" s="4">
        <v>25</v>
      </c>
      <c r="CB1772" s="4" t="s">
        <v>458</v>
      </c>
      <c r="CC1772" s="4">
        <v>50</v>
      </c>
      <c r="CT1772" s="4" t="s">
        <v>661</v>
      </c>
      <c r="CU1772" s="4">
        <v>0.02</v>
      </c>
      <c r="DO1772" s="4">
        <v>3</v>
      </c>
      <c r="DW1772" s="4">
        <v>5.4</v>
      </c>
      <c r="EA1772" s="4"/>
      <c r="EC1772" s="1">
        <f t="shared" si="58"/>
        <v>5.4</v>
      </c>
      <c r="ED1772" s="1">
        <v>5.4</v>
      </c>
    </row>
    <row r="1773" customHeight="1" spans="1:134">
      <c r="A1773" s="5">
        <v>62</v>
      </c>
      <c r="B1773" s="4" t="s">
        <v>1520</v>
      </c>
      <c r="C1773" s="40" t="s">
        <v>1528</v>
      </c>
      <c r="D1773" s="4" t="s">
        <v>300</v>
      </c>
      <c r="H1773" s="4" t="s">
        <v>328</v>
      </c>
      <c r="I1773" s="4" t="s">
        <v>627</v>
      </c>
      <c r="J1773" s="4">
        <v>85</v>
      </c>
      <c r="N1773" s="4" t="s">
        <v>567</v>
      </c>
      <c r="O1773" s="4" t="s">
        <v>343</v>
      </c>
      <c r="P1773" s="4">
        <v>3</v>
      </c>
      <c r="Q1773" s="4" t="s">
        <v>540</v>
      </c>
      <c r="T1773" s="4">
        <v>97.6</v>
      </c>
      <c r="U1773" s="4">
        <v>0.209</v>
      </c>
      <c r="V1773" s="4">
        <v>9.2</v>
      </c>
      <c r="AH1773" s="4" t="s">
        <v>1524</v>
      </c>
      <c r="AI1773" s="4" t="s">
        <v>1525</v>
      </c>
      <c r="AL1773" s="4" t="s">
        <v>1526</v>
      </c>
      <c r="BI1773" s="4" t="s">
        <v>321</v>
      </c>
      <c r="BK1773" s="4">
        <v>20</v>
      </c>
      <c r="BL1773" s="4">
        <v>1</v>
      </c>
      <c r="BM1773" s="4">
        <v>0</v>
      </c>
      <c r="BO1773" s="4">
        <v>0</v>
      </c>
      <c r="BV1773" s="4" t="s">
        <v>1527</v>
      </c>
      <c r="BW1773" s="4">
        <v>25</v>
      </c>
      <c r="CB1773" s="4" t="s">
        <v>458</v>
      </c>
      <c r="CC1773" s="4">
        <v>50</v>
      </c>
      <c r="DO1773" s="4">
        <v>3</v>
      </c>
      <c r="DS1773" s="36">
        <v>4.99</v>
      </c>
      <c r="DT1773" s="36">
        <v>0.06593</v>
      </c>
      <c r="DW1773" s="4"/>
      <c r="EA1773" s="4">
        <v>90.5</v>
      </c>
      <c r="ED1773" s="4">
        <v>90.5</v>
      </c>
    </row>
    <row r="1774" customHeight="1" spans="1:134">
      <c r="A1774" s="5">
        <v>62</v>
      </c>
      <c r="B1774" s="4" t="s">
        <v>1520</v>
      </c>
      <c r="C1774" s="40" t="s">
        <v>1528</v>
      </c>
      <c r="D1774" s="4" t="s">
        <v>300</v>
      </c>
      <c r="H1774" s="4" t="s">
        <v>328</v>
      </c>
      <c r="I1774" s="4" t="s">
        <v>627</v>
      </c>
      <c r="J1774" s="4">
        <v>85</v>
      </c>
      <c r="N1774" s="4" t="s">
        <v>567</v>
      </c>
      <c r="O1774" s="4" t="s">
        <v>343</v>
      </c>
      <c r="P1774" s="4">
        <v>3</v>
      </c>
      <c r="Q1774" s="4" t="s">
        <v>540</v>
      </c>
      <c r="T1774" s="4">
        <v>97.6</v>
      </c>
      <c r="U1774" s="4">
        <v>0.209</v>
      </c>
      <c r="V1774" s="4">
        <v>9.2</v>
      </c>
      <c r="AH1774" s="4" t="s">
        <v>1524</v>
      </c>
      <c r="AI1774" s="4" t="s">
        <v>1525</v>
      </c>
      <c r="AL1774" s="4" t="s">
        <v>1526</v>
      </c>
      <c r="BI1774" s="4" t="s">
        <v>321</v>
      </c>
      <c r="BK1774" s="4">
        <v>20</v>
      </c>
      <c r="BL1774" s="4">
        <v>1</v>
      </c>
      <c r="BM1774" s="4">
        <v>0.0025</v>
      </c>
      <c r="BO1774" s="4">
        <v>0.25</v>
      </c>
      <c r="BV1774" s="4" t="s">
        <v>1527</v>
      </c>
      <c r="BW1774" s="4">
        <v>25</v>
      </c>
      <c r="CB1774" s="4" t="s">
        <v>458</v>
      </c>
      <c r="CC1774" s="4">
        <v>50</v>
      </c>
      <c r="DO1774" s="4">
        <v>3</v>
      </c>
      <c r="DQ1774" s="36">
        <v>4.99</v>
      </c>
      <c r="DR1774" s="36">
        <v>0.06593</v>
      </c>
      <c r="DS1774" s="36">
        <v>4.14</v>
      </c>
      <c r="DT1774" s="36">
        <v>0.07692</v>
      </c>
      <c r="DW1774" s="4"/>
      <c r="EA1774" s="4">
        <v>92.04</v>
      </c>
      <c r="ED1774" s="4">
        <v>92.04</v>
      </c>
    </row>
    <row r="1775" customHeight="1" spans="1:134">
      <c r="A1775" s="5">
        <v>62</v>
      </c>
      <c r="B1775" s="4" t="s">
        <v>1520</v>
      </c>
      <c r="C1775" s="40" t="s">
        <v>1528</v>
      </c>
      <c r="D1775" s="4" t="s">
        <v>300</v>
      </c>
      <c r="H1775" s="4" t="s">
        <v>328</v>
      </c>
      <c r="I1775" s="4" t="s">
        <v>627</v>
      </c>
      <c r="J1775" s="4">
        <v>85</v>
      </c>
      <c r="N1775" s="4" t="s">
        <v>567</v>
      </c>
      <c r="O1775" s="4" t="s">
        <v>343</v>
      </c>
      <c r="P1775" s="4">
        <v>3</v>
      </c>
      <c r="Q1775" s="4" t="s">
        <v>540</v>
      </c>
      <c r="T1775" s="4">
        <v>97.6</v>
      </c>
      <c r="U1775" s="4">
        <v>0.209</v>
      </c>
      <c r="V1775" s="4">
        <v>9.2</v>
      </c>
      <c r="AH1775" s="4" t="s">
        <v>1524</v>
      </c>
      <c r="AI1775" s="4" t="s">
        <v>1525</v>
      </c>
      <c r="AL1775" s="4" t="s">
        <v>1526</v>
      </c>
      <c r="BI1775" s="4" t="s">
        <v>321</v>
      </c>
      <c r="BK1775" s="4">
        <v>20</v>
      </c>
      <c r="BL1775" s="4">
        <v>1</v>
      </c>
      <c r="BM1775" s="4">
        <v>0.005</v>
      </c>
      <c r="BO1775" s="4">
        <v>0.5</v>
      </c>
      <c r="BV1775" s="4" t="s">
        <v>1527</v>
      </c>
      <c r="BW1775" s="4">
        <v>25</v>
      </c>
      <c r="CB1775" s="4" t="s">
        <v>458</v>
      </c>
      <c r="CC1775" s="4">
        <v>50</v>
      </c>
      <c r="DO1775" s="4">
        <v>3</v>
      </c>
      <c r="DQ1775" s="36">
        <v>4.99</v>
      </c>
      <c r="DR1775" s="36">
        <v>0.06593</v>
      </c>
      <c r="DS1775" s="36">
        <v>3.69</v>
      </c>
      <c r="DT1775" s="36">
        <v>0.14286</v>
      </c>
      <c r="DW1775" s="4"/>
      <c r="EA1775" s="4">
        <v>92.92</v>
      </c>
      <c r="ED1775" s="4">
        <v>92.92</v>
      </c>
    </row>
    <row r="1776" customHeight="1" spans="1:134">
      <c r="A1776" s="5">
        <v>62</v>
      </c>
      <c r="B1776" s="4" t="s">
        <v>1520</v>
      </c>
      <c r="C1776" s="40" t="s">
        <v>1528</v>
      </c>
      <c r="D1776" s="4" t="s">
        <v>300</v>
      </c>
      <c r="H1776" s="4" t="s">
        <v>328</v>
      </c>
      <c r="I1776" s="4" t="s">
        <v>627</v>
      </c>
      <c r="J1776" s="4">
        <v>85</v>
      </c>
      <c r="N1776" s="4" t="s">
        <v>567</v>
      </c>
      <c r="O1776" s="4" t="s">
        <v>343</v>
      </c>
      <c r="P1776" s="4">
        <v>3</v>
      </c>
      <c r="Q1776" s="4" t="s">
        <v>540</v>
      </c>
      <c r="T1776" s="4">
        <v>97.6</v>
      </c>
      <c r="U1776" s="4">
        <v>0.209</v>
      </c>
      <c r="V1776" s="4">
        <v>9.2</v>
      </c>
      <c r="AH1776" s="4" t="s">
        <v>1524</v>
      </c>
      <c r="AI1776" s="4" t="s">
        <v>1525</v>
      </c>
      <c r="AL1776" s="4" t="s">
        <v>1526</v>
      </c>
      <c r="BI1776" s="4" t="s">
        <v>321</v>
      </c>
      <c r="BK1776" s="4">
        <v>20</v>
      </c>
      <c r="BL1776" s="4">
        <v>1</v>
      </c>
      <c r="BM1776" s="4">
        <v>0.01</v>
      </c>
      <c r="BO1776" s="4">
        <v>1</v>
      </c>
      <c r="BV1776" s="4" t="s">
        <v>1527</v>
      </c>
      <c r="BW1776" s="4">
        <v>25</v>
      </c>
      <c r="CB1776" s="4" t="s">
        <v>458</v>
      </c>
      <c r="CC1776" s="4">
        <v>50</v>
      </c>
      <c r="DO1776" s="4">
        <v>3</v>
      </c>
      <c r="DQ1776" s="36">
        <v>4.99</v>
      </c>
      <c r="DR1776" s="36">
        <v>0.06593</v>
      </c>
      <c r="DS1776" s="36">
        <v>2.63</v>
      </c>
      <c r="DT1776" s="36">
        <v>0.14286</v>
      </c>
      <c r="DW1776" s="4"/>
      <c r="EA1776" s="4">
        <v>94.92</v>
      </c>
      <c r="ED1776" s="4">
        <v>94.92</v>
      </c>
    </row>
    <row r="1777" customHeight="1" spans="1:134">
      <c r="A1777" s="5">
        <v>62</v>
      </c>
      <c r="B1777" s="4" t="s">
        <v>1520</v>
      </c>
      <c r="C1777" s="40" t="s">
        <v>1528</v>
      </c>
      <c r="D1777" s="4" t="s">
        <v>300</v>
      </c>
      <c r="H1777" s="4" t="s">
        <v>328</v>
      </c>
      <c r="I1777" s="4" t="s">
        <v>627</v>
      </c>
      <c r="J1777" s="4">
        <v>85</v>
      </c>
      <c r="N1777" s="4" t="s">
        <v>567</v>
      </c>
      <c r="O1777" s="4" t="s">
        <v>343</v>
      </c>
      <c r="P1777" s="4">
        <v>3</v>
      </c>
      <c r="Q1777" s="4" t="s">
        <v>540</v>
      </c>
      <c r="T1777" s="4">
        <v>97.6</v>
      </c>
      <c r="U1777" s="4">
        <v>0.209</v>
      </c>
      <c r="V1777" s="4">
        <v>9.2</v>
      </c>
      <c r="AH1777" s="4" t="s">
        <v>1524</v>
      </c>
      <c r="AI1777" s="4" t="s">
        <v>1525</v>
      </c>
      <c r="AL1777" s="4" t="s">
        <v>1526</v>
      </c>
      <c r="BI1777" s="4" t="s">
        <v>321</v>
      </c>
      <c r="BK1777" s="4">
        <v>20</v>
      </c>
      <c r="BL1777" s="4">
        <v>1</v>
      </c>
      <c r="BM1777" s="4">
        <v>0.02</v>
      </c>
      <c r="BO1777" s="4">
        <v>2</v>
      </c>
      <c r="BV1777" s="4" t="s">
        <v>1527</v>
      </c>
      <c r="BW1777" s="4">
        <v>25</v>
      </c>
      <c r="CB1777" s="4" t="s">
        <v>458</v>
      </c>
      <c r="CC1777" s="4">
        <v>50</v>
      </c>
      <c r="DO1777" s="4">
        <v>3</v>
      </c>
      <c r="DQ1777" s="36">
        <v>4.99</v>
      </c>
      <c r="DR1777" s="36">
        <v>0.06593</v>
      </c>
      <c r="DS1777" s="36">
        <v>1.55</v>
      </c>
      <c r="DT1777" s="36">
        <v>0.13187</v>
      </c>
      <c r="DW1777" s="4"/>
      <c r="EA1777" s="4">
        <v>97</v>
      </c>
      <c r="ED1777" s="4">
        <v>97</v>
      </c>
    </row>
    <row r="1778" customHeight="1" spans="1:134">
      <c r="A1778" s="5">
        <v>62</v>
      </c>
      <c r="B1778" s="4" t="s">
        <v>1520</v>
      </c>
      <c r="C1778" s="40" t="s">
        <v>1424</v>
      </c>
      <c r="D1778" s="4" t="s">
        <v>300</v>
      </c>
      <c r="N1778" s="4" t="s">
        <v>567</v>
      </c>
      <c r="O1778" s="4" t="s">
        <v>343</v>
      </c>
      <c r="P1778" s="4">
        <v>3</v>
      </c>
      <c r="Q1778" s="4" t="s">
        <v>542</v>
      </c>
      <c r="T1778" s="4">
        <v>71.6</v>
      </c>
      <c r="U1778" s="4">
        <v>0.474</v>
      </c>
      <c r="V1778" s="4">
        <v>24.9</v>
      </c>
      <c r="BI1778" s="4" t="s">
        <v>309</v>
      </c>
      <c r="BN1778" s="4">
        <v>0.5</v>
      </c>
      <c r="BV1778" s="4" t="s">
        <v>1306</v>
      </c>
      <c r="BW1778" s="4">
        <v>25</v>
      </c>
      <c r="CB1778" s="4" t="s">
        <v>458</v>
      </c>
      <c r="CC1778" s="4">
        <v>50</v>
      </c>
      <c r="CV1778" s="4">
        <v>2880</v>
      </c>
      <c r="CX1778" s="4" t="s">
        <v>314</v>
      </c>
      <c r="DO1778" s="4">
        <v>3</v>
      </c>
      <c r="DW1778" s="4">
        <v>73</v>
      </c>
      <c r="EA1778" s="4">
        <v>67</v>
      </c>
      <c r="ED1778" s="4">
        <v>67</v>
      </c>
    </row>
    <row r="1779" customHeight="1" spans="1:134">
      <c r="A1779" s="5">
        <v>62</v>
      </c>
      <c r="B1779" s="4" t="s">
        <v>1520</v>
      </c>
      <c r="C1779" s="40" t="s">
        <v>1424</v>
      </c>
      <c r="D1779" s="4" t="s">
        <v>300</v>
      </c>
      <c r="N1779" s="4" t="s">
        <v>567</v>
      </c>
      <c r="O1779" s="4" t="s">
        <v>343</v>
      </c>
      <c r="P1779" s="4">
        <v>3</v>
      </c>
      <c r="Q1779" s="4" t="s">
        <v>542</v>
      </c>
      <c r="T1779" s="4">
        <v>71.6</v>
      </c>
      <c r="U1779" s="4">
        <v>0.474</v>
      </c>
      <c r="V1779" s="4">
        <v>24.9</v>
      </c>
      <c r="BI1779" s="4" t="s">
        <v>309</v>
      </c>
      <c r="BN1779" s="4">
        <v>0.5</v>
      </c>
      <c r="BS1779" s="4">
        <v>5</v>
      </c>
      <c r="BV1779" s="4">
        <v>2880</v>
      </c>
      <c r="BW1779" s="4">
        <v>25</v>
      </c>
      <c r="CB1779" s="4" t="s">
        <v>458</v>
      </c>
      <c r="CC1779" s="4" t="s">
        <v>1423</v>
      </c>
      <c r="DB1779" s="4" t="s">
        <v>951</v>
      </c>
      <c r="DC1779" s="4">
        <v>95.2</v>
      </c>
      <c r="DO1779" s="4">
        <v>3</v>
      </c>
      <c r="DW1779" s="29">
        <v>95.2</v>
      </c>
      <c r="EA1779" s="4"/>
      <c r="ED1779" s="4"/>
    </row>
    <row r="1780" customHeight="1" spans="1:134">
      <c r="A1780" s="5">
        <v>62</v>
      </c>
      <c r="B1780" s="4" t="s">
        <v>1520</v>
      </c>
      <c r="C1780" s="40" t="s">
        <v>1424</v>
      </c>
      <c r="D1780" s="4" t="s">
        <v>300</v>
      </c>
      <c r="N1780" s="4" t="s">
        <v>567</v>
      </c>
      <c r="O1780" s="4" t="s">
        <v>343</v>
      </c>
      <c r="P1780" s="4">
        <v>3</v>
      </c>
      <c r="Q1780" s="4" t="s">
        <v>542</v>
      </c>
      <c r="T1780" s="4">
        <v>71.6</v>
      </c>
      <c r="U1780" s="4">
        <v>0.474</v>
      </c>
      <c r="V1780" s="4">
        <v>24.9</v>
      </c>
      <c r="BI1780" s="4" t="s">
        <v>309</v>
      </c>
      <c r="BM1780" s="4">
        <v>0.01</v>
      </c>
      <c r="BN1780" s="4">
        <v>0.5</v>
      </c>
      <c r="BS1780" s="4">
        <v>5</v>
      </c>
      <c r="BV1780" s="4">
        <v>2880</v>
      </c>
      <c r="BW1780" s="4">
        <v>25</v>
      </c>
      <c r="CB1780" s="4" t="s">
        <v>458</v>
      </c>
      <c r="CC1780" s="4">
        <v>50</v>
      </c>
      <c r="CT1780" s="4" t="s">
        <v>1522</v>
      </c>
      <c r="CU1780" s="4">
        <v>0.02</v>
      </c>
      <c r="DO1780" s="4">
        <v>3</v>
      </c>
      <c r="DW1780" s="4">
        <v>67.4</v>
      </c>
      <c r="EA1780" s="4"/>
      <c r="ED1780" s="4">
        <v>67.4</v>
      </c>
    </row>
    <row r="1781" customHeight="1" spans="1:134">
      <c r="A1781" s="5">
        <v>62</v>
      </c>
      <c r="B1781" s="4" t="s">
        <v>1520</v>
      </c>
      <c r="C1781" s="40" t="s">
        <v>1424</v>
      </c>
      <c r="D1781" s="4" t="s">
        <v>300</v>
      </c>
      <c r="N1781" s="4" t="s">
        <v>567</v>
      </c>
      <c r="O1781" s="4" t="s">
        <v>343</v>
      </c>
      <c r="P1781" s="4">
        <v>3</v>
      </c>
      <c r="Q1781" s="4" t="s">
        <v>542</v>
      </c>
      <c r="T1781" s="4">
        <v>71.6</v>
      </c>
      <c r="U1781" s="4">
        <v>0.474</v>
      </c>
      <c r="V1781" s="4">
        <v>24.9</v>
      </c>
      <c r="BI1781" s="4" t="s">
        <v>309</v>
      </c>
      <c r="BM1781" s="4">
        <v>0.01</v>
      </c>
      <c r="BN1781" s="4">
        <v>0.5</v>
      </c>
      <c r="BS1781" s="4">
        <v>5</v>
      </c>
      <c r="BV1781" s="4">
        <v>2880</v>
      </c>
      <c r="BW1781" s="4">
        <v>25</v>
      </c>
      <c r="CB1781" s="4" t="s">
        <v>458</v>
      </c>
      <c r="CC1781" s="4">
        <v>50</v>
      </c>
      <c r="CT1781" s="4" t="s">
        <v>1523</v>
      </c>
      <c r="CU1781" s="4">
        <v>0.02</v>
      </c>
      <c r="DO1781" s="4">
        <v>3</v>
      </c>
      <c r="DW1781" s="4">
        <v>59.5</v>
      </c>
      <c r="EA1781" s="4"/>
      <c r="ED1781" s="4">
        <v>59.5</v>
      </c>
    </row>
    <row r="1782" customHeight="1" spans="1:134">
      <c r="A1782" s="5">
        <v>62</v>
      </c>
      <c r="B1782" s="4" t="s">
        <v>1520</v>
      </c>
      <c r="C1782" s="40" t="s">
        <v>1424</v>
      </c>
      <c r="D1782" s="4" t="s">
        <v>300</v>
      </c>
      <c r="N1782" s="4" t="s">
        <v>567</v>
      </c>
      <c r="O1782" s="4" t="s">
        <v>343</v>
      </c>
      <c r="P1782" s="4">
        <v>3</v>
      </c>
      <c r="Q1782" s="4" t="s">
        <v>542</v>
      </c>
      <c r="T1782" s="4">
        <v>71.6</v>
      </c>
      <c r="U1782" s="4">
        <v>0.474</v>
      </c>
      <c r="V1782" s="4">
        <v>24.9</v>
      </c>
      <c r="BI1782" s="4" t="s">
        <v>309</v>
      </c>
      <c r="BM1782" s="4">
        <v>0.01</v>
      </c>
      <c r="BN1782" s="4">
        <v>0.5</v>
      </c>
      <c r="BS1782" s="4">
        <v>5</v>
      </c>
      <c r="BV1782" s="4">
        <v>2880</v>
      </c>
      <c r="BW1782" s="4">
        <v>25</v>
      </c>
      <c r="CB1782" s="4" t="s">
        <v>458</v>
      </c>
      <c r="CC1782" s="4">
        <v>50</v>
      </c>
      <c r="CT1782" s="4" t="s">
        <v>536</v>
      </c>
      <c r="CU1782" s="4">
        <v>0.02</v>
      </c>
      <c r="DO1782" s="4">
        <v>3</v>
      </c>
      <c r="DW1782" s="4">
        <v>56.9</v>
      </c>
      <c r="EA1782" s="4"/>
      <c r="ED1782" s="4">
        <v>56.9</v>
      </c>
    </row>
    <row r="1783" customHeight="1" spans="1:134">
      <c r="A1783" s="5">
        <v>62</v>
      </c>
      <c r="B1783" s="4" t="s">
        <v>1520</v>
      </c>
      <c r="C1783" s="40" t="s">
        <v>1424</v>
      </c>
      <c r="D1783" s="4" t="s">
        <v>300</v>
      </c>
      <c r="N1783" s="4" t="s">
        <v>567</v>
      </c>
      <c r="O1783" s="4" t="s">
        <v>343</v>
      </c>
      <c r="P1783" s="4">
        <v>3</v>
      </c>
      <c r="Q1783" s="4" t="s">
        <v>542</v>
      </c>
      <c r="T1783" s="4">
        <v>71.6</v>
      </c>
      <c r="U1783" s="4">
        <v>0.474</v>
      </c>
      <c r="V1783" s="4">
        <v>24.9</v>
      </c>
      <c r="BI1783" s="4" t="s">
        <v>309</v>
      </c>
      <c r="BM1783" s="4">
        <v>0.01</v>
      </c>
      <c r="BN1783" s="4">
        <v>0.5</v>
      </c>
      <c r="BS1783" s="4">
        <v>5</v>
      </c>
      <c r="BV1783" s="4">
        <v>2880</v>
      </c>
      <c r="BW1783" s="4">
        <v>25</v>
      </c>
      <c r="CB1783" s="4" t="s">
        <v>458</v>
      </c>
      <c r="CC1783" s="4">
        <v>50</v>
      </c>
      <c r="CT1783" s="4" t="s">
        <v>567</v>
      </c>
      <c r="CU1783" s="4">
        <v>0.02</v>
      </c>
      <c r="DO1783" s="4">
        <v>3</v>
      </c>
      <c r="DW1783" s="4">
        <v>40.6</v>
      </c>
      <c r="EA1783" s="4"/>
      <c r="ED1783" s="4">
        <v>40.6</v>
      </c>
    </row>
    <row r="1784" customHeight="1" spans="1:134">
      <c r="A1784" s="5">
        <v>62</v>
      </c>
      <c r="B1784" s="4" t="s">
        <v>1520</v>
      </c>
      <c r="C1784" s="40" t="s">
        <v>1424</v>
      </c>
      <c r="D1784" s="4" t="s">
        <v>300</v>
      </c>
      <c r="N1784" s="4" t="s">
        <v>567</v>
      </c>
      <c r="O1784" s="4" t="s">
        <v>343</v>
      </c>
      <c r="P1784" s="4">
        <v>3</v>
      </c>
      <c r="Q1784" s="4" t="s">
        <v>542</v>
      </c>
      <c r="T1784" s="4">
        <v>71.6</v>
      </c>
      <c r="U1784" s="4">
        <v>0.474</v>
      </c>
      <c r="V1784" s="4">
        <v>24.9</v>
      </c>
      <c r="BI1784" s="4" t="s">
        <v>309</v>
      </c>
      <c r="BM1784" s="4">
        <v>0.01</v>
      </c>
      <c r="BN1784" s="4">
        <v>0.5</v>
      </c>
      <c r="BS1784" s="4">
        <v>5</v>
      </c>
      <c r="BV1784" s="4">
        <v>2880</v>
      </c>
      <c r="BW1784" s="4">
        <v>25</v>
      </c>
      <c r="CB1784" s="4" t="s">
        <v>458</v>
      </c>
      <c r="CC1784" s="4">
        <v>50</v>
      </c>
      <c r="CT1784" s="4" t="s">
        <v>661</v>
      </c>
      <c r="CU1784" s="4">
        <v>0.02</v>
      </c>
      <c r="DO1784" s="4">
        <v>3</v>
      </c>
      <c r="DW1784" s="4">
        <v>6.3</v>
      </c>
      <c r="EA1784" s="4"/>
      <c r="ED1784" s="4">
        <v>6.3</v>
      </c>
    </row>
    <row r="1785" customHeight="1" spans="1:134">
      <c r="A1785" s="5">
        <v>62</v>
      </c>
      <c r="B1785" s="4" t="s">
        <v>1520</v>
      </c>
      <c r="C1785" s="40" t="s">
        <v>1424</v>
      </c>
      <c r="D1785" s="4" t="s">
        <v>300</v>
      </c>
      <c r="N1785" s="4" t="s">
        <v>567</v>
      </c>
      <c r="O1785" s="4" t="s">
        <v>343</v>
      </c>
      <c r="P1785" s="4">
        <v>3</v>
      </c>
      <c r="Q1785" s="4" t="s">
        <v>542</v>
      </c>
      <c r="T1785" s="4">
        <v>71.6</v>
      </c>
      <c r="U1785" s="4">
        <v>0.474</v>
      </c>
      <c r="V1785" s="4">
        <v>24.9</v>
      </c>
      <c r="AH1785" s="4" t="s">
        <v>1524</v>
      </c>
      <c r="AI1785" s="4" t="s">
        <v>1525</v>
      </c>
      <c r="AL1785" s="4" t="s">
        <v>1526</v>
      </c>
      <c r="BI1785" s="4" t="s">
        <v>321</v>
      </c>
      <c r="BK1785" s="4">
        <v>20</v>
      </c>
      <c r="BL1785" s="4">
        <v>1</v>
      </c>
      <c r="BM1785" s="4">
        <v>0</v>
      </c>
      <c r="BO1785" s="4">
        <v>0</v>
      </c>
      <c r="BV1785" s="4" t="s">
        <v>1527</v>
      </c>
      <c r="BW1785" s="4">
        <v>25</v>
      </c>
      <c r="CB1785" s="4" t="s">
        <v>458</v>
      </c>
      <c r="CC1785" s="4">
        <v>50</v>
      </c>
      <c r="DO1785" s="4">
        <v>3</v>
      </c>
      <c r="DS1785" s="36">
        <v>4.98</v>
      </c>
      <c r="DT1785" s="36">
        <v>0.04396</v>
      </c>
      <c r="DW1785" s="4"/>
      <c r="EA1785" s="4">
        <v>90.5</v>
      </c>
      <c r="ED1785" s="4">
        <v>90.5</v>
      </c>
    </row>
    <row r="1786" customHeight="1" spans="1:134">
      <c r="A1786" s="5">
        <v>62</v>
      </c>
      <c r="B1786" s="4" t="s">
        <v>1520</v>
      </c>
      <c r="C1786" s="40" t="s">
        <v>1424</v>
      </c>
      <c r="D1786" s="4" t="s">
        <v>300</v>
      </c>
      <c r="N1786" s="4" t="s">
        <v>567</v>
      </c>
      <c r="O1786" s="4" t="s">
        <v>343</v>
      </c>
      <c r="P1786" s="4">
        <v>3</v>
      </c>
      <c r="Q1786" s="4" t="s">
        <v>542</v>
      </c>
      <c r="T1786" s="4">
        <v>71.6</v>
      </c>
      <c r="U1786" s="4">
        <v>0.474</v>
      </c>
      <c r="V1786" s="4">
        <v>24.9</v>
      </c>
      <c r="AH1786" s="4" t="s">
        <v>1524</v>
      </c>
      <c r="AI1786" s="4" t="s">
        <v>1525</v>
      </c>
      <c r="AL1786" s="4" t="s">
        <v>1526</v>
      </c>
      <c r="BI1786" s="4" t="s">
        <v>321</v>
      </c>
      <c r="BK1786" s="4">
        <v>20</v>
      </c>
      <c r="BL1786" s="4">
        <v>1</v>
      </c>
      <c r="BM1786" s="4">
        <v>0.0025</v>
      </c>
      <c r="BO1786" s="4">
        <v>0.25</v>
      </c>
      <c r="BV1786" s="4" t="s">
        <v>1527</v>
      </c>
      <c r="BW1786" s="4">
        <v>25</v>
      </c>
      <c r="CB1786" s="4" t="s">
        <v>458</v>
      </c>
      <c r="CC1786" s="4">
        <v>50</v>
      </c>
      <c r="DO1786" s="4">
        <v>3</v>
      </c>
      <c r="DQ1786" s="36">
        <v>4.98</v>
      </c>
      <c r="DR1786" s="36">
        <v>0.04396</v>
      </c>
      <c r="DS1786" s="36">
        <v>3.71</v>
      </c>
      <c r="DT1786" s="36">
        <v>0.03297</v>
      </c>
      <c r="DW1786" s="4"/>
      <c r="EA1786" s="4">
        <v>92.88</v>
      </c>
      <c r="ED1786" s="4">
        <v>92.88</v>
      </c>
    </row>
    <row r="1787" customHeight="1" spans="1:134">
      <c r="A1787" s="5">
        <v>62</v>
      </c>
      <c r="B1787" s="4" t="s">
        <v>1520</v>
      </c>
      <c r="C1787" s="40" t="s">
        <v>1424</v>
      </c>
      <c r="D1787" s="4" t="s">
        <v>300</v>
      </c>
      <c r="N1787" s="4" t="s">
        <v>567</v>
      </c>
      <c r="O1787" s="4" t="s">
        <v>343</v>
      </c>
      <c r="P1787" s="4">
        <v>3</v>
      </c>
      <c r="Q1787" s="4" t="s">
        <v>542</v>
      </c>
      <c r="T1787" s="4">
        <v>71.6</v>
      </c>
      <c r="U1787" s="4">
        <v>0.474</v>
      </c>
      <c r="V1787" s="4">
        <v>24.9</v>
      </c>
      <c r="AH1787" s="4" t="s">
        <v>1524</v>
      </c>
      <c r="AI1787" s="4" t="s">
        <v>1525</v>
      </c>
      <c r="AL1787" s="4" t="s">
        <v>1526</v>
      </c>
      <c r="BI1787" s="4" t="s">
        <v>321</v>
      </c>
      <c r="BK1787" s="4">
        <v>20</v>
      </c>
      <c r="BL1787" s="4">
        <v>1</v>
      </c>
      <c r="BM1787" s="4">
        <v>0.005</v>
      </c>
      <c r="BO1787" s="4">
        <v>0.5</v>
      </c>
      <c r="BV1787" s="4" t="s">
        <v>1527</v>
      </c>
      <c r="BW1787" s="4">
        <v>25</v>
      </c>
      <c r="CB1787" s="4" t="s">
        <v>458</v>
      </c>
      <c r="CC1787" s="4">
        <v>50</v>
      </c>
      <c r="DO1787" s="4">
        <v>3</v>
      </c>
      <c r="DQ1787" s="36">
        <v>4.98</v>
      </c>
      <c r="DR1787" s="36">
        <v>0.04396</v>
      </c>
      <c r="DS1787" s="36">
        <v>3.21</v>
      </c>
      <c r="DT1787" s="36">
        <v>0.04396</v>
      </c>
      <c r="DW1787" s="4"/>
      <c r="EA1787" s="4">
        <v>93.86</v>
      </c>
      <c r="ED1787" s="4">
        <v>93.86</v>
      </c>
    </row>
    <row r="1788" customHeight="1" spans="1:134">
      <c r="A1788" s="5">
        <v>62</v>
      </c>
      <c r="B1788" s="4" t="s">
        <v>1520</v>
      </c>
      <c r="C1788" s="40" t="s">
        <v>1424</v>
      </c>
      <c r="D1788" s="4" t="s">
        <v>300</v>
      </c>
      <c r="N1788" s="4" t="s">
        <v>567</v>
      </c>
      <c r="O1788" s="4" t="s">
        <v>343</v>
      </c>
      <c r="P1788" s="4">
        <v>3</v>
      </c>
      <c r="Q1788" s="4" t="s">
        <v>542</v>
      </c>
      <c r="T1788" s="4">
        <v>71.6</v>
      </c>
      <c r="U1788" s="4">
        <v>0.474</v>
      </c>
      <c r="V1788" s="4">
        <v>24.9</v>
      </c>
      <c r="AH1788" s="4" t="s">
        <v>1524</v>
      </c>
      <c r="AI1788" s="4" t="s">
        <v>1525</v>
      </c>
      <c r="AL1788" s="4" t="s">
        <v>1526</v>
      </c>
      <c r="BI1788" s="4" t="s">
        <v>321</v>
      </c>
      <c r="BK1788" s="4">
        <v>20</v>
      </c>
      <c r="BL1788" s="4">
        <v>1</v>
      </c>
      <c r="BM1788" s="4">
        <v>0.01</v>
      </c>
      <c r="BO1788" s="4">
        <v>1</v>
      </c>
      <c r="BV1788" s="4" t="s">
        <v>1527</v>
      </c>
      <c r="BW1788" s="4">
        <v>25</v>
      </c>
      <c r="CB1788" s="4" t="s">
        <v>458</v>
      </c>
      <c r="CC1788" s="4">
        <v>50</v>
      </c>
      <c r="DO1788" s="4">
        <v>3</v>
      </c>
      <c r="DQ1788" s="36">
        <v>4.98</v>
      </c>
      <c r="DR1788" s="36">
        <v>0.04396</v>
      </c>
      <c r="DS1788" s="36">
        <v>2.45</v>
      </c>
      <c r="DT1788" s="36">
        <v>0.05495</v>
      </c>
      <c r="DW1788" s="4"/>
      <c r="EA1788" s="4">
        <v>95.32</v>
      </c>
      <c r="ED1788" s="4">
        <v>95.32</v>
      </c>
    </row>
    <row r="1789" customHeight="1" spans="1:134">
      <c r="A1789" s="5">
        <v>62</v>
      </c>
      <c r="B1789" s="4" t="s">
        <v>1520</v>
      </c>
      <c r="C1789" s="40" t="s">
        <v>1424</v>
      </c>
      <c r="D1789" s="4" t="s">
        <v>300</v>
      </c>
      <c r="N1789" s="4" t="s">
        <v>567</v>
      </c>
      <c r="O1789" s="4" t="s">
        <v>343</v>
      </c>
      <c r="P1789" s="4">
        <v>3</v>
      </c>
      <c r="Q1789" s="4" t="s">
        <v>542</v>
      </c>
      <c r="T1789" s="4">
        <v>71.6</v>
      </c>
      <c r="U1789" s="4">
        <v>0.474</v>
      </c>
      <c r="V1789" s="4">
        <v>24.9</v>
      </c>
      <c r="AH1789" s="4" t="s">
        <v>1524</v>
      </c>
      <c r="AI1789" s="4" t="s">
        <v>1525</v>
      </c>
      <c r="AL1789" s="4" t="s">
        <v>1526</v>
      </c>
      <c r="BI1789" s="4" t="s">
        <v>321</v>
      </c>
      <c r="BK1789" s="4">
        <v>20</v>
      </c>
      <c r="BL1789" s="4">
        <v>1</v>
      </c>
      <c r="BM1789" s="4">
        <v>0.02</v>
      </c>
      <c r="BO1789" s="4">
        <v>2</v>
      </c>
      <c r="BV1789" s="4" t="s">
        <v>1527</v>
      </c>
      <c r="BW1789" s="4">
        <v>25</v>
      </c>
      <c r="CB1789" s="4" t="s">
        <v>458</v>
      </c>
      <c r="CC1789" s="4">
        <v>50</v>
      </c>
      <c r="DO1789" s="4">
        <v>3</v>
      </c>
      <c r="DQ1789" s="36">
        <v>4.98</v>
      </c>
      <c r="DR1789" s="36">
        <v>0.04396</v>
      </c>
      <c r="DS1789" s="36">
        <v>1.49</v>
      </c>
      <c r="DT1789" s="36">
        <v>0.01099</v>
      </c>
      <c r="DW1789" s="4"/>
      <c r="EA1789" s="4">
        <v>97.14</v>
      </c>
      <c r="ED1789" s="4">
        <v>97.14</v>
      </c>
    </row>
    <row r="1790" customHeight="1" spans="1:134">
      <c r="A1790" s="5">
        <v>62</v>
      </c>
      <c r="B1790" s="4" t="s">
        <v>1520</v>
      </c>
      <c r="C1790" s="40" t="s">
        <v>1529</v>
      </c>
      <c r="D1790" s="4" t="s">
        <v>300</v>
      </c>
      <c r="N1790" s="4" t="s">
        <v>567</v>
      </c>
      <c r="O1790" s="4" t="s">
        <v>343</v>
      </c>
      <c r="P1790" s="4">
        <v>3</v>
      </c>
      <c r="Q1790" s="4" t="s">
        <v>540</v>
      </c>
      <c r="T1790" s="4">
        <v>3.3</v>
      </c>
      <c r="U1790" s="4">
        <v>0.0125</v>
      </c>
      <c r="V1790" s="4">
        <v>14</v>
      </c>
      <c r="BI1790" s="4" t="s">
        <v>309</v>
      </c>
      <c r="BN1790" s="4">
        <v>0.5</v>
      </c>
      <c r="BV1790" s="4" t="s">
        <v>1306</v>
      </c>
      <c r="BW1790" s="4">
        <v>25</v>
      </c>
      <c r="CB1790" s="4" t="s">
        <v>458</v>
      </c>
      <c r="CC1790" s="4">
        <v>50</v>
      </c>
      <c r="CV1790" s="4">
        <v>2880</v>
      </c>
      <c r="CX1790" s="4" t="s">
        <v>314</v>
      </c>
      <c r="DO1790" s="4">
        <v>3</v>
      </c>
      <c r="DW1790" s="4">
        <v>38</v>
      </c>
      <c r="EA1790" s="4">
        <v>38</v>
      </c>
      <c r="ED1790" s="4">
        <v>38</v>
      </c>
    </row>
    <row r="1791" customHeight="1" spans="1:134">
      <c r="A1791" s="5">
        <v>62</v>
      </c>
      <c r="B1791" s="4" t="s">
        <v>1520</v>
      </c>
      <c r="C1791" s="40" t="s">
        <v>1529</v>
      </c>
      <c r="D1791" s="4" t="s">
        <v>300</v>
      </c>
      <c r="N1791" s="4" t="s">
        <v>567</v>
      </c>
      <c r="O1791" s="4" t="s">
        <v>343</v>
      </c>
      <c r="P1791" s="4">
        <v>3</v>
      </c>
      <c r="Q1791" s="4" t="s">
        <v>540</v>
      </c>
      <c r="T1791" s="4">
        <v>3.3</v>
      </c>
      <c r="U1791" s="4">
        <v>0.0125</v>
      </c>
      <c r="V1791" s="4">
        <v>14</v>
      </c>
      <c r="BI1791" s="4" t="s">
        <v>309</v>
      </c>
      <c r="BN1791" s="4">
        <v>0.5</v>
      </c>
      <c r="BS1791" s="4">
        <v>5</v>
      </c>
      <c r="BV1791" s="4">
        <v>2880</v>
      </c>
      <c r="BW1791" s="4">
        <v>25</v>
      </c>
      <c r="CB1791" s="4" t="s">
        <v>458</v>
      </c>
      <c r="CC1791" s="4" t="s">
        <v>1423</v>
      </c>
      <c r="DB1791" s="4" t="s">
        <v>951</v>
      </c>
      <c r="DC1791" s="4">
        <v>50.3</v>
      </c>
      <c r="DO1791" s="4">
        <v>3</v>
      </c>
      <c r="DW1791" s="29">
        <v>50.3</v>
      </c>
      <c r="EA1791" s="4"/>
      <c r="ED1791" s="4"/>
    </row>
    <row r="1792" customHeight="1" spans="1:134">
      <c r="A1792" s="5">
        <v>62</v>
      </c>
      <c r="B1792" s="4" t="s">
        <v>1520</v>
      </c>
      <c r="C1792" s="40" t="s">
        <v>1529</v>
      </c>
      <c r="D1792" s="4" t="s">
        <v>300</v>
      </c>
      <c r="N1792" s="4" t="s">
        <v>567</v>
      </c>
      <c r="O1792" s="4" t="s">
        <v>343</v>
      </c>
      <c r="P1792" s="4">
        <v>3</v>
      </c>
      <c r="Q1792" s="4" t="s">
        <v>540</v>
      </c>
      <c r="T1792" s="4">
        <v>3.3</v>
      </c>
      <c r="U1792" s="4">
        <v>0.0125</v>
      </c>
      <c r="V1792" s="4">
        <v>14</v>
      </c>
      <c r="BI1792" s="4" t="s">
        <v>309</v>
      </c>
      <c r="BM1792" s="4">
        <v>0.01</v>
      </c>
      <c r="BN1792" s="4">
        <v>0.5</v>
      </c>
      <c r="BS1792" s="4">
        <v>5</v>
      </c>
      <c r="BV1792" s="4">
        <v>2880</v>
      </c>
      <c r="BW1792" s="4">
        <v>25</v>
      </c>
      <c r="CB1792" s="4" t="s">
        <v>458</v>
      </c>
      <c r="CC1792" s="4">
        <v>50</v>
      </c>
      <c r="CT1792" s="4" t="s">
        <v>1522</v>
      </c>
      <c r="CU1792" s="4">
        <v>0.02</v>
      </c>
      <c r="DO1792" s="4">
        <v>3</v>
      </c>
      <c r="DW1792" s="4">
        <v>36.6</v>
      </c>
      <c r="EA1792" s="4"/>
      <c r="ED1792" s="4">
        <v>36.6</v>
      </c>
    </row>
    <row r="1793" customHeight="1" spans="1:184">
      <c r="A1793" s="5">
        <v>62</v>
      </c>
      <c r="B1793" s="4" t="s">
        <v>1520</v>
      </c>
      <c r="C1793" s="40" t="s">
        <v>1529</v>
      </c>
      <c r="D1793" s="4" t="s">
        <v>300</v>
      </c>
      <c r="N1793" s="4" t="s">
        <v>567</v>
      </c>
      <c r="O1793" s="4" t="s">
        <v>343</v>
      </c>
      <c r="P1793" s="4">
        <v>3</v>
      </c>
      <c r="Q1793" s="4" t="s">
        <v>540</v>
      </c>
      <c r="T1793" s="4">
        <v>3.3</v>
      </c>
      <c r="U1793" s="4">
        <v>0.0125</v>
      </c>
      <c r="V1793" s="4">
        <v>14</v>
      </c>
      <c r="BI1793" s="4" t="s">
        <v>309</v>
      </c>
      <c r="BM1793" s="4">
        <v>0.01</v>
      </c>
      <c r="BN1793" s="4">
        <v>0.5</v>
      </c>
      <c r="BS1793" s="4">
        <v>5</v>
      </c>
      <c r="BV1793" s="4">
        <v>2880</v>
      </c>
      <c r="BW1793" s="4">
        <v>25</v>
      </c>
      <c r="CB1793" s="4" t="s">
        <v>458</v>
      </c>
      <c r="CC1793" s="4">
        <v>50</v>
      </c>
      <c r="CT1793" s="4" t="s">
        <v>1523</v>
      </c>
      <c r="CU1793" s="4">
        <v>0.02</v>
      </c>
      <c r="DO1793" s="4">
        <v>3</v>
      </c>
      <c r="DW1793" s="4">
        <v>32.7</v>
      </c>
      <c r="EA1793" s="4"/>
      <c r="ED1793" s="4">
        <v>32.7</v>
      </c>
    </row>
    <row r="1794" customHeight="1" spans="1:184">
      <c r="A1794" s="5">
        <v>62</v>
      </c>
      <c r="B1794" s="4" t="s">
        <v>1520</v>
      </c>
      <c r="C1794" s="40" t="s">
        <v>1529</v>
      </c>
      <c r="D1794" s="4" t="s">
        <v>300</v>
      </c>
      <c r="N1794" s="4" t="s">
        <v>567</v>
      </c>
      <c r="O1794" s="4" t="s">
        <v>343</v>
      </c>
      <c r="P1794" s="4">
        <v>3</v>
      </c>
      <c r="Q1794" s="4" t="s">
        <v>540</v>
      </c>
      <c r="T1794" s="4">
        <v>3.3</v>
      </c>
      <c r="U1794" s="4">
        <v>0.0125</v>
      </c>
      <c r="V1794" s="4">
        <v>14</v>
      </c>
      <c r="BI1794" s="4" t="s">
        <v>309</v>
      </c>
      <c r="BM1794" s="4">
        <v>0.01</v>
      </c>
      <c r="BN1794" s="4">
        <v>0.5</v>
      </c>
      <c r="BS1794" s="4">
        <v>5</v>
      </c>
      <c r="BV1794" s="4">
        <v>2880</v>
      </c>
      <c r="BW1794" s="4">
        <v>25</v>
      </c>
      <c r="CB1794" s="4" t="s">
        <v>458</v>
      </c>
      <c r="CC1794" s="4">
        <v>50</v>
      </c>
      <c r="CT1794" s="4" t="s">
        <v>536</v>
      </c>
      <c r="CU1794" s="4">
        <v>0.02</v>
      </c>
      <c r="DO1794" s="4">
        <v>3</v>
      </c>
      <c r="DW1794" s="4">
        <v>34.4</v>
      </c>
      <c r="EA1794" s="4"/>
      <c r="ED1794" s="4">
        <v>34.4</v>
      </c>
    </row>
    <row r="1795" customHeight="1" spans="1:184">
      <c r="A1795" s="5">
        <v>62</v>
      </c>
      <c r="B1795" s="4" t="s">
        <v>1520</v>
      </c>
      <c r="C1795" s="40" t="s">
        <v>1529</v>
      </c>
      <c r="D1795" s="4" t="s">
        <v>300</v>
      </c>
      <c r="N1795" s="4" t="s">
        <v>567</v>
      </c>
      <c r="O1795" s="4" t="s">
        <v>343</v>
      </c>
      <c r="P1795" s="4">
        <v>3</v>
      </c>
      <c r="Q1795" s="4" t="s">
        <v>540</v>
      </c>
      <c r="T1795" s="4">
        <v>3.3</v>
      </c>
      <c r="U1795" s="4">
        <v>0.0125</v>
      </c>
      <c r="V1795" s="4">
        <v>14</v>
      </c>
      <c r="BI1795" s="4" t="s">
        <v>309</v>
      </c>
      <c r="BM1795" s="4">
        <v>0.01</v>
      </c>
      <c r="BN1795" s="4">
        <v>0.5</v>
      </c>
      <c r="BS1795" s="4">
        <v>5</v>
      </c>
      <c r="BV1795" s="4">
        <v>2880</v>
      </c>
      <c r="BW1795" s="4">
        <v>25</v>
      </c>
      <c r="CB1795" s="4" t="s">
        <v>458</v>
      </c>
      <c r="CC1795" s="4">
        <v>50</v>
      </c>
      <c r="CT1795" s="4" t="s">
        <v>567</v>
      </c>
      <c r="CU1795" s="4">
        <v>0.02</v>
      </c>
      <c r="DO1795" s="4">
        <v>3</v>
      </c>
      <c r="DW1795" s="4">
        <v>18.1</v>
      </c>
      <c r="EA1795" s="4"/>
      <c r="ED1795" s="4">
        <v>18.1</v>
      </c>
    </row>
    <row r="1796" customHeight="1" spans="1:184">
      <c r="A1796" s="5">
        <v>62</v>
      </c>
      <c r="B1796" s="4" t="s">
        <v>1520</v>
      </c>
      <c r="C1796" s="40" t="s">
        <v>1529</v>
      </c>
      <c r="D1796" s="4" t="s">
        <v>300</v>
      </c>
      <c r="N1796" s="4" t="s">
        <v>567</v>
      </c>
      <c r="O1796" s="4" t="s">
        <v>343</v>
      </c>
      <c r="P1796" s="4">
        <v>3</v>
      </c>
      <c r="Q1796" s="4" t="s">
        <v>540</v>
      </c>
      <c r="T1796" s="4">
        <v>3.3</v>
      </c>
      <c r="U1796" s="4">
        <v>0.0125</v>
      </c>
      <c r="V1796" s="4">
        <v>14</v>
      </c>
      <c r="BI1796" s="4" t="s">
        <v>309</v>
      </c>
      <c r="BM1796" s="4">
        <v>0.01</v>
      </c>
      <c r="BN1796" s="4">
        <v>0.5</v>
      </c>
      <c r="BS1796" s="4">
        <v>5</v>
      </c>
      <c r="BV1796" s="4">
        <v>2880</v>
      </c>
      <c r="BW1796" s="4">
        <v>25</v>
      </c>
      <c r="CB1796" s="4" t="s">
        <v>458</v>
      </c>
      <c r="CC1796" s="4">
        <v>50</v>
      </c>
      <c r="CT1796" s="4" t="s">
        <v>661</v>
      </c>
      <c r="CU1796" s="4">
        <v>0.02</v>
      </c>
      <c r="DO1796" s="4">
        <v>3</v>
      </c>
      <c r="DW1796" s="4">
        <v>1.1</v>
      </c>
      <c r="EA1796" s="4"/>
      <c r="ED1796" s="4">
        <v>1.1</v>
      </c>
    </row>
    <row r="1797" customHeight="1" spans="1:184">
      <c r="A1797" s="5">
        <v>62</v>
      </c>
      <c r="B1797" s="4" t="s">
        <v>1520</v>
      </c>
      <c r="C1797" s="40" t="s">
        <v>1529</v>
      </c>
      <c r="D1797" s="4" t="s">
        <v>300</v>
      </c>
      <c r="N1797" s="4" t="s">
        <v>567</v>
      </c>
      <c r="O1797" s="4" t="s">
        <v>343</v>
      </c>
      <c r="P1797" s="4">
        <v>3</v>
      </c>
      <c r="Q1797" s="4" t="s">
        <v>540</v>
      </c>
      <c r="T1797" s="4">
        <v>3.3</v>
      </c>
      <c r="U1797" s="4">
        <v>0.0125</v>
      </c>
      <c r="AH1797" s="4" t="s">
        <v>1524</v>
      </c>
      <c r="AI1797" s="4" t="s">
        <v>1525</v>
      </c>
      <c r="AL1797" s="4" t="s">
        <v>1526</v>
      </c>
      <c r="BI1797" s="4" t="s">
        <v>321</v>
      </c>
      <c r="BK1797" s="4">
        <v>20</v>
      </c>
      <c r="BL1797" s="4">
        <v>1</v>
      </c>
      <c r="BM1797" s="4">
        <v>0</v>
      </c>
      <c r="BO1797" s="4">
        <v>0</v>
      </c>
      <c r="BV1797" s="4" t="s">
        <v>1527</v>
      </c>
      <c r="BW1797" s="4">
        <v>25</v>
      </c>
      <c r="CB1797" s="4" t="s">
        <v>458</v>
      </c>
      <c r="CC1797" s="4">
        <v>50</v>
      </c>
      <c r="DO1797" s="4">
        <v>3</v>
      </c>
      <c r="DS1797" s="36">
        <v>4.98</v>
      </c>
      <c r="DT1797" s="36">
        <v>0.04396</v>
      </c>
      <c r="DW1797" s="4"/>
      <c r="EA1797" s="4">
        <v>90.5</v>
      </c>
      <c r="ED1797" s="4">
        <v>90.5</v>
      </c>
    </row>
    <row r="1798" customHeight="1" spans="1:184">
      <c r="A1798" s="5">
        <v>62</v>
      </c>
      <c r="B1798" s="4" t="s">
        <v>1520</v>
      </c>
      <c r="C1798" s="40" t="s">
        <v>1529</v>
      </c>
      <c r="D1798" s="4" t="s">
        <v>300</v>
      </c>
      <c r="N1798" s="4" t="s">
        <v>567</v>
      </c>
      <c r="O1798" s="4" t="s">
        <v>343</v>
      </c>
      <c r="P1798" s="4">
        <v>3</v>
      </c>
      <c r="Q1798" s="4" t="s">
        <v>540</v>
      </c>
      <c r="T1798" s="4">
        <v>3.3</v>
      </c>
      <c r="U1798" s="4">
        <v>0.0125</v>
      </c>
      <c r="AH1798" s="4" t="s">
        <v>1524</v>
      </c>
      <c r="AI1798" s="4" t="s">
        <v>1525</v>
      </c>
      <c r="AL1798" s="4" t="s">
        <v>1526</v>
      </c>
      <c r="BI1798" s="4" t="s">
        <v>321</v>
      </c>
      <c r="BK1798" s="4">
        <v>20</v>
      </c>
      <c r="BL1798" s="4">
        <v>1</v>
      </c>
      <c r="BM1798" s="4">
        <v>0.0025</v>
      </c>
      <c r="BO1798" s="4">
        <v>0.25</v>
      </c>
      <c r="BV1798" s="4" t="s">
        <v>1527</v>
      </c>
      <c r="BW1798" s="4">
        <v>25</v>
      </c>
      <c r="CB1798" s="4" t="s">
        <v>458</v>
      </c>
      <c r="CC1798" s="4">
        <v>50</v>
      </c>
      <c r="DO1798" s="4">
        <v>3</v>
      </c>
      <c r="DQ1798" s="36">
        <v>4.98</v>
      </c>
      <c r="DR1798" s="36">
        <v>0.04396</v>
      </c>
      <c r="DS1798" s="36">
        <v>4.71</v>
      </c>
      <c r="DT1798" s="36">
        <v>0.18681</v>
      </c>
      <c r="DW1798" s="4"/>
      <c r="EA1798" s="4">
        <v>91</v>
      </c>
      <c r="ED1798" s="4">
        <v>91</v>
      </c>
    </row>
    <row r="1799" customHeight="1" spans="1:184">
      <c r="A1799" s="5">
        <v>62</v>
      </c>
      <c r="B1799" s="4" t="s">
        <v>1520</v>
      </c>
      <c r="C1799" s="40" t="s">
        <v>1529</v>
      </c>
      <c r="D1799" s="4" t="s">
        <v>300</v>
      </c>
      <c r="N1799" s="4" t="s">
        <v>567</v>
      </c>
      <c r="O1799" s="4" t="s">
        <v>343</v>
      </c>
      <c r="P1799" s="4">
        <v>3</v>
      </c>
      <c r="Q1799" s="4" t="s">
        <v>540</v>
      </c>
      <c r="T1799" s="4">
        <v>3.3</v>
      </c>
      <c r="U1799" s="4">
        <v>0.0125</v>
      </c>
      <c r="AH1799" s="4" t="s">
        <v>1524</v>
      </c>
      <c r="AI1799" s="4" t="s">
        <v>1525</v>
      </c>
      <c r="AL1799" s="4" t="s">
        <v>1526</v>
      </c>
      <c r="BI1799" s="4" t="s">
        <v>321</v>
      </c>
      <c r="BK1799" s="4">
        <v>20</v>
      </c>
      <c r="BL1799" s="4">
        <v>1</v>
      </c>
      <c r="BM1799" s="4">
        <v>0.005</v>
      </c>
      <c r="BO1799" s="4">
        <v>0.5</v>
      </c>
      <c r="BV1799" s="4" t="s">
        <v>1527</v>
      </c>
      <c r="BW1799" s="4">
        <v>25</v>
      </c>
      <c r="CB1799" s="4" t="s">
        <v>458</v>
      </c>
      <c r="CC1799" s="4">
        <v>50</v>
      </c>
      <c r="DO1799" s="4">
        <v>3</v>
      </c>
      <c r="DQ1799" s="36">
        <v>4.98</v>
      </c>
      <c r="DR1799" s="36">
        <v>0.04396</v>
      </c>
      <c r="DS1799" s="36">
        <v>4</v>
      </c>
      <c r="DT1799" s="36">
        <v>0.20879</v>
      </c>
      <c r="DW1799" s="4"/>
      <c r="EA1799" s="4">
        <v>92.36</v>
      </c>
      <c r="ED1799" s="4">
        <v>92.36</v>
      </c>
    </row>
    <row r="1800" customHeight="1" spans="1:184">
      <c r="A1800" s="5">
        <v>62</v>
      </c>
      <c r="B1800" s="4" t="s">
        <v>1520</v>
      </c>
      <c r="C1800" s="40" t="s">
        <v>1529</v>
      </c>
      <c r="D1800" s="4" t="s">
        <v>300</v>
      </c>
      <c r="N1800" s="4" t="s">
        <v>567</v>
      </c>
      <c r="O1800" s="4" t="s">
        <v>343</v>
      </c>
      <c r="P1800" s="4">
        <v>3</v>
      </c>
      <c r="Q1800" s="4" t="s">
        <v>540</v>
      </c>
      <c r="T1800" s="4">
        <v>3.3</v>
      </c>
      <c r="U1800" s="4">
        <v>0.0125</v>
      </c>
      <c r="AH1800" s="4" t="s">
        <v>1524</v>
      </c>
      <c r="AI1800" s="4" t="s">
        <v>1525</v>
      </c>
      <c r="AL1800" s="4" t="s">
        <v>1526</v>
      </c>
      <c r="BI1800" s="4" t="s">
        <v>321</v>
      </c>
      <c r="BK1800" s="4">
        <v>20</v>
      </c>
      <c r="BL1800" s="4">
        <v>1</v>
      </c>
      <c r="BM1800" s="4">
        <v>0.01</v>
      </c>
      <c r="BO1800" s="4">
        <v>1</v>
      </c>
      <c r="BV1800" s="4" t="s">
        <v>1527</v>
      </c>
      <c r="BW1800" s="4">
        <v>25</v>
      </c>
      <c r="CB1800" s="4" t="s">
        <v>458</v>
      </c>
      <c r="CC1800" s="4">
        <v>50</v>
      </c>
      <c r="DO1800" s="4">
        <v>3</v>
      </c>
      <c r="DQ1800" s="36">
        <v>4.98</v>
      </c>
      <c r="DR1800" s="36">
        <v>0.04396</v>
      </c>
      <c r="DS1800" s="36">
        <v>2.33</v>
      </c>
      <c r="DT1800" s="36">
        <v>0.12088</v>
      </c>
      <c r="DW1800" s="4"/>
      <c r="EA1800" s="4">
        <v>95.56</v>
      </c>
      <c r="ED1800" s="4">
        <v>95.56</v>
      </c>
    </row>
    <row r="1801" customHeight="1" spans="1:184">
      <c r="A1801" s="5">
        <v>62</v>
      </c>
      <c r="B1801" s="4" t="s">
        <v>1530</v>
      </c>
      <c r="C1801" s="40" t="s">
        <v>1529</v>
      </c>
      <c r="D1801" s="4" t="s">
        <v>300</v>
      </c>
      <c r="N1801" s="4" t="s">
        <v>567</v>
      </c>
      <c r="O1801" s="4" t="s">
        <v>343</v>
      </c>
      <c r="P1801" s="4">
        <v>3</v>
      </c>
      <c r="Q1801" s="4" t="s">
        <v>540</v>
      </c>
      <c r="T1801" s="4">
        <v>3.3</v>
      </c>
      <c r="U1801" s="4">
        <v>0.0125</v>
      </c>
      <c r="AH1801" s="4" t="s">
        <v>1524</v>
      </c>
      <c r="AI1801" s="4" t="s">
        <v>1525</v>
      </c>
      <c r="AL1801" s="4" t="s">
        <v>1526</v>
      </c>
      <c r="BI1801" s="4" t="s">
        <v>321</v>
      </c>
      <c r="BK1801" s="4">
        <v>20</v>
      </c>
      <c r="BL1801" s="4">
        <v>1</v>
      </c>
      <c r="BM1801" s="4">
        <v>0.02</v>
      </c>
      <c r="BO1801" s="4">
        <v>2</v>
      </c>
      <c r="BV1801" s="4" t="s">
        <v>1527</v>
      </c>
      <c r="BW1801" s="4">
        <v>25</v>
      </c>
      <c r="CB1801" s="4" t="s">
        <v>458</v>
      </c>
      <c r="CC1801" s="4">
        <v>50</v>
      </c>
      <c r="DO1801" s="4">
        <v>3</v>
      </c>
      <c r="DQ1801" s="36">
        <v>4.98</v>
      </c>
      <c r="DR1801" s="36">
        <v>0.04396</v>
      </c>
      <c r="DS1801" s="36">
        <v>1.05</v>
      </c>
      <c r="DT1801" s="36">
        <v>0.14286</v>
      </c>
      <c r="DW1801" s="4"/>
      <c r="EA1801" s="4">
        <v>97.98</v>
      </c>
      <c r="ED1801" s="4">
        <v>97.98</v>
      </c>
    </row>
    <row r="1802" customHeight="1" spans="1:184">
      <c r="A1802" s="3">
        <v>63</v>
      </c>
      <c r="B1802" s="4" t="s">
        <v>1531</v>
      </c>
      <c r="C1802" s="5" t="s">
        <v>1532</v>
      </c>
      <c r="D1802" s="4" t="s">
        <v>300</v>
      </c>
      <c r="H1802" s="4" t="s">
        <v>328</v>
      </c>
      <c r="I1802" s="4" t="s">
        <v>627</v>
      </c>
      <c r="N1802" s="4" t="s">
        <v>1533</v>
      </c>
      <c r="O1802" s="4" t="s">
        <v>502</v>
      </c>
      <c r="P1802" s="4">
        <v>3</v>
      </c>
      <c r="T1802" s="4">
        <v>78.7</v>
      </c>
      <c r="V1802" s="4">
        <v>10.99</v>
      </c>
      <c r="AH1802" s="4" t="s">
        <v>976</v>
      </c>
      <c r="AI1802" s="4" t="s">
        <v>1534</v>
      </c>
      <c r="AL1802" s="4" t="s">
        <v>1535</v>
      </c>
      <c r="AM1802" s="4">
        <v>7.42</v>
      </c>
      <c r="BD1802" s="4" t="s">
        <v>1536</v>
      </c>
      <c r="BI1802" s="4" t="s">
        <v>321</v>
      </c>
      <c r="BL1802" s="4">
        <v>120</v>
      </c>
      <c r="BM1802" s="4">
        <v>0</v>
      </c>
      <c r="BS1802" s="4">
        <v>7.42</v>
      </c>
      <c r="BV1802" s="4" t="s">
        <v>522</v>
      </c>
      <c r="CB1802" s="20" t="s">
        <v>319</v>
      </c>
      <c r="CC1802" s="4">
        <v>330</v>
      </c>
      <c r="CE1802" s="4" t="s">
        <v>526</v>
      </c>
      <c r="CW1802" s="4">
        <v>7.55</v>
      </c>
      <c r="DO1802" s="4">
        <v>3</v>
      </c>
      <c r="GA1802" s="4">
        <v>28.78</v>
      </c>
      <c r="GB1802" s="1">
        <v>1.38</v>
      </c>
    </row>
    <row r="1803" customHeight="1" spans="1:184">
      <c r="A1803" s="3">
        <v>63</v>
      </c>
      <c r="B1803" s="4" t="s">
        <v>1531</v>
      </c>
      <c r="C1803" s="5" t="s">
        <v>1532</v>
      </c>
      <c r="D1803" s="4" t="s">
        <v>300</v>
      </c>
      <c r="H1803" s="4" t="s">
        <v>328</v>
      </c>
      <c r="I1803" s="4" t="s">
        <v>627</v>
      </c>
      <c r="N1803" s="4" t="s">
        <v>1533</v>
      </c>
      <c r="O1803" s="4" t="s">
        <v>502</v>
      </c>
      <c r="P1803" s="4">
        <v>3</v>
      </c>
      <c r="T1803" s="4">
        <v>78.7</v>
      </c>
      <c r="V1803" s="4">
        <v>10.99</v>
      </c>
      <c r="AH1803" s="4" t="s">
        <v>976</v>
      </c>
      <c r="AI1803" s="4" t="s">
        <v>1534</v>
      </c>
      <c r="AL1803" s="4" t="s">
        <v>1535</v>
      </c>
      <c r="AM1803" s="4">
        <v>7.42</v>
      </c>
      <c r="BD1803" s="4" t="s">
        <v>1536</v>
      </c>
      <c r="BI1803" s="4" t="s">
        <v>321</v>
      </c>
      <c r="BL1803" s="4">
        <v>120</v>
      </c>
      <c r="BM1803" s="4">
        <v>0.6</v>
      </c>
      <c r="BS1803" s="4">
        <v>7.42</v>
      </c>
      <c r="BV1803" s="4" t="s">
        <v>522</v>
      </c>
      <c r="CB1803" s="20" t="s">
        <v>319</v>
      </c>
      <c r="CC1803" s="4">
        <v>330</v>
      </c>
      <c r="CE1803" s="4" t="s">
        <v>526</v>
      </c>
      <c r="CW1803" s="4">
        <v>7.77</v>
      </c>
      <c r="DO1803" s="4">
        <v>3</v>
      </c>
      <c r="GA1803" s="4">
        <v>20.69</v>
      </c>
      <c r="GB1803" s="1">
        <v>0.95</v>
      </c>
    </row>
    <row r="1804" customHeight="1" spans="1:184">
      <c r="A1804" s="3">
        <v>63</v>
      </c>
      <c r="B1804" s="4" t="s">
        <v>1531</v>
      </c>
      <c r="C1804" s="5" t="s">
        <v>1532</v>
      </c>
      <c r="D1804" s="4" t="s">
        <v>300</v>
      </c>
      <c r="H1804" s="4" t="s">
        <v>328</v>
      </c>
      <c r="I1804" s="4" t="s">
        <v>627</v>
      </c>
      <c r="N1804" s="4" t="s">
        <v>1533</v>
      </c>
      <c r="O1804" s="4" t="s">
        <v>502</v>
      </c>
      <c r="P1804" s="4">
        <v>3</v>
      </c>
      <c r="T1804" s="4">
        <v>78.7</v>
      </c>
      <c r="V1804" s="4">
        <v>10.99</v>
      </c>
      <c r="AH1804" s="4" t="s">
        <v>976</v>
      </c>
      <c r="AI1804" s="4" t="s">
        <v>1534</v>
      </c>
      <c r="AL1804" s="4" t="s">
        <v>1535</v>
      </c>
      <c r="AM1804" s="4">
        <v>7.42</v>
      </c>
      <c r="BD1804" s="4" t="s">
        <v>1536</v>
      </c>
      <c r="BI1804" s="4" t="s">
        <v>321</v>
      </c>
      <c r="BL1804" s="4">
        <v>120</v>
      </c>
      <c r="BM1804" s="4">
        <v>1.2</v>
      </c>
      <c r="BS1804" s="4">
        <v>7.42</v>
      </c>
      <c r="BV1804" s="4" t="s">
        <v>522</v>
      </c>
      <c r="CB1804" s="20" t="s">
        <v>319</v>
      </c>
      <c r="CC1804" s="4">
        <v>330</v>
      </c>
      <c r="CE1804" s="4" t="s">
        <v>526</v>
      </c>
      <c r="CW1804" s="4">
        <v>7.81</v>
      </c>
      <c r="DO1804" s="4">
        <v>3</v>
      </c>
      <c r="GA1804" s="4">
        <v>16.55</v>
      </c>
      <c r="GB1804" s="1">
        <v>1.28</v>
      </c>
    </row>
    <row r="1805" customHeight="1" spans="1:184">
      <c r="A1805" s="3">
        <v>63</v>
      </c>
      <c r="B1805" s="4" t="s">
        <v>1531</v>
      </c>
      <c r="C1805" s="5" t="s">
        <v>1532</v>
      </c>
      <c r="D1805" s="4" t="s">
        <v>300</v>
      </c>
      <c r="H1805" s="4" t="s">
        <v>328</v>
      </c>
      <c r="I1805" s="4" t="s">
        <v>627</v>
      </c>
      <c r="N1805" s="4" t="s">
        <v>1533</v>
      </c>
      <c r="O1805" s="4" t="s">
        <v>502</v>
      </c>
      <c r="P1805" s="4">
        <v>3</v>
      </c>
      <c r="T1805" s="4">
        <v>78.7</v>
      </c>
      <c r="V1805" s="4">
        <v>10.99</v>
      </c>
      <c r="AH1805" s="4" t="s">
        <v>976</v>
      </c>
      <c r="AI1805" s="4" t="s">
        <v>1534</v>
      </c>
      <c r="AL1805" s="4" t="s">
        <v>1535</v>
      </c>
      <c r="AM1805" s="4">
        <v>7.42</v>
      </c>
      <c r="BD1805" s="4" t="s">
        <v>1536</v>
      </c>
      <c r="BI1805" s="4" t="s">
        <v>321</v>
      </c>
      <c r="BL1805" s="4">
        <v>120</v>
      </c>
      <c r="BM1805" s="4">
        <v>3.6</v>
      </c>
      <c r="BS1805" s="4">
        <v>7.42</v>
      </c>
      <c r="BV1805" s="4" t="s">
        <v>522</v>
      </c>
      <c r="CB1805" s="20" t="s">
        <v>319</v>
      </c>
      <c r="CC1805" s="4">
        <v>330</v>
      </c>
      <c r="CE1805" s="4" t="s">
        <v>526</v>
      </c>
      <c r="CW1805" s="4">
        <v>7.9</v>
      </c>
      <c r="DO1805" s="4">
        <v>3</v>
      </c>
      <c r="GA1805" s="4">
        <v>13.37</v>
      </c>
      <c r="GB1805" s="1">
        <v>0.86</v>
      </c>
    </row>
    <row r="1806" customHeight="1" spans="1:184">
      <c r="A1806" s="3">
        <v>63</v>
      </c>
      <c r="B1806" s="4" t="s">
        <v>1531</v>
      </c>
      <c r="C1806" s="5" t="s">
        <v>1532</v>
      </c>
      <c r="D1806" s="4" t="s">
        <v>300</v>
      </c>
      <c r="H1806" s="4" t="s">
        <v>328</v>
      </c>
      <c r="I1806" s="4" t="s">
        <v>627</v>
      </c>
      <c r="N1806" s="4" t="s">
        <v>1533</v>
      </c>
      <c r="O1806" s="4" t="s">
        <v>502</v>
      </c>
      <c r="P1806" s="4">
        <v>3</v>
      </c>
      <c r="T1806" s="4">
        <v>78.7</v>
      </c>
      <c r="V1806" s="4">
        <v>10.99</v>
      </c>
      <c r="AH1806" s="4" t="s">
        <v>976</v>
      </c>
      <c r="AI1806" s="4" t="s">
        <v>1534</v>
      </c>
      <c r="AL1806" s="4" t="s">
        <v>1535</v>
      </c>
      <c r="AM1806" s="4">
        <v>7.42</v>
      </c>
      <c r="BD1806" s="4" t="s">
        <v>1536</v>
      </c>
      <c r="BI1806" s="4" t="s">
        <v>321</v>
      </c>
      <c r="BL1806" s="4">
        <v>120</v>
      </c>
      <c r="BM1806" s="4">
        <v>0</v>
      </c>
      <c r="BS1806" s="4">
        <v>7.42</v>
      </c>
      <c r="BV1806" s="4" t="s">
        <v>522</v>
      </c>
      <c r="CB1806" s="20" t="s">
        <v>319</v>
      </c>
      <c r="CC1806" s="4">
        <v>939</v>
      </c>
      <c r="CE1806" s="4" t="s">
        <v>526</v>
      </c>
      <c r="CW1806" s="4">
        <v>7.51</v>
      </c>
      <c r="DO1806" s="4">
        <v>3</v>
      </c>
      <c r="GA1806" s="4">
        <v>130.2</v>
      </c>
      <c r="GB1806" s="1">
        <v>4.06</v>
      </c>
    </row>
    <row r="1807" customHeight="1" spans="1:184">
      <c r="A1807" s="3">
        <v>63</v>
      </c>
      <c r="B1807" s="4" t="s">
        <v>1531</v>
      </c>
      <c r="C1807" s="5" t="s">
        <v>1532</v>
      </c>
      <c r="D1807" s="4" t="s">
        <v>300</v>
      </c>
      <c r="H1807" s="4" t="s">
        <v>328</v>
      </c>
      <c r="I1807" s="4" t="s">
        <v>627</v>
      </c>
      <c r="N1807" s="4" t="s">
        <v>1533</v>
      </c>
      <c r="O1807" s="4" t="s">
        <v>502</v>
      </c>
      <c r="P1807" s="4">
        <v>3</v>
      </c>
      <c r="T1807" s="4">
        <v>78.7</v>
      </c>
      <c r="V1807" s="4">
        <v>10.99</v>
      </c>
      <c r="AH1807" s="4" t="s">
        <v>976</v>
      </c>
      <c r="AI1807" s="4" t="s">
        <v>1534</v>
      </c>
      <c r="AL1807" s="4" t="s">
        <v>1535</v>
      </c>
      <c r="AM1807" s="4">
        <v>7.42</v>
      </c>
      <c r="BD1807" s="4" t="s">
        <v>1536</v>
      </c>
      <c r="BI1807" s="4" t="s">
        <v>321</v>
      </c>
      <c r="BL1807" s="4">
        <v>120</v>
      </c>
      <c r="BM1807" s="4">
        <v>0.6</v>
      </c>
      <c r="BS1807" s="4">
        <v>7.42</v>
      </c>
      <c r="BV1807" s="4" t="s">
        <v>522</v>
      </c>
      <c r="CB1807" s="20" t="s">
        <v>319</v>
      </c>
      <c r="CC1807" s="4">
        <v>939</v>
      </c>
      <c r="CE1807" s="4" t="s">
        <v>526</v>
      </c>
      <c r="CW1807" s="4">
        <v>7.59</v>
      </c>
      <c r="DO1807" s="4">
        <v>3</v>
      </c>
      <c r="GA1807" s="4">
        <v>70.06</v>
      </c>
      <c r="GB1807" s="1">
        <v>2.99</v>
      </c>
    </row>
    <row r="1808" customHeight="1" spans="1:184">
      <c r="A1808" s="3">
        <v>63</v>
      </c>
      <c r="B1808" s="4" t="s">
        <v>1531</v>
      </c>
      <c r="C1808" s="5" t="s">
        <v>1532</v>
      </c>
      <c r="D1808" s="4" t="s">
        <v>300</v>
      </c>
      <c r="H1808" s="4" t="s">
        <v>328</v>
      </c>
      <c r="I1808" s="4" t="s">
        <v>627</v>
      </c>
      <c r="N1808" s="4" t="s">
        <v>1533</v>
      </c>
      <c r="O1808" s="4" t="s">
        <v>502</v>
      </c>
      <c r="P1808" s="4">
        <v>3</v>
      </c>
      <c r="T1808" s="4">
        <v>78.7</v>
      </c>
      <c r="V1808" s="4">
        <v>10.99</v>
      </c>
      <c r="AH1808" s="4" t="s">
        <v>976</v>
      </c>
      <c r="AI1808" s="4" t="s">
        <v>1534</v>
      </c>
      <c r="AL1808" s="4" t="s">
        <v>1535</v>
      </c>
      <c r="AM1808" s="4">
        <v>7.42</v>
      </c>
      <c r="BD1808" s="4" t="s">
        <v>1536</v>
      </c>
      <c r="BI1808" s="4" t="s">
        <v>321</v>
      </c>
      <c r="BL1808" s="4">
        <v>120</v>
      </c>
      <c r="BM1808" s="4">
        <v>1.2</v>
      </c>
      <c r="BS1808" s="4">
        <v>7.42</v>
      </c>
      <c r="BV1808" s="4" t="s">
        <v>522</v>
      </c>
      <c r="CB1808" s="20" t="s">
        <v>319</v>
      </c>
      <c r="CC1808" s="4">
        <v>939</v>
      </c>
      <c r="CE1808" s="4" t="s">
        <v>526</v>
      </c>
      <c r="CW1808" s="4">
        <v>7.65</v>
      </c>
      <c r="DO1808" s="4">
        <v>3</v>
      </c>
      <c r="GA1808" s="4">
        <v>70.7</v>
      </c>
      <c r="GB1808" s="1">
        <v>1.07</v>
      </c>
    </row>
    <row r="1809" customHeight="1" spans="1:194">
      <c r="A1809" s="3">
        <v>63</v>
      </c>
      <c r="B1809" s="4" t="s">
        <v>1531</v>
      </c>
      <c r="C1809" s="5" t="s">
        <v>1532</v>
      </c>
      <c r="D1809" s="4" t="s">
        <v>300</v>
      </c>
      <c r="H1809" s="4" t="s">
        <v>328</v>
      </c>
      <c r="I1809" s="4" t="s">
        <v>627</v>
      </c>
      <c r="N1809" s="4" t="s">
        <v>1533</v>
      </c>
      <c r="O1809" s="4" t="s">
        <v>502</v>
      </c>
      <c r="P1809" s="4">
        <v>3</v>
      </c>
      <c r="T1809" s="4">
        <v>78.7</v>
      </c>
      <c r="V1809" s="4">
        <v>10.99</v>
      </c>
      <c r="AH1809" s="4" t="s">
        <v>976</v>
      </c>
      <c r="AI1809" s="4" t="s">
        <v>1534</v>
      </c>
      <c r="AL1809" s="4" t="s">
        <v>1535</v>
      </c>
      <c r="AM1809" s="4">
        <v>7.42</v>
      </c>
      <c r="BD1809" s="4" t="s">
        <v>1536</v>
      </c>
      <c r="BI1809" s="4" t="s">
        <v>321</v>
      </c>
      <c r="BL1809" s="4">
        <v>120</v>
      </c>
      <c r="BM1809" s="4">
        <v>3.6</v>
      </c>
      <c r="BS1809" s="4">
        <v>7.42</v>
      </c>
      <c r="BV1809" s="4" t="s">
        <v>522</v>
      </c>
      <c r="CB1809" s="20" t="s">
        <v>319</v>
      </c>
      <c r="CC1809" s="4">
        <v>939</v>
      </c>
      <c r="CE1809" s="4" t="s">
        <v>526</v>
      </c>
      <c r="CW1809" s="4">
        <v>7.78</v>
      </c>
      <c r="DO1809" s="4">
        <v>3</v>
      </c>
      <c r="GA1809" s="4">
        <v>60.26</v>
      </c>
      <c r="GB1809" s="1">
        <v>4.28</v>
      </c>
    </row>
    <row r="1810" customHeight="1" spans="1:194">
      <c r="A1810" s="3">
        <v>63</v>
      </c>
      <c r="B1810" s="4" t="s">
        <v>1531</v>
      </c>
      <c r="C1810" s="5" t="s">
        <v>1532</v>
      </c>
      <c r="D1810" s="4" t="s">
        <v>300</v>
      </c>
      <c r="H1810" s="4" t="s">
        <v>328</v>
      </c>
      <c r="I1810" s="4" t="s">
        <v>627</v>
      </c>
      <c r="N1810" s="4" t="s">
        <v>1533</v>
      </c>
      <c r="O1810" s="4" t="s">
        <v>502</v>
      </c>
      <c r="P1810" s="4">
        <v>3</v>
      </c>
      <c r="T1810" s="4">
        <v>78.7</v>
      </c>
      <c r="V1810" s="4">
        <v>10.99</v>
      </c>
      <c r="AH1810" s="4" t="s">
        <v>976</v>
      </c>
      <c r="AI1810" s="4" t="s">
        <v>1534</v>
      </c>
      <c r="AL1810" s="4" t="s">
        <v>1535</v>
      </c>
      <c r="AM1810" s="4">
        <v>7.42</v>
      </c>
      <c r="BD1810" s="4" t="s">
        <v>1536</v>
      </c>
      <c r="BI1810" s="4" t="s">
        <v>321</v>
      </c>
      <c r="BL1810" s="4">
        <v>120</v>
      </c>
      <c r="BM1810" s="4">
        <v>0</v>
      </c>
      <c r="BS1810" s="4">
        <v>7.42</v>
      </c>
      <c r="BV1810" s="4" t="s">
        <v>522</v>
      </c>
      <c r="CB1810" s="20" t="s">
        <v>319</v>
      </c>
      <c r="CC1810" s="4">
        <v>2878</v>
      </c>
      <c r="CE1810" s="4" t="s">
        <v>526</v>
      </c>
      <c r="CW1810" s="4">
        <v>7.71</v>
      </c>
      <c r="DO1810" s="4">
        <v>3</v>
      </c>
      <c r="GA1810" s="4">
        <v>261.99</v>
      </c>
      <c r="GB1810" s="1">
        <v>9.37</v>
      </c>
    </row>
    <row r="1811" customHeight="1" spans="1:194">
      <c r="A1811" s="3">
        <v>63</v>
      </c>
      <c r="B1811" s="4" t="s">
        <v>1531</v>
      </c>
      <c r="C1811" s="5" t="s">
        <v>1532</v>
      </c>
      <c r="D1811" s="4" t="s">
        <v>300</v>
      </c>
      <c r="H1811" s="4" t="s">
        <v>328</v>
      </c>
      <c r="I1811" s="4" t="s">
        <v>627</v>
      </c>
      <c r="N1811" s="4" t="s">
        <v>1533</v>
      </c>
      <c r="O1811" s="4" t="s">
        <v>502</v>
      </c>
      <c r="P1811" s="4">
        <v>3</v>
      </c>
      <c r="T1811" s="4">
        <v>78.7</v>
      </c>
      <c r="V1811" s="4">
        <v>10.99</v>
      </c>
      <c r="AH1811" s="4" t="s">
        <v>976</v>
      </c>
      <c r="AI1811" s="4" t="s">
        <v>1534</v>
      </c>
      <c r="AL1811" s="4" t="s">
        <v>1535</v>
      </c>
      <c r="AM1811" s="4">
        <v>7.42</v>
      </c>
      <c r="BD1811" s="4" t="s">
        <v>1536</v>
      </c>
      <c r="BI1811" s="4" t="s">
        <v>321</v>
      </c>
      <c r="BL1811" s="4">
        <v>120</v>
      </c>
      <c r="BM1811" s="4">
        <v>0.6</v>
      </c>
      <c r="BS1811" s="4">
        <v>7.42</v>
      </c>
      <c r="BV1811" s="4" t="s">
        <v>522</v>
      </c>
      <c r="CB1811" s="20" t="s">
        <v>319</v>
      </c>
      <c r="CC1811" s="4">
        <v>2878</v>
      </c>
      <c r="CE1811" s="4" t="s">
        <v>526</v>
      </c>
      <c r="CW1811" s="4">
        <v>7.52</v>
      </c>
      <c r="DO1811" s="4">
        <v>3</v>
      </c>
      <c r="GA1811" s="4">
        <v>181.84</v>
      </c>
      <c r="GB1811" s="1">
        <v>7.66</v>
      </c>
    </row>
    <row r="1812" customHeight="1" spans="1:194">
      <c r="A1812" s="3">
        <v>63</v>
      </c>
      <c r="B1812" s="4" t="s">
        <v>1531</v>
      </c>
      <c r="C1812" s="5" t="s">
        <v>1532</v>
      </c>
      <c r="D1812" s="4" t="s">
        <v>300</v>
      </c>
      <c r="H1812" s="4" t="s">
        <v>328</v>
      </c>
      <c r="I1812" s="4" t="s">
        <v>627</v>
      </c>
      <c r="N1812" s="4" t="s">
        <v>1533</v>
      </c>
      <c r="O1812" s="4" t="s">
        <v>502</v>
      </c>
      <c r="P1812" s="4">
        <v>3</v>
      </c>
      <c r="T1812" s="4">
        <v>78.7</v>
      </c>
      <c r="V1812" s="4">
        <v>10.99</v>
      </c>
      <c r="AH1812" s="4" t="s">
        <v>976</v>
      </c>
      <c r="AI1812" s="4" t="s">
        <v>1534</v>
      </c>
      <c r="AL1812" s="4" t="s">
        <v>1535</v>
      </c>
      <c r="AM1812" s="4">
        <v>7.42</v>
      </c>
      <c r="BD1812" s="4" t="s">
        <v>1536</v>
      </c>
      <c r="BI1812" s="4" t="s">
        <v>321</v>
      </c>
      <c r="BL1812" s="4">
        <v>120</v>
      </c>
      <c r="BM1812" s="4">
        <v>1.2</v>
      </c>
      <c r="BS1812" s="4">
        <v>7.42</v>
      </c>
      <c r="BV1812" s="4" t="s">
        <v>522</v>
      </c>
      <c r="CB1812" s="20" t="s">
        <v>319</v>
      </c>
      <c r="CC1812" s="4">
        <v>2878</v>
      </c>
      <c r="CE1812" s="4" t="s">
        <v>526</v>
      </c>
      <c r="CW1812" s="4">
        <v>7.68</v>
      </c>
      <c r="DO1812" s="4">
        <v>3</v>
      </c>
      <c r="GA1812" s="4">
        <v>151.57</v>
      </c>
      <c r="GB1812" s="1">
        <v>8.52</v>
      </c>
    </row>
    <row r="1813" customHeight="1" spans="1:194">
      <c r="A1813" s="3">
        <v>63</v>
      </c>
      <c r="B1813" s="4" t="s">
        <v>1531</v>
      </c>
      <c r="C1813" s="5" t="s">
        <v>1532</v>
      </c>
      <c r="D1813" s="4" t="s">
        <v>300</v>
      </c>
      <c r="H1813" s="4" t="s">
        <v>328</v>
      </c>
      <c r="I1813" s="4" t="s">
        <v>627</v>
      </c>
      <c r="N1813" s="4" t="s">
        <v>1533</v>
      </c>
      <c r="O1813" s="4" t="s">
        <v>502</v>
      </c>
      <c r="P1813" s="4">
        <v>3</v>
      </c>
      <c r="T1813" s="4">
        <v>78.7</v>
      </c>
      <c r="V1813" s="4">
        <v>10.99</v>
      </c>
      <c r="AH1813" s="4" t="s">
        <v>976</v>
      </c>
      <c r="AI1813" s="4" t="s">
        <v>1534</v>
      </c>
      <c r="AL1813" s="4" t="s">
        <v>1535</v>
      </c>
      <c r="AM1813" s="4">
        <v>7.42</v>
      </c>
      <c r="BD1813" s="4" t="s">
        <v>1536</v>
      </c>
      <c r="BI1813" s="4" t="s">
        <v>321</v>
      </c>
      <c r="BL1813" s="4">
        <v>120</v>
      </c>
      <c r="BM1813" s="4">
        <v>3.6</v>
      </c>
      <c r="BS1813" s="4">
        <v>7.42</v>
      </c>
      <c r="BV1813" s="4" t="s">
        <v>522</v>
      </c>
      <c r="CB1813" s="20" t="s">
        <v>319</v>
      </c>
      <c r="CC1813" s="4">
        <v>2878</v>
      </c>
      <c r="CE1813" s="4" t="s">
        <v>526</v>
      </c>
      <c r="CW1813" s="4">
        <v>7.79</v>
      </c>
      <c r="DO1813" s="4">
        <v>3</v>
      </c>
      <c r="GA1813" s="4">
        <v>133.24</v>
      </c>
      <c r="GB1813" s="1">
        <v>9.37</v>
      </c>
    </row>
    <row r="1814" customHeight="1" spans="1:194">
      <c r="A1814" s="3">
        <v>64</v>
      </c>
      <c r="C1814" s="5" t="s">
        <v>1537</v>
      </c>
      <c r="DO1814" s="4">
        <v>3</v>
      </c>
    </row>
    <row r="1815" customHeight="1" spans="1:194">
      <c r="A1815" s="48">
        <v>65</v>
      </c>
      <c r="B1815" s="4" t="s">
        <v>1538</v>
      </c>
      <c r="C1815" s="40" t="s">
        <v>1102</v>
      </c>
      <c r="E1815" s="4" t="s">
        <v>1539</v>
      </c>
      <c r="H1815" s="4" t="s">
        <v>328</v>
      </c>
      <c r="I1815" s="4" t="s">
        <v>888</v>
      </c>
      <c r="J1815" s="4">
        <v>70</v>
      </c>
      <c r="N1815" s="4" t="s">
        <v>567</v>
      </c>
      <c r="O1815" s="4" t="s">
        <v>343</v>
      </c>
      <c r="P1815" s="4">
        <v>2</v>
      </c>
      <c r="Q1815" s="4" t="s">
        <v>542</v>
      </c>
      <c r="T1815" s="4">
        <v>252.66</v>
      </c>
      <c r="U1815" s="4">
        <v>0.13</v>
      </c>
      <c r="V1815" s="4">
        <v>12.31</v>
      </c>
      <c r="AB1815" s="4" t="s">
        <v>1540</v>
      </c>
      <c r="AE1815" s="4" t="s">
        <v>1541</v>
      </c>
      <c r="AF1815" s="63" t="s">
        <v>1542</v>
      </c>
      <c r="AG1815" s="4" t="s">
        <v>1543</v>
      </c>
      <c r="AH1815" s="4" t="s">
        <v>1544</v>
      </c>
      <c r="AI1815" s="4" t="s">
        <v>1545</v>
      </c>
      <c r="AL1815" s="4" t="s">
        <v>1546</v>
      </c>
      <c r="AM1815" s="4" t="s">
        <v>1547</v>
      </c>
      <c r="AQ1815" s="4" t="s">
        <v>8</v>
      </c>
      <c r="AR1815" s="4">
        <v>0.42</v>
      </c>
      <c r="AS1815" s="4" t="s">
        <v>7</v>
      </c>
      <c r="AT1815" s="4">
        <v>0.5</v>
      </c>
      <c r="AU1815" s="4" t="s">
        <v>11</v>
      </c>
      <c r="AV1815" s="4">
        <v>1.92</v>
      </c>
      <c r="AW1815" s="4" t="s">
        <v>1117</v>
      </c>
      <c r="AX1815" s="4">
        <v>0.076</v>
      </c>
      <c r="AY1815" s="4" t="s">
        <v>1116</v>
      </c>
      <c r="AZ1815" s="4">
        <v>0.21</v>
      </c>
      <c r="BD1815" s="4" t="s">
        <v>1548</v>
      </c>
      <c r="BI1815" s="4" t="s">
        <v>321</v>
      </c>
      <c r="BL1815" s="4">
        <v>50</v>
      </c>
      <c r="BM1815" s="4">
        <v>0</v>
      </c>
      <c r="BO1815" s="4">
        <v>0</v>
      </c>
      <c r="BS1815" s="4">
        <v>5</v>
      </c>
      <c r="BV1815" s="4" t="s">
        <v>488</v>
      </c>
      <c r="BW1815" s="4" t="s">
        <v>323</v>
      </c>
      <c r="CB1815" s="4" t="s">
        <v>7</v>
      </c>
      <c r="CD1815" s="4">
        <v>50</v>
      </c>
      <c r="CE1815" s="4" t="s">
        <v>11</v>
      </c>
      <c r="CG1815" s="4">
        <v>50</v>
      </c>
      <c r="CH1815" s="4" t="s">
        <v>1117</v>
      </c>
      <c r="CJ1815" s="4">
        <v>21.34</v>
      </c>
      <c r="CK1815" s="4" t="s">
        <v>1116</v>
      </c>
      <c r="CM1815" s="4">
        <v>21.81</v>
      </c>
      <c r="DO1815" s="4">
        <v>3</v>
      </c>
      <c r="DS1815" s="4" t="s">
        <v>1549</v>
      </c>
      <c r="DT1815" s="1">
        <v>0.407</v>
      </c>
      <c r="EA1815" s="4"/>
      <c r="ED1815" s="4">
        <v>0</v>
      </c>
      <c r="GA1815" s="4" t="s">
        <v>1550</v>
      </c>
      <c r="GB1815" s="1">
        <v>0.578</v>
      </c>
      <c r="GI1815" s="4"/>
      <c r="GL1815" s="4"/>
    </row>
    <row r="1816" customHeight="1" spans="1:194">
      <c r="A1816" s="48">
        <v>65</v>
      </c>
      <c r="B1816" s="4" t="s">
        <v>1538</v>
      </c>
      <c r="C1816" s="40" t="s">
        <v>1102</v>
      </c>
      <c r="E1816" s="4" t="s">
        <v>1539</v>
      </c>
      <c r="H1816" s="4" t="s">
        <v>328</v>
      </c>
      <c r="I1816" s="4" t="s">
        <v>888</v>
      </c>
      <c r="J1816" s="4">
        <v>70</v>
      </c>
      <c r="N1816" s="4" t="s">
        <v>567</v>
      </c>
      <c r="O1816" s="4" t="s">
        <v>343</v>
      </c>
      <c r="P1816" s="4">
        <v>2</v>
      </c>
      <c r="Q1816" s="4" t="s">
        <v>542</v>
      </c>
      <c r="T1816" s="4">
        <v>252.66</v>
      </c>
      <c r="U1816" s="4">
        <v>0.13</v>
      </c>
      <c r="V1816" s="4">
        <v>12.31</v>
      </c>
      <c r="AB1816" s="4" t="s">
        <v>1540</v>
      </c>
      <c r="AE1816" s="4" t="s">
        <v>1541</v>
      </c>
      <c r="AF1816" s="63" t="s">
        <v>1542</v>
      </c>
      <c r="AG1816" s="4" t="s">
        <v>1543</v>
      </c>
      <c r="AH1816" s="4" t="s">
        <v>1544</v>
      </c>
      <c r="AI1816" s="4" t="s">
        <v>1545</v>
      </c>
      <c r="AL1816" s="4" t="s">
        <v>1546</v>
      </c>
      <c r="AM1816" s="4" t="s">
        <v>1547</v>
      </c>
      <c r="AQ1816" s="4" t="s">
        <v>8</v>
      </c>
      <c r="AR1816" s="4">
        <v>0.42</v>
      </c>
      <c r="AS1816" s="4" t="s">
        <v>7</v>
      </c>
      <c r="AT1816" s="4">
        <v>0.5</v>
      </c>
      <c r="AU1816" s="4" t="s">
        <v>11</v>
      </c>
      <c r="AV1816" s="4">
        <v>1.92</v>
      </c>
      <c r="AW1816" s="4" t="s">
        <v>1117</v>
      </c>
      <c r="AX1816" s="4">
        <v>0.076</v>
      </c>
      <c r="AY1816" s="4" t="s">
        <v>1116</v>
      </c>
      <c r="AZ1816" s="4">
        <v>0.21</v>
      </c>
      <c r="BD1816" s="4" t="s">
        <v>1548</v>
      </c>
      <c r="BI1816" s="4" t="s">
        <v>321</v>
      </c>
      <c r="BL1816" s="4">
        <v>50</v>
      </c>
      <c r="BM1816" s="4">
        <v>0.5</v>
      </c>
      <c r="BO1816" s="4">
        <v>0.01</v>
      </c>
      <c r="BS1816" s="4">
        <v>5</v>
      </c>
      <c r="BV1816" s="4" t="s">
        <v>488</v>
      </c>
      <c r="BW1816" s="4" t="s">
        <v>323</v>
      </c>
      <c r="CB1816" s="4" t="s">
        <v>7</v>
      </c>
      <c r="CD1816" s="4">
        <v>50</v>
      </c>
      <c r="CE1816" s="4" t="s">
        <v>11</v>
      </c>
      <c r="CG1816" s="4">
        <v>50</v>
      </c>
      <c r="CH1816" s="4" t="s">
        <v>1117</v>
      </c>
      <c r="CJ1816" s="4">
        <v>21.34</v>
      </c>
      <c r="CK1816" s="4" t="s">
        <v>1116</v>
      </c>
      <c r="CM1816" s="4">
        <v>21.81</v>
      </c>
      <c r="DO1816" s="4">
        <v>3</v>
      </c>
      <c r="DS1816" s="4">
        <v>9.56</v>
      </c>
      <c r="DT1816" s="1">
        <v>0.131</v>
      </c>
      <c r="EA1816" s="4">
        <v>55.2014995313964</v>
      </c>
      <c r="ED1816" s="4">
        <v>55.2014995313964</v>
      </c>
      <c r="GA1816" s="4">
        <v>12.83</v>
      </c>
      <c r="GB1816" s="1">
        <v>0.225</v>
      </c>
      <c r="GI1816" s="4">
        <v>41.1737734983952</v>
      </c>
      <c r="GL1816" s="4">
        <v>41.1737734983952</v>
      </c>
    </row>
    <row r="1817" customHeight="1" spans="1:194">
      <c r="A1817" s="48">
        <v>65</v>
      </c>
      <c r="B1817" s="4" t="s">
        <v>1538</v>
      </c>
      <c r="C1817" s="40" t="s">
        <v>1102</v>
      </c>
      <c r="E1817" s="4" t="s">
        <v>1539</v>
      </c>
      <c r="H1817" s="4" t="s">
        <v>328</v>
      </c>
      <c r="I1817" s="4" t="s">
        <v>888</v>
      </c>
      <c r="J1817" s="4">
        <v>70</v>
      </c>
      <c r="N1817" s="4" t="s">
        <v>567</v>
      </c>
      <c r="O1817" s="4" t="s">
        <v>343</v>
      </c>
      <c r="P1817" s="4">
        <v>2</v>
      </c>
      <c r="Q1817" s="4" t="s">
        <v>542</v>
      </c>
      <c r="T1817" s="4">
        <v>252.66</v>
      </c>
      <c r="U1817" s="4">
        <v>0.13</v>
      </c>
      <c r="V1817" s="4">
        <v>12.31</v>
      </c>
      <c r="AB1817" s="4" t="s">
        <v>1540</v>
      </c>
      <c r="AE1817" s="4" t="s">
        <v>1541</v>
      </c>
      <c r="AF1817" s="63" t="s">
        <v>1542</v>
      </c>
      <c r="AG1817" s="4" t="s">
        <v>1543</v>
      </c>
      <c r="AH1817" s="4" t="s">
        <v>1544</v>
      </c>
      <c r="AI1817" s="4" t="s">
        <v>1545</v>
      </c>
      <c r="AL1817" s="4" t="s">
        <v>1546</v>
      </c>
      <c r="AM1817" s="4" t="s">
        <v>1547</v>
      </c>
      <c r="AQ1817" s="4" t="s">
        <v>8</v>
      </c>
      <c r="AR1817" s="4">
        <v>0.42</v>
      </c>
      <c r="AS1817" s="4" t="s">
        <v>7</v>
      </c>
      <c r="AT1817" s="4">
        <v>0.5</v>
      </c>
      <c r="AU1817" s="4" t="s">
        <v>11</v>
      </c>
      <c r="AV1817" s="4">
        <v>1.92</v>
      </c>
      <c r="AW1817" s="4" t="s">
        <v>1117</v>
      </c>
      <c r="AX1817" s="4">
        <v>0.076</v>
      </c>
      <c r="AY1817" s="4" t="s">
        <v>1116</v>
      </c>
      <c r="AZ1817" s="4">
        <v>0.21</v>
      </c>
      <c r="BD1817" s="4" t="s">
        <v>1548</v>
      </c>
      <c r="BI1817" s="4" t="s">
        <v>321</v>
      </c>
      <c r="BL1817" s="4">
        <v>50</v>
      </c>
      <c r="BM1817" s="4">
        <v>1.5</v>
      </c>
      <c r="BO1817" s="4">
        <v>0.03</v>
      </c>
      <c r="BS1817" s="4">
        <v>5</v>
      </c>
      <c r="BV1817" s="4" t="s">
        <v>488</v>
      </c>
      <c r="BW1817" s="4" t="s">
        <v>323</v>
      </c>
      <c r="CB1817" s="4" t="s">
        <v>7</v>
      </c>
      <c r="CD1817" s="4">
        <v>50</v>
      </c>
      <c r="CE1817" s="4" t="s">
        <v>11</v>
      </c>
      <c r="CG1817" s="4">
        <v>50</v>
      </c>
      <c r="CH1817" s="4" t="s">
        <v>1117</v>
      </c>
      <c r="CJ1817" s="4">
        <v>21.34</v>
      </c>
      <c r="CK1817" s="4" t="s">
        <v>1116</v>
      </c>
      <c r="CM1817" s="4">
        <v>21.81</v>
      </c>
      <c r="DO1817" s="4">
        <v>3</v>
      </c>
      <c r="DS1817" s="4">
        <v>6.32</v>
      </c>
      <c r="DT1817" s="1">
        <v>0.433</v>
      </c>
      <c r="EA1817" s="4">
        <v>70.3842549203374</v>
      </c>
      <c r="ED1817" s="4">
        <v>70.3842549203374</v>
      </c>
      <c r="GA1817" s="4">
        <v>7.11</v>
      </c>
      <c r="GB1817" s="1">
        <v>0.64</v>
      </c>
      <c r="GI1817" s="4">
        <v>67.4002751031637</v>
      </c>
      <c r="GL1817" s="4">
        <v>67.4002751031637</v>
      </c>
    </row>
    <row r="1818" customHeight="1" spans="1:194">
      <c r="A1818" s="48">
        <v>65</v>
      </c>
      <c r="B1818" s="4" t="s">
        <v>1538</v>
      </c>
      <c r="C1818" s="40" t="s">
        <v>1102</v>
      </c>
      <c r="E1818" s="4" t="s">
        <v>1539</v>
      </c>
      <c r="H1818" s="4" t="s">
        <v>328</v>
      </c>
      <c r="I1818" s="4" t="s">
        <v>888</v>
      </c>
      <c r="J1818" s="4">
        <v>70</v>
      </c>
      <c r="N1818" s="4" t="s">
        <v>567</v>
      </c>
      <c r="O1818" s="4" t="s">
        <v>343</v>
      </c>
      <c r="P1818" s="4">
        <v>2</v>
      </c>
      <c r="Q1818" s="4" t="s">
        <v>542</v>
      </c>
      <c r="T1818" s="4">
        <v>252.66</v>
      </c>
      <c r="U1818" s="4">
        <v>0.13</v>
      </c>
      <c r="V1818" s="4">
        <v>12.31</v>
      </c>
      <c r="AB1818" s="4" t="s">
        <v>1540</v>
      </c>
      <c r="AE1818" s="4" t="s">
        <v>1541</v>
      </c>
      <c r="AF1818" s="63" t="s">
        <v>1542</v>
      </c>
      <c r="AG1818" s="4" t="s">
        <v>1543</v>
      </c>
      <c r="AH1818" s="4" t="s">
        <v>1544</v>
      </c>
      <c r="AI1818" s="4" t="s">
        <v>1545</v>
      </c>
      <c r="AL1818" s="4" t="s">
        <v>1546</v>
      </c>
      <c r="AM1818" s="4" t="s">
        <v>1547</v>
      </c>
      <c r="AQ1818" s="4" t="s">
        <v>8</v>
      </c>
      <c r="AR1818" s="4">
        <v>0.42</v>
      </c>
      <c r="AS1818" s="4" t="s">
        <v>7</v>
      </c>
      <c r="AT1818" s="4">
        <v>0.5</v>
      </c>
      <c r="AU1818" s="4" t="s">
        <v>11</v>
      </c>
      <c r="AV1818" s="4">
        <v>1.92</v>
      </c>
      <c r="AW1818" s="4" t="s">
        <v>1117</v>
      </c>
      <c r="AX1818" s="4">
        <v>0.076</v>
      </c>
      <c r="AY1818" s="4" t="s">
        <v>1116</v>
      </c>
      <c r="AZ1818" s="4">
        <v>0.21</v>
      </c>
      <c r="BD1818" s="4" t="s">
        <v>1548</v>
      </c>
      <c r="BI1818" s="4" t="s">
        <v>321</v>
      </c>
      <c r="BL1818" s="4">
        <v>50</v>
      </c>
      <c r="BM1818" s="4">
        <v>2.5</v>
      </c>
      <c r="BO1818" s="4">
        <v>0.05</v>
      </c>
      <c r="BS1818" s="4">
        <v>5</v>
      </c>
      <c r="BV1818" s="4" t="s">
        <v>488</v>
      </c>
      <c r="BW1818" s="4" t="s">
        <v>323</v>
      </c>
      <c r="CB1818" s="4" t="s">
        <v>7</v>
      </c>
      <c r="CD1818" s="4">
        <v>50</v>
      </c>
      <c r="CE1818" s="4" t="s">
        <v>11</v>
      </c>
      <c r="CG1818" s="4">
        <v>50</v>
      </c>
      <c r="CH1818" s="4" t="s">
        <v>1117</v>
      </c>
      <c r="CJ1818" s="4">
        <v>21.34</v>
      </c>
      <c r="CK1818" s="4" t="s">
        <v>1116</v>
      </c>
      <c r="CM1818" s="4">
        <v>21.81</v>
      </c>
      <c r="DO1818" s="4">
        <v>3</v>
      </c>
      <c r="DS1818" s="4">
        <v>6.56</v>
      </c>
      <c r="DT1818" s="1">
        <v>0.07</v>
      </c>
      <c r="EA1818" s="4">
        <v>69.2596063730084</v>
      </c>
      <c r="ED1818" s="4">
        <v>69.2596063730084</v>
      </c>
      <c r="GA1818" s="4">
        <v>6.82</v>
      </c>
      <c r="GB1818" s="1">
        <v>0.219</v>
      </c>
      <c r="GI1818" s="4">
        <v>68.7299403943145</v>
      </c>
      <c r="GL1818" s="4">
        <v>68.7299403943145</v>
      </c>
    </row>
    <row r="1819" customHeight="1" spans="1:194">
      <c r="A1819" s="48">
        <v>65</v>
      </c>
      <c r="B1819" s="4" t="s">
        <v>1538</v>
      </c>
      <c r="C1819" s="40" t="s">
        <v>1102</v>
      </c>
      <c r="E1819" s="4" t="s">
        <v>1539</v>
      </c>
      <c r="H1819" s="4" t="s">
        <v>328</v>
      </c>
      <c r="I1819" s="4" t="s">
        <v>888</v>
      </c>
      <c r="J1819" s="4">
        <v>70</v>
      </c>
      <c r="N1819" s="4" t="s">
        <v>567</v>
      </c>
      <c r="O1819" s="4" t="s">
        <v>343</v>
      </c>
      <c r="P1819" s="4">
        <v>2</v>
      </c>
      <c r="Q1819" s="4" t="s">
        <v>542</v>
      </c>
      <c r="T1819" s="4">
        <v>252.66</v>
      </c>
      <c r="U1819" s="4">
        <v>0.13</v>
      </c>
      <c r="V1819" s="4">
        <v>12.31</v>
      </c>
      <c r="AB1819" s="4" t="s">
        <v>1540</v>
      </c>
      <c r="AE1819" s="4" t="s">
        <v>1541</v>
      </c>
      <c r="AF1819" s="63" t="s">
        <v>1542</v>
      </c>
      <c r="AG1819" s="4" t="s">
        <v>1543</v>
      </c>
      <c r="AH1819" s="4" t="s">
        <v>1544</v>
      </c>
      <c r="AI1819" s="4" t="s">
        <v>1545</v>
      </c>
      <c r="AL1819" s="4" t="s">
        <v>1546</v>
      </c>
      <c r="AM1819" s="4" t="s">
        <v>1547</v>
      </c>
      <c r="AQ1819" s="4" t="s">
        <v>8</v>
      </c>
      <c r="AR1819" s="4">
        <v>0.42</v>
      </c>
      <c r="AS1819" s="4" t="s">
        <v>7</v>
      </c>
      <c r="AT1819" s="4">
        <v>0.5</v>
      </c>
      <c r="AU1819" s="4" t="s">
        <v>11</v>
      </c>
      <c r="AV1819" s="4">
        <v>1.92</v>
      </c>
      <c r="AW1819" s="4" t="s">
        <v>1117</v>
      </c>
      <c r="AX1819" s="4">
        <v>0.076</v>
      </c>
      <c r="AY1819" s="4" t="s">
        <v>1116</v>
      </c>
      <c r="AZ1819" s="4">
        <v>0.21</v>
      </c>
      <c r="BD1819" s="4" t="s">
        <v>1548</v>
      </c>
      <c r="BI1819" s="4" t="s">
        <v>321</v>
      </c>
      <c r="BL1819" s="4">
        <v>50</v>
      </c>
      <c r="BM1819" s="4">
        <v>1.5</v>
      </c>
      <c r="BO1819" s="4">
        <v>0</v>
      </c>
      <c r="BS1819" s="4" t="s">
        <v>1551</v>
      </c>
      <c r="BV1819" s="4" t="s">
        <v>488</v>
      </c>
      <c r="BW1819" s="4" t="s">
        <v>323</v>
      </c>
      <c r="CB1819" s="4" t="s">
        <v>7</v>
      </c>
      <c r="CD1819" s="4">
        <v>50</v>
      </c>
      <c r="CE1819" s="4" t="s">
        <v>11</v>
      </c>
      <c r="CG1819" s="4">
        <v>50</v>
      </c>
      <c r="CH1819" s="4" t="s">
        <v>1117</v>
      </c>
      <c r="CJ1819" s="4">
        <v>21.96</v>
      </c>
      <c r="CK1819" s="4" t="s">
        <v>1116</v>
      </c>
      <c r="CM1819" s="4">
        <v>22.03</v>
      </c>
      <c r="DO1819" s="4">
        <v>3</v>
      </c>
      <c r="DS1819" s="4">
        <v>21.96</v>
      </c>
      <c r="DT1819" s="1">
        <v>0.853</v>
      </c>
      <c r="EA1819" s="4"/>
      <c r="ED1819" s="4">
        <v>0</v>
      </c>
      <c r="GA1819" s="4">
        <v>22.03</v>
      </c>
      <c r="GB1819" s="1">
        <v>0.536</v>
      </c>
      <c r="GI1819" s="4"/>
      <c r="GL1819" s="4"/>
    </row>
    <row r="1820" customHeight="1" spans="1:194">
      <c r="A1820" s="48">
        <v>65</v>
      </c>
      <c r="B1820" s="4" t="s">
        <v>1538</v>
      </c>
      <c r="C1820" s="40" t="s">
        <v>1102</v>
      </c>
      <c r="E1820" s="4" t="s">
        <v>1539</v>
      </c>
      <c r="H1820" s="4" t="s">
        <v>328</v>
      </c>
      <c r="I1820" s="4" t="s">
        <v>888</v>
      </c>
      <c r="J1820" s="4">
        <v>70</v>
      </c>
      <c r="N1820" s="4" t="s">
        <v>567</v>
      </c>
      <c r="O1820" s="4" t="s">
        <v>343</v>
      </c>
      <c r="P1820" s="4">
        <v>2</v>
      </c>
      <c r="Q1820" s="4" t="s">
        <v>542</v>
      </c>
      <c r="T1820" s="4">
        <v>252.66</v>
      </c>
      <c r="U1820" s="4">
        <v>0.13</v>
      </c>
      <c r="V1820" s="4">
        <v>12.31</v>
      </c>
      <c r="AB1820" s="4" t="s">
        <v>1540</v>
      </c>
      <c r="AE1820" s="4" t="s">
        <v>1541</v>
      </c>
      <c r="AF1820" s="63" t="s">
        <v>1542</v>
      </c>
      <c r="AG1820" s="4" t="s">
        <v>1543</v>
      </c>
      <c r="AH1820" s="4" t="s">
        <v>1544</v>
      </c>
      <c r="AI1820" s="4" t="s">
        <v>1545</v>
      </c>
      <c r="AL1820" s="4" t="s">
        <v>1546</v>
      </c>
      <c r="AM1820" s="4" t="s">
        <v>1547</v>
      </c>
      <c r="AQ1820" s="4" t="s">
        <v>8</v>
      </c>
      <c r="AR1820" s="4">
        <v>0.42</v>
      </c>
      <c r="AS1820" s="4" t="s">
        <v>7</v>
      </c>
      <c r="AT1820" s="4">
        <v>0.5</v>
      </c>
      <c r="AU1820" s="4" t="s">
        <v>11</v>
      </c>
      <c r="AV1820" s="4">
        <v>1.92</v>
      </c>
      <c r="AW1820" s="4" t="s">
        <v>1117</v>
      </c>
      <c r="AX1820" s="4">
        <v>0.076</v>
      </c>
      <c r="AY1820" s="4" t="s">
        <v>1116</v>
      </c>
      <c r="AZ1820" s="4">
        <v>0.21</v>
      </c>
      <c r="BD1820" s="4" t="s">
        <v>1548</v>
      </c>
      <c r="BI1820" s="4" t="s">
        <v>321</v>
      </c>
      <c r="BL1820" s="4">
        <v>50</v>
      </c>
      <c r="BM1820" s="4">
        <v>1.5</v>
      </c>
      <c r="BO1820" s="4">
        <v>0.03</v>
      </c>
      <c r="BS1820" s="4">
        <v>5</v>
      </c>
      <c r="BV1820" s="4" t="s">
        <v>488</v>
      </c>
      <c r="BW1820" s="4" t="s">
        <v>323</v>
      </c>
      <c r="CB1820" s="4" t="s">
        <v>7</v>
      </c>
      <c r="CD1820" s="4">
        <v>50</v>
      </c>
      <c r="CE1820" s="4" t="s">
        <v>11</v>
      </c>
      <c r="CG1820" s="4">
        <v>50</v>
      </c>
      <c r="CH1820" s="4" t="s">
        <v>1117</v>
      </c>
      <c r="CJ1820" s="4">
        <v>21.96</v>
      </c>
      <c r="CK1820" s="4" t="s">
        <v>1116</v>
      </c>
      <c r="CM1820" s="4">
        <v>22.03</v>
      </c>
      <c r="DO1820" s="4">
        <v>3</v>
      </c>
      <c r="DS1820" s="4">
        <v>14.24</v>
      </c>
      <c r="DT1820" s="1">
        <v>0.655</v>
      </c>
      <c r="EA1820" s="4">
        <v>35.1548269581057</v>
      </c>
      <c r="ED1820" s="4">
        <v>35.1548269581057</v>
      </c>
      <c r="GA1820" s="4">
        <v>15.78</v>
      </c>
      <c r="GB1820" s="1">
        <v>0.586</v>
      </c>
      <c r="GI1820" s="4">
        <v>28.3704039945529</v>
      </c>
      <c r="GL1820" s="4">
        <v>28.3704039945529</v>
      </c>
    </row>
    <row r="1821" customHeight="1" spans="1:194">
      <c r="A1821" s="48">
        <v>65</v>
      </c>
      <c r="B1821" s="4" t="s">
        <v>1538</v>
      </c>
      <c r="C1821" s="40" t="s">
        <v>1102</v>
      </c>
      <c r="E1821" s="4" t="s">
        <v>1539</v>
      </c>
      <c r="H1821" s="4" t="s">
        <v>328</v>
      </c>
      <c r="I1821" s="4" t="s">
        <v>888</v>
      </c>
      <c r="J1821" s="4">
        <v>70</v>
      </c>
      <c r="N1821" s="4" t="s">
        <v>567</v>
      </c>
      <c r="O1821" s="4" t="s">
        <v>343</v>
      </c>
      <c r="P1821" s="4">
        <v>2</v>
      </c>
      <c r="Q1821" s="4" t="s">
        <v>542</v>
      </c>
      <c r="T1821" s="4">
        <v>252.66</v>
      </c>
      <c r="U1821" s="4">
        <v>0.13</v>
      </c>
      <c r="V1821" s="4">
        <v>12.31</v>
      </c>
      <c r="AB1821" s="4" t="s">
        <v>1540</v>
      </c>
      <c r="AE1821" s="4" t="s">
        <v>1541</v>
      </c>
      <c r="AF1821" s="63" t="s">
        <v>1542</v>
      </c>
      <c r="AG1821" s="4" t="s">
        <v>1543</v>
      </c>
      <c r="AH1821" s="4" t="s">
        <v>1544</v>
      </c>
      <c r="AI1821" s="4" t="s">
        <v>1545</v>
      </c>
      <c r="AL1821" s="4" t="s">
        <v>1546</v>
      </c>
      <c r="AM1821" s="4" t="s">
        <v>1547</v>
      </c>
      <c r="AQ1821" s="4" t="s">
        <v>8</v>
      </c>
      <c r="AR1821" s="4">
        <v>0.42</v>
      </c>
      <c r="AS1821" s="4" t="s">
        <v>7</v>
      </c>
      <c r="AT1821" s="4">
        <v>0.5</v>
      </c>
      <c r="AU1821" s="4" t="s">
        <v>11</v>
      </c>
      <c r="AV1821" s="4">
        <v>1.92</v>
      </c>
      <c r="AW1821" s="4" t="s">
        <v>1117</v>
      </c>
      <c r="AX1821" s="4">
        <v>0.076</v>
      </c>
      <c r="AY1821" s="4" t="s">
        <v>1116</v>
      </c>
      <c r="AZ1821" s="4">
        <v>0.21</v>
      </c>
      <c r="BD1821" s="4" t="s">
        <v>1548</v>
      </c>
      <c r="BI1821" s="4" t="s">
        <v>321</v>
      </c>
      <c r="BL1821" s="4">
        <v>50</v>
      </c>
      <c r="BM1821" s="4">
        <v>1.5</v>
      </c>
      <c r="BO1821" s="4">
        <v>0.03</v>
      </c>
      <c r="BS1821" s="4">
        <v>6</v>
      </c>
      <c r="BV1821" s="4" t="s">
        <v>488</v>
      </c>
      <c r="BW1821" s="4" t="s">
        <v>323</v>
      </c>
      <c r="CB1821" s="4" t="s">
        <v>7</v>
      </c>
      <c r="CD1821" s="4">
        <v>50</v>
      </c>
      <c r="CE1821" s="4" t="s">
        <v>11</v>
      </c>
      <c r="CG1821" s="4">
        <v>50</v>
      </c>
      <c r="CH1821" s="4" t="s">
        <v>1117</v>
      </c>
      <c r="CJ1821" s="4">
        <v>21.96</v>
      </c>
      <c r="CK1821" s="4" t="s">
        <v>1116</v>
      </c>
      <c r="CM1821" s="4">
        <v>22.03</v>
      </c>
      <c r="DO1821" s="4">
        <v>3</v>
      </c>
      <c r="DS1821" s="4">
        <v>11.74</v>
      </c>
      <c r="DT1821" s="1">
        <v>0.692</v>
      </c>
      <c r="EA1821" s="4">
        <v>46.5391621129326</v>
      </c>
      <c r="ED1821" s="4">
        <v>46.5391621129326</v>
      </c>
      <c r="GA1821" s="4">
        <v>12.51</v>
      </c>
      <c r="GB1821" s="1">
        <v>0.335</v>
      </c>
      <c r="GI1821" s="4">
        <v>43.213799364503</v>
      </c>
      <c r="GL1821" s="4">
        <v>43.213799364503</v>
      </c>
    </row>
    <row r="1822" customHeight="1" spans="1:194">
      <c r="A1822" s="48">
        <v>65</v>
      </c>
      <c r="B1822" s="4" t="s">
        <v>1538</v>
      </c>
      <c r="C1822" s="40" t="s">
        <v>1102</v>
      </c>
      <c r="E1822" s="4" t="s">
        <v>1539</v>
      </c>
      <c r="H1822" s="4" t="s">
        <v>328</v>
      </c>
      <c r="I1822" s="4" t="s">
        <v>888</v>
      </c>
      <c r="J1822" s="4">
        <v>70</v>
      </c>
      <c r="N1822" s="4" t="s">
        <v>567</v>
      </c>
      <c r="O1822" s="4" t="s">
        <v>343</v>
      </c>
      <c r="P1822" s="4">
        <v>2</v>
      </c>
      <c r="Q1822" s="4" t="s">
        <v>542</v>
      </c>
      <c r="T1822" s="4">
        <v>252.66</v>
      </c>
      <c r="U1822" s="4">
        <v>0.13</v>
      </c>
      <c r="V1822" s="4">
        <v>12.31</v>
      </c>
      <c r="AB1822" s="4" t="s">
        <v>1540</v>
      </c>
      <c r="AE1822" s="4" t="s">
        <v>1541</v>
      </c>
      <c r="AF1822" s="63" t="s">
        <v>1542</v>
      </c>
      <c r="AG1822" s="4" t="s">
        <v>1543</v>
      </c>
      <c r="AH1822" s="4" t="s">
        <v>1544</v>
      </c>
      <c r="AI1822" s="4" t="s">
        <v>1545</v>
      </c>
      <c r="AL1822" s="4" t="s">
        <v>1546</v>
      </c>
      <c r="AM1822" s="4" t="s">
        <v>1547</v>
      </c>
      <c r="AQ1822" s="4" t="s">
        <v>8</v>
      </c>
      <c r="AR1822" s="4">
        <v>0.42</v>
      </c>
      <c r="AS1822" s="4" t="s">
        <v>7</v>
      </c>
      <c r="AT1822" s="4">
        <v>0.5</v>
      </c>
      <c r="AU1822" s="4" t="s">
        <v>11</v>
      </c>
      <c r="AV1822" s="4">
        <v>1.92</v>
      </c>
      <c r="AW1822" s="4" t="s">
        <v>1117</v>
      </c>
      <c r="AX1822" s="4">
        <v>0.076</v>
      </c>
      <c r="AY1822" s="4" t="s">
        <v>1116</v>
      </c>
      <c r="AZ1822" s="4">
        <v>0.21</v>
      </c>
      <c r="BD1822" s="4" t="s">
        <v>1548</v>
      </c>
      <c r="BI1822" s="4" t="s">
        <v>321</v>
      </c>
      <c r="BL1822" s="4">
        <v>50</v>
      </c>
      <c r="BM1822" s="4">
        <v>1.5</v>
      </c>
      <c r="BO1822" s="4">
        <v>0.03</v>
      </c>
      <c r="BS1822" s="4">
        <v>7</v>
      </c>
      <c r="BV1822" s="4" t="s">
        <v>488</v>
      </c>
      <c r="BW1822" s="4" t="s">
        <v>323</v>
      </c>
      <c r="CB1822" s="4" t="s">
        <v>7</v>
      </c>
      <c r="CD1822" s="4">
        <v>50</v>
      </c>
      <c r="CE1822" s="4" t="s">
        <v>11</v>
      </c>
      <c r="CG1822" s="4">
        <v>50</v>
      </c>
      <c r="CH1822" s="4" t="s">
        <v>1117</v>
      </c>
      <c r="CJ1822" s="4">
        <v>21.96</v>
      </c>
      <c r="CK1822" s="4" t="s">
        <v>1116</v>
      </c>
      <c r="CM1822" s="4">
        <v>22.03</v>
      </c>
      <c r="DO1822" s="4">
        <v>3</v>
      </c>
      <c r="DS1822" s="4">
        <v>8.57</v>
      </c>
      <c r="DT1822" s="1">
        <v>0.229</v>
      </c>
      <c r="EA1822" s="4">
        <v>60.9744990892532</v>
      </c>
      <c r="ED1822" s="4">
        <v>60.9744990892532</v>
      </c>
      <c r="GA1822" s="4">
        <v>8.84</v>
      </c>
      <c r="GB1822" s="1">
        <v>0.386</v>
      </c>
      <c r="GI1822" s="4">
        <v>59.8729005901044</v>
      </c>
      <c r="GL1822" s="4">
        <v>59.8729005901044</v>
      </c>
    </row>
    <row r="1823" customHeight="1" spans="1:194">
      <c r="A1823" s="48">
        <v>65</v>
      </c>
      <c r="B1823" s="4" t="s">
        <v>1538</v>
      </c>
      <c r="C1823" s="40" t="s">
        <v>1102</v>
      </c>
      <c r="E1823" s="4" t="s">
        <v>1539</v>
      </c>
      <c r="H1823" s="4" t="s">
        <v>328</v>
      </c>
      <c r="I1823" s="4" t="s">
        <v>888</v>
      </c>
      <c r="J1823" s="4">
        <v>70</v>
      </c>
      <c r="N1823" s="4" t="s">
        <v>567</v>
      </c>
      <c r="O1823" s="4" t="s">
        <v>343</v>
      </c>
      <c r="P1823" s="4">
        <v>2</v>
      </c>
      <c r="Q1823" s="4" t="s">
        <v>542</v>
      </c>
      <c r="T1823" s="4">
        <v>252.66</v>
      </c>
      <c r="U1823" s="4">
        <v>0.13</v>
      </c>
      <c r="V1823" s="4">
        <v>12.31</v>
      </c>
      <c r="AB1823" s="4" t="s">
        <v>1540</v>
      </c>
      <c r="AE1823" s="4" t="s">
        <v>1541</v>
      </c>
      <c r="AF1823" s="63" t="s">
        <v>1542</v>
      </c>
      <c r="AG1823" s="4" t="s">
        <v>1543</v>
      </c>
      <c r="AH1823" s="4" t="s">
        <v>1544</v>
      </c>
      <c r="AI1823" s="4" t="s">
        <v>1545</v>
      </c>
      <c r="AL1823" s="4" t="s">
        <v>1546</v>
      </c>
      <c r="AM1823" s="4" t="s">
        <v>1547</v>
      </c>
      <c r="AQ1823" s="4" t="s">
        <v>8</v>
      </c>
      <c r="AR1823" s="4">
        <v>0.42</v>
      </c>
      <c r="AS1823" s="4" t="s">
        <v>7</v>
      </c>
      <c r="AT1823" s="4">
        <v>0.5</v>
      </c>
      <c r="AU1823" s="4" t="s">
        <v>11</v>
      </c>
      <c r="AV1823" s="4">
        <v>1.92</v>
      </c>
      <c r="AW1823" s="4" t="s">
        <v>1117</v>
      </c>
      <c r="AX1823" s="4">
        <v>0.076</v>
      </c>
      <c r="AY1823" s="4" t="s">
        <v>1116</v>
      </c>
      <c r="AZ1823" s="4">
        <v>0.21</v>
      </c>
      <c r="BD1823" s="4" t="s">
        <v>1548</v>
      </c>
      <c r="BI1823" s="4" t="s">
        <v>321</v>
      </c>
      <c r="BL1823" s="4">
        <v>50</v>
      </c>
      <c r="BM1823" s="4">
        <v>1.5</v>
      </c>
      <c r="BO1823" s="4">
        <v>0</v>
      </c>
      <c r="BS1823" s="4">
        <v>7</v>
      </c>
      <c r="BV1823" s="4" t="s">
        <v>1551</v>
      </c>
      <c r="BW1823" s="4" t="s">
        <v>323</v>
      </c>
      <c r="BX1823" s="4">
        <v>70</v>
      </c>
      <c r="CB1823" s="4" t="s">
        <v>7</v>
      </c>
      <c r="CD1823" s="4">
        <v>50</v>
      </c>
      <c r="CE1823" s="4" t="s">
        <v>11</v>
      </c>
      <c r="CG1823" s="4">
        <v>50</v>
      </c>
      <c r="CH1823" s="4" t="s">
        <v>1117</v>
      </c>
      <c r="CJ1823" s="4">
        <v>22.17</v>
      </c>
      <c r="CK1823" s="4" t="s">
        <v>1116</v>
      </c>
      <c r="CM1823" s="4">
        <v>23.28</v>
      </c>
      <c r="DO1823" s="4">
        <v>3</v>
      </c>
      <c r="DS1823" s="4">
        <v>22.17</v>
      </c>
      <c r="DT1823" s="1">
        <v>0.318</v>
      </c>
      <c r="EA1823" s="4"/>
      <c r="ED1823" s="4">
        <v>0</v>
      </c>
      <c r="GA1823" s="4">
        <v>23.28</v>
      </c>
      <c r="GB1823" s="1">
        <v>0.165</v>
      </c>
      <c r="GI1823" s="4"/>
      <c r="GL1823" s="4"/>
    </row>
    <row r="1824" customHeight="1" spans="1:194">
      <c r="A1824" s="48">
        <v>65</v>
      </c>
      <c r="B1824" s="4" t="s">
        <v>1538</v>
      </c>
      <c r="C1824" s="40" t="s">
        <v>1102</v>
      </c>
      <c r="E1824" s="4" t="s">
        <v>1539</v>
      </c>
      <c r="H1824" s="4" t="s">
        <v>328</v>
      </c>
      <c r="I1824" s="4" t="s">
        <v>888</v>
      </c>
      <c r="J1824" s="4">
        <v>70</v>
      </c>
      <c r="N1824" s="4" t="s">
        <v>567</v>
      </c>
      <c r="O1824" s="4" t="s">
        <v>343</v>
      </c>
      <c r="P1824" s="4">
        <v>2</v>
      </c>
      <c r="Q1824" s="4" t="s">
        <v>542</v>
      </c>
      <c r="T1824" s="4">
        <v>252.66</v>
      </c>
      <c r="U1824" s="4">
        <v>0.13</v>
      </c>
      <c r="V1824" s="4">
        <v>12.31</v>
      </c>
      <c r="AB1824" s="4" t="s">
        <v>1540</v>
      </c>
      <c r="AE1824" s="4" t="s">
        <v>1541</v>
      </c>
      <c r="AF1824" s="63" t="s">
        <v>1542</v>
      </c>
      <c r="AG1824" s="4" t="s">
        <v>1543</v>
      </c>
      <c r="AH1824" s="4" t="s">
        <v>1544</v>
      </c>
      <c r="AI1824" s="4" t="s">
        <v>1545</v>
      </c>
      <c r="AL1824" s="4" t="s">
        <v>1546</v>
      </c>
      <c r="AM1824" s="4" t="s">
        <v>1547</v>
      </c>
      <c r="AQ1824" s="4" t="s">
        <v>8</v>
      </c>
      <c r="AR1824" s="4">
        <v>0.42</v>
      </c>
      <c r="AS1824" s="4" t="s">
        <v>7</v>
      </c>
      <c r="AT1824" s="4">
        <v>0.5</v>
      </c>
      <c r="AU1824" s="4" t="s">
        <v>11</v>
      </c>
      <c r="AV1824" s="4">
        <v>1.92</v>
      </c>
      <c r="AW1824" s="4" t="s">
        <v>1117</v>
      </c>
      <c r="AX1824" s="4">
        <v>0.076</v>
      </c>
      <c r="AY1824" s="4" t="s">
        <v>1116</v>
      </c>
      <c r="AZ1824" s="4">
        <v>0.21</v>
      </c>
      <c r="BD1824" s="4" t="s">
        <v>1548</v>
      </c>
      <c r="BI1824" s="4" t="s">
        <v>321</v>
      </c>
      <c r="BL1824" s="4">
        <v>50</v>
      </c>
      <c r="BM1824" s="4">
        <v>1.5</v>
      </c>
      <c r="BO1824" s="4">
        <v>0.03</v>
      </c>
      <c r="BS1824" s="4">
        <v>7</v>
      </c>
      <c r="BV1824" s="4" t="s">
        <v>1552</v>
      </c>
      <c r="BW1824" s="4" t="s">
        <v>323</v>
      </c>
      <c r="BX1824" s="4">
        <v>70</v>
      </c>
      <c r="CB1824" s="4" t="s">
        <v>7</v>
      </c>
      <c r="CD1824" s="4">
        <v>50</v>
      </c>
      <c r="CE1824" s="4" t="s">
        <v>11</v>
      </c>
      <c r="CG1824" s="4">
        <v>50</v>
      </c>
      <c r="CH1824" s="4" t="s">
        <v>1117</v>
      </c>
      <c r="CJ1824" s="4">
        <v>22.17</v>
      </c>
      <c r="CK1824" s="4" t="s">
        <v>1116</v>
      </c>
      <c r="CM1824" s="4">
        <v>23.28</v>
      </c>
      <c r="DO1824" s="4">
        <v>3</v>
      </c>
      <c r="DS1824" s="4">
        <v>11.77</v>
      </c>
      <c r="DT1824" s="1">
        <v>0.477</v>
      </c>
      <c r="EA1824" s="4">
        <v>46.9102390617952</v>
      </c>
      <c r="ED1824" s="4">
        <v>46.9102390617952</v>
      </c>
      <c r="GA1824" s="4">
        <v>14.11</v>
      </c>
      <c r="GB1824" s="1">
        <v>0.262</v>
      </c>
      <c r="GI1824" s="4">
        <v>39.3900343642612</v>
      </c>
      <c r="GL1824" s="4">
        <v>39.3900343642612</v>
      </c>
    </row>
    <row r="1825" customHeight="1" spans="1:313">
      <c r="A1825" s="48">
        <v>65</v>
      </c>
      <c r="B1825" s="4" t="s">
        <v>1538</v>
      </c>
      <c r="C1825" s="40" t="s">
        <v>1102</v>
      </c>
      <c r="E1825" s="4" t="s">
        <v>1539</v>
      </c>
      <c r="H1825" s="4" t="s">
        <v>328</v>
      </c>
      <c r="I1825" s="4" t="s">
        <v>888</v>
      </c>
      <c r="J1825" s="4">
        <v>70</v>
      </c>
      <c r="N1825" s="4" t="s">
        <v>567</v>
      </c>
      <c r="O1825" s="4" t="s">
        <v>343</v>
      </c>
      <c r="P1825" s="4">
        <v>2</v>
      </c>
      <c r="Q1825" s="4" t="s">
        <v>542</v>
      </c>
      <c r="T1825" s="4">
        <v>252.66</v>
      </c>
      <c r="U1825" s="4">
        <v>0.13</v>
      </c>
      <c r="V1825" s="4">
        <v>12.31</v>
      </c>
      <c r="AB1825" s="4" t="s">
        <v>1540</v>
      </c>
      <c r="AE1825" s="4" t="s">
        <v>1541</v>
      </c>
      <c r="AF1825" s="63" t="s">
        <v>1542</v>
      </c>
      <c r="AG1825" s="4" t="s">
        <v>1543</v>
      </c>
      <c r="AH1825" s="4" t="s">
        <v>1544</v>
      </c>
      <c r="AI1825" s="4" t="s">
        <v>1545</v>
      </c>
      <c r="AL1825" s="4" t="s">
        <v>1546</v>
      </c>
      <c r="AM1825" s="4" t="s">
        <v>1547</v>
      </c>
      <c r="AQ1825" s="4" t="s">
        <v>8</v>
      </c>
      <c r="AR1825" s="4">
        <v>0.42</v>
      </c>
      <c r="AS1825" s="4" t="s">
        <v>7</v>
      </c>
      <c r="AT1825" s="4">
        <v>0.5</v>
      </c>
      <c r="AU1825" s="4" t="s">
        <v>11</v>
      </c>
      <c r="AV1825" s="4">
        <v>1.92</v>
      </c>
      <c r="AW1825" s="4" t="s">
        <v>1117</v>
      </c>
      <c r="AX1825" s="4">
        <v>0.076</v>
      </c>
      <c r="AY1825" s="4" t="s">
        <v>1116</v>
      </c>
      <c r="AZ1825" s="4">
        <v>0.21</v>
      </c>
      <c r="BD1825" s="4" t="s">
        <v>1548</v>
      </c>
      <c r="BI1825" s="4" t="s">
        <v>321</v>
      </c>
      <c r="BL1825" s="4">
        <v>50</v>
      </c>
      <c r="BM1825" s="4">
        <v>1.5</v>
      </c>
      <c r="BO1825" s="4">
        <v>0.03</v>
      </c>
      <c r="BS1825" s="4">
        <v>7</v>
      </c>
      <c r="BV1825" s="4" t="s">
        <v>488</v>
      </c>
      <c r="BW1825" s="4" t="s">
        <v>323</v>
      </c>
      <c r="BX1825" s="4">
        <v>70</v>
      </c>
      <c r="CB1825" s="4" t="s">
        <v>7</v>
      </c>
      <c r="CD1825" s="4">
        <v>50</v>
      </c>
      <c r="CE1825" s="4" t="s">
        <v>11</v>
      </c>
      <c r="CG1825" s="4">
        <v>50</v>
      </c>
      <c r="CH1825" s="4" t="s">
        <v>1117</v>
      </c>
      <c r="CJ1825" s="4">
        <v>22.17</v>
      </c>
      <c r="CK1825" s="4" t="s">
        <v>1116</v>
      </c>
      <c r="CM1825" s="4">
        <v>23.28</v>
      </c>
      <c r="DO1825" s="4">
        <v>3</v>
      </c>
      <c r="DS1825" s="4">
        <v>7.47</v>
      </c>
      <c r="DT1825" s="1">
        <v>0.055</v>
      </c>
      <c r="EA1825" s="4">
        <v>66.3058186738836</v>
      </c>
      <c r="ED1825" s="4">
        <v>66.3058186738836</v>
      </c>
      <c r="GA1825" s="4">
        <v>9.47</v>
      </c>
      <c r="GB1825" s="1">
        <v>0.283</v>
      </c>
      <c r="GI1825" s="4">
        <v>59.3213058419244</v>
      </c>
      <c r="GL1825" s="4">
        <v>59.3213058419244</v>
      </c>
    </row>
    <row r="1826" customHeight="1" spans="1:313">
      <c r="A1826" s="48">
        <v>65</v>
      </c>
      <c r="B1826" s="4" t="s">
        <v>1538</v>
      </c>
      <c r="C1826" s="40" t="s">
        <v>1102</v>
      </c>
      <c r="E1826" s="4" t="s">
        <v>1539</v>
      </c>
      <c r="H1826" s="4" t="s">
        <v>328</v>
      </c>
      <c r="I1826" s="4" t="s">
        <v>888</v>
      </c>
      <c r="J1826" s="4">
        <v>70</v>
      </c>
      <c r="N1826" s="4" t="s">
        <v>567</v>
      </c>
      <c r="O1826" s="4" t="s">
        <v>343</v>
      </c>
      <c r="P1826" s="4">
        <v>2</v>
      </c>
      <c r="Q1826" s="4" t="s">
        <v>542</v>
      </c>
      <c r="T1826" s="4">
        <v>252.66</v>
      </c>
      <c r="U1826" s="4">
        <v>0.13</v>
      </c>
      <c r="V1826" s="4">
        <v>12.31</v>
      </c>
      <c r="AB1826" s="4" t="s">
        <v>1540</v>
      </c>
      <c r="AE1826" s="4" t="s">
        <v>1541</v>
      </c>
      <c r="AF1826" s="63" t="s">
        <v>1542</v>
      </c>
      <c r="AG1826" s="4" t="s">
        <v>1543</v>
      </c>
      <c r="AH1826" s="4" t="s">
        <v>1544</v>
      </c>
      <c r="AI1826" s="4" t="s">
        <v>1545</v>
      </c>
      <c r="AL1826" s="4" t="s">
        <v>1546</v>
      </c>
      <c r="AM1826" s="4" t="s">
        <v>1547</v>
      </c>
      <c r="AQ1826" s="4" t="s">
        <v>8</v>
      </c>
      <c r="AR1826" s="4">
        <v>0.42</v>
      </c>
      <c r="AS1826" s="4" t="s">
        <v>7</v>
      </c>
      <c r="AT1826" s="4">
        <v>0.5</v>
      </c>
      <c r="AU1826" s="4" t="s">
        <v>11</v>
      </c>
      <c r="AV1826" s="4">
        <v>1.92</v>
      </c>
      <c r="AW1826" s="4" t="s">
        <v>1117</v>
      </c>
      <c r="AX1826" s="4">
        <v>0.076</v>
      </c>
      <c r="AY1826" s="4" t="s">
        <v>1116</v>
      </c>
      <c r="AZ1826" s="4">
        <v>0.21</v>
      </c>
      <c r="BD1826" s="4" t="s">
        <v>1548</v>
      </c>
      <c r="BI1826" s="4" t="s">
        <v>321</v>
      </c>
      <c r="BL1826" s="4">
        <v>50</v>
      </c>
      <c r="BM1826" s="4">
        <v>1.5</v>
      </c>
      <c r="BO1826" s="4">
        <v>0.03</v>
      </c>
      <c r="BS1826" s="4">
        <v>7</v>
      </c>
      <c r="BV1826" s="4" t="s">
        <v>472</v>
      </c>
      <c r="BW1826" s="4" t="s">
        <v>323</v>
      </c>
      <c r="BX1826" s="4">
        <v>70</v>
      </c>
      <c r="CB1826" s="4" t="s">
        <v>7</v>
      </c>
      <c r="CD1826" s="4">
        <v>50</v>
      </c>
      <c r="CE1826" s="4" t="s">
        <v>11</v>
      </c>
      <c r="CG1826" s="4">
        <v>50</v>
      </c>
      <c r="CH1826" s="4" t="s">
        <v>1117</v>
      </c>
      <c r="CJ1826" s="4">
        <v>22.17</v>
      </c>
      <c r="CK1826" s="4" t="s">
        <v>1116</v>
      </c>
      <c r="CM1826" s="4">
        <v>23.28</v>
      </c>
      <c r="DO1826" s="4">
        <v>3</v>
      </c>
      <c r="DS1826" s="4">
        <v>6.74</v>
      </c>
      <c r="DT1826" s="1">
        <v>0.04</v>
      </c>
      <c r="EA1826" s="4">
        <v>69.5985566080289</v>
      </c>
      <c r="ED1826" s="4">
        <v>69.5985566080289</v>
      </c>
      <c r="GA1826" s="4">
        <v>8.66</v>
      </c>
      <c r="GB1826" s="1">
        <v>0.724</v>
      </c>
      <c r="GI1826" s="4">
        <v>62.8006872852234</v>
      </c>
      <c r="GL1826" s="4">
        <v>62.8006872852234</v>
      </c>
    </row>
    <row r="1827" customHeight="1" spans="1:313">
      <c r="A1827" s="37">
        <v>66</v>
      </c>
      <c r="B1827" s="4" t="s">
        <v>1553</v>
      </c>
      <c r="C1827" s="5" t="s">
        <v>325</v>
      </c>
      <c r="D1827" s="4" t="s">
        <v>300</v>
      </c>
      <c r="E1827" s="4" t="s">
        <v>1554</v>
      </c>
      <c r="F1827" s="4" t="s">
        <v>328</v>
      </c>
      <c r="G1827" s="4" t="s">
        <v>329</v>
      </c>
      <c r="N1827" s="24" t="s">
        <v>302</v>
      </c>
      <c r="O1827" s="24" t="s">
        <v>303</v>
      </c>
      <c r="S1827" s="4" t="s">
        <v>304</v>
      </c>
      <c r="T1827" s="4">
        <v>16.29</v>
      </c>
      <c r="U1827" s="4">
        <v>0.062</v>
      </c>
      <c r="V1827" s="4">
        <v>25.05</v>
      </c>
      <c r="AF1827" s="63" t="s">
        <v>1555</v>
      </c>
      <c r="AG1827" s="4" t="s">
        <v>316</v>
      </c>
      <c r="AH1827" s="4" t="s">
        <v>317</v>
      </c>
      <c r="AI1827" s="4" t="s">
        <v>318</v>
      </c>
      <c r="AL1827" s="4" t="s">
        <v>1556</v>
      </c>
      <c r="AM1827" s="4">
        <v>5.34</v>
      </c>
      <c r="AN1827" s="4">
        <v>16.24</v>
      </c>
      <c r="AO1827" s="4">
        <v>30.25</v>
      </c>
      <c r="AQ1827" s="4" t="s">
        <v>7</v>
      </c>
      <c r="AR1827" s="4">
        <v>1.49</v>
      </c>
      <c r="BD1827" s="4" t="s">
        <v>1557</v>
      </c>
      <c r="BE1827" s="4" t="s">
        <v>1115</v>
      </c>
      <c r="BI1827" s="4" t="s">
        <v>321</v>
      </c>
      <c r="BL1827" s="4">
        <v>150</v>
      </c>
      <c r="BM1827" s="4">
        <v>0.3</v>
      </c>
      <c r="BO1827" s="4">
        <v>0.002</v>
      </c>
      <c r="BP1827" s="4">
        <v>0.2</v>
      </c>
      <c r="BS1827" s="4">
        <v>6.03</v>
      </c>
      <c r="BV1827" s="4" t="s">
        <v>1558</v>
      </c>
      <c r="BW1827" s="4">
        <v>25</v>
      </c>
      <c r="BX1827" s="4">
        <v>80</v>
      </c>
      <c r="CB1827" s="4" t="s">
        <v>7</v>
      </c>
      <c r="CD1827" s="4">
        <v>0.451</v>
      </c>
      <c r="DO1827" s="4">
        <v>3</v>
      </c>
      <c r="DQ1827" s="1">
        <v>0.451</v>
      </c>
      <c r="DR1827" s="1">
        <v>0.046</v>
      </c>
      <c r="DS1827" s="1">
        <v>0.135</v>
      </c>
      <c r="DT1827" s="1">
        <v>0.006</v>
      </c>
      <c r="DY1827" s="1">
        <v>0</v>
      </c>
      <c r="DZ1827" s="1">
        <v>0</v>
      </c>
      <c r="EA1827" s="1">
        <v>70.07</v>
      </c>
      <c r="ED1827" s="1">
        <v>70.07</v>
      </c>
      <c r="KZ1827" s="1" t="s">
        <v>7</v>
      </c>
      <c r="LA1827" s="1" t="s">
        <v>1559</v>
      </c>
    </row>
    <row r="1828" customHeight="1" spans="1:313">
      <c r="A1828" s="37">
        <v>66</v>
      </c>
      <c r="B1828" s="4" t="s">
        <v>1553</v>
      </c>
      <c r="C1828" s="5" t="s">
        <v>325</v>
      </c>
      <c r="D1828" s="4" t="s">
        <v>300</v>
      </c>
      <c r="E1828" s="4" t="s">
        <v>1554</v>
      </c>
      <c r="F1828" s="4" t="s">
        <v>328</v>
      </c>
      <c r="G1828" s="4" t="s">
        <v>329</v>
      </c>
      <c r="N1828" s="24" t="s">
        <v>302</v>
      </c>
      <c r="O1828" s="24" t="s">
        <v>303</v>
      </c>
      <c r="S1828" s="4" t="s">
        <v>304</v>
      </c>
      <c r="T1828" s="4">
        <v>16.29</v>
      </c>
      <c r="U1828" s="4">
        <v>0.062</v>
      </c>
      <c r="V1828" s="4">
        <v>25.05</v>
      </c>
      <c r="AF1828" s="63" t="s">
        <v>1555</v>
      </c>
      <c r="AG1828" s="4" t="s">
        <v>316</v>
      </c>
      <c r="AH1828" s="4" t="s">
        <v>317</v>
      </c>
      <c r="AI1828" s="4" t="s">
        <v>318</v>
      </c>
      <c r="AL1828" s="4" t="s">
        <v>1556</v>
      </c>
      <c r="AM1828" s="4">
        <v>5.34</v>
      </c>
      <c r="AN1828" s="4">
        <v>16.24</v>
      </c>
      <c r="AO1828" s="4">
        <v>30.25</v>
      </c>
      <c r="AQ1828" s="4" t="s">
        <v>7</v>
      </c>
      <c r="AR1828" s="4">
        <v>1.49</v>
      </c>
      <c r="BD1828" s="4" t="s">
        <v>1560</v>
      </c>
      <c r="BE1828" s="4" t="s">
        <v>1115</v>
      </c>
      <c r="BI1828" s="4" t="s">
        <v>321</v>
      </c>
      <c r="BS1828" s="4">
        <v>4.5</v>
      </c>
      <c r="BV1828" s="4" t="s">
        <v>677</v>
      </c>
      <c r="BW1828" s="4">
        <v>25</v>
      </c>
      <c r="BX1828" s="4">
        <v>80</v>
      </c>
      <c r="CB1828" s="4" t="s">
        <v>7</v>
      </c>
      <c r="CD1828" s="4">
        <v>0.451</v>
      </c>
      <c r="DO1828" s="4">
        <v>3</v>
      </c>
      <c r="DQ1828" s="1">
        <v>0.451</v>
      </c>
      <c r="DR1828" s="1">
        <v>0.046</v>
      </c>
      <c r="DS1828" s="1">
        <v>0.254</v>
      </c>
      <c r="DT1828" s="1">
        <v>0.031</v>
      </c>
      <c r="DY1828" s="1">
        <v>0</v>
      </c>
      <c r="DZ1828" s="1">
        <v>0</v>
      </c>
      <c r="EA1828" s="1">
        <v>43.68</v>
      </c>
      <c r="ED1828" s="1">
        <v>43.68</v>
      </c>
      <c r="KZ1828" s="1" t="s">
        <v>7</v>
      </c>
      <c r="LA1828" s="1" t="s">
        <v>1559</v>
      </c>
    </row>
    <row r="1829" customHeight="1" spans="1:313">
      <c r="A1829" s="37">
        <v>66</v>
      </c>
      <c r="B1829" s="4" t="s">
        <v>1553</v>
      </c>
      <c r="C1829" s="5" t="s">
        <v>325</v>
      </c>
      <c r="D1829" s="4" t="s">
        <v>300</v>
      </c>
      <c r="E1829" s="4" t="s">
        <v>1554</v>
      </c>
      <c r="F1829" s="4" t="s">
        <v>328</v>
      </c>
      <c r="G1829" s="4" t="s">
        <v>329</v>
      </c>
      <c r="N1829" s="24" t="s">
        <v>302</v>
      </c>
      <c r="O1829" s="24" t="s">
        <v>303</v>
      </c>
      <c r="S1829" s="4" t="s">
        <v>304</v>
      </c>
      <c r="T1829" s="4">
        <v>16.29</v>
      </c>
      <c r="U1829" s="4">
        <v>0.062</v>
      </c>
      <c r="V1829" s="4">
        <v>25.05</v>
      </c>
      <c r="AF1829" s="63" t="s">
        <v>1555</v>
      </c>
      <c r="AG1829" s="4" t="s">
        <v>316</v>
      </c>
      <c r="AH1829" s="4" t="s">
        <v>317</v>
      </c>
      <c r="AI1829" s="4" t="s">
        <v>318</v>
      </c>
      <c r="AL1829" s="4" t="s">
        <v>1556</v>
      </c>
      <c r="AM1829" s="4">
        <v>5.34</v>
      </c>
      <c r="AN1829" s="4">
        <v>16.24</v>
      </c>
      <c r="AO1829" s="4">
        <v>30.25</v>
      </c>
      <c r="AQ1829" s="4" t="s">
        <v>7</v>
      </c>
      <c r="AR1829" s="4">
        <v>1.49</v>
      </c>
      <c r="BD1829" s="4" t="s">
        <v>1561</v>
      </c>
      <c r="BE1829" s="4" t="s">
        <v>1115</v>
      </c>
      <c r="BI1829" s="4" t="s">
        <v>321</v>
      </c>
      <c r="BS1829" s="4">
        <v>4.5</v>
      </c>
      <c r="BV1829" s="4" t="s">
        <v>677</v>
      </c>
      <c r="BW1829" s="4">
        <v>25</v>
      </c>
      <c r="BX1829" s="4">
        <v>80</v>
      </c>
      <c r="CB1829" s="4" t="s">
        <v>7</v>
      </c>
      <c r="CD1829" s="4">
        <v>0.451</v>
      </c>
      <c r="DO1829" s="4">
        <v>3</v>
      </c>
      <c r="DQ1829" s="1">
        <v>0.451</v>
      </c>
      <c r="DR1829" s="1">
        <v>0.046</v>
      </c>
      <c r="DS1829" s="1">
        <v>0.395</v>
      </c>
      <c r="DT1829" s="1">
        <v>0.028</v>
      </c>
      <c r="DY1829" s="1">
        <v>0</v>
      </c>
      <c r="DZ1829" s="1">
        <v>0</v>
      </c>
      <c r="EA1829" s="1">
        <v>12.42</v>
      </c>
      <c r="ED1829" s="1">
        <v>12.42</v>
      </c>
      <c r="KZ1829" s="1" t="s">
        <v>7</v>
      </c>
      <c r="LA1829" s="1" t="s">
        <v>1559</v>
      </c>
    </row>
    <row r="1830" customHeight="1" spans="1:313">
      <c r="A1830" s="49">
        <v>67</v>
      </c>
      <c r="B1830" s="4" t="s">
        <v>1562</v>
      </c>
      <c r="C1830" s="5" t="s">
        <v>1563</v>
      </c>
      <c r="D1830" s="4" t="s">
        <v>529</v>
      </c>
      <c r="H1830" s="4" t="s">
        <v>328</v>
      </c>
      <c r="I1830" s="4" t="s">
        <v>627</v>
      </c>
      <c r="N1830" s="4" t="s">
        <v>567</v>
      </c>
      <c r="O1830" s="4" t="s">
        <v>343</v>
      </c>
      <c r="P1830" s="4">
        <v>2.5</v>
      </c>
      <c r="Q1830" s="4" t="s">
        <v>539</v>
      </c>
      <c r="T1830" s="4">
        <v>1.67</v>
      </c>
      <c r="X1830" s="4">
        <v>0.802</v>
      </c>
      <c r="AB1830" s="4" t="s">
        <v>1564</v>
      </c>
      <c r="AC1830" s="4" t="s">
        <v>1565</v>
      </c>
      <c r="AD1830" s="4" t="s">
        <v>1566</v>
      </c>
      <c r="AE1830" s="4" t="s">
        <v>1567</v>
      </c>
      <c r="AF1830" s="4" t="s">
        <v>1568</v>
      </c>
      <c r="AG1830" s="4" t="s">
        <v>316</v>
      </c>
      <c r="AH1830" s="4" t="s">
        <v>317</v>
      </c>
      <c r="AI1830" s="4" t="s">
        <v>1569</v>
      </c>
      <c r="AL1830" s="4" t="s">
        <v>433</v>
      </c>
      <c r="AQ1830" s="4" t="s">
        <v>7</v>
      </c>
      <c r="AR1830" s="4">
        <v>1.38</v>
      </c>
      <c r="BD1830" s="4" t="s">
        <v>1570</v>
      </c>
      <c r="BE1830" s="4" t="s">
        <v>355</v>
      </c>
      <c r="BI1830" s="4" t="s">
        <v>321</v>
      </c>
      <c r="BK1830" s="4">
        <v>10</v>
      </c>
      <c r="BL1830" s="4">
        <v>2</v>
      </c>
      <c r="BM1830" s="4">
        <v>0.1</v>
      </c>
      <c r="BN1830" s="4">
        <v>0.01</v>
      </c>
      <c r="BO1830" s="4">
        <v>0.05</v>
      </c>
      <c r="BP1830" s="4">
        <v>5</v>
      </c>
      <c r="BV1830" s="4" t="s">
        <v>1571</v>
      </c>
      <c r="CB1830" s="4" t="s">
        <v>7</v>
      </c>
      <c r="CD1830" s="4">
        <v>50</v>
      </c>
      <c r="CR1830" s="4" t="s">
        <v>1572</v>
      </c>
      <c r="CV1830" s="4">
        <v>720</v>
      </c>
      <c r="DQ1830" s="1">
        <v>5.9</v>
      </c>
      <c r="DR1830" s="1">
        <v>0.3</v>
      </c>
      <c r="DS1830" s="1">
        <v>0.11</v>
      </c>
      <c r="DY1830" s="1">
        <v>0</v>
      </c>
      <c r="DZ1830" s="1">
        <v>0</v>
      </c>
      <c r="EA1830" s="50">
        <v>98.135593220339</v>
      </c>
      <c r="ED1830" s="50">
        <v>98.135593220339</v>
      </c>
    </row>
    <row r="1831" customHeight="1" spans="1:313">
      <c r="A1831" s="49">
        <v>67</v>
      </c>
      <c r="B1831" s="4" t="s">
        <v>1562</v>
      </c>
      <c r="C1831" s="5" t="s">
        <v>1563</v>
      </c>
      <c r="D1831" s="4" t="s">
        <v>529</v>
      </c>
      <c r="H1831" s="4" t="s">
        <v>328</v>
      </c>
      <c r="I1831" s="4" t="s">
        <v>627</v>
      </c>
      <c r="N1831" s="4" t="s">
        <v>567</v>
      </c>
      <c r="O1831" s="4" t="s">
        <v>343</v>
      </c>
      <c r="P1831" s="4">
        <v>2.5</v>
      </c>
      <c r="Q1831" s="4" t="s">
        <v>539</v>
      </c>
      <c r="T1831" s="4">
        <v>1.67</v>
      </c>
      <c r="X1831" s="4">
        <v>0.802</v>
      </c>
      <c r="AB1831" s="4" t="s">
        <v>1564</v>
      </c>
      <c r="AC1831" s="4" t="s">
        <v>1565</v>
      </c>
      <c r="AD1831" s="4" t="s">
        <v>1566</v>
      </c>
      <c r="AE1831" s="4" t="s">
        <v>1567</v>
      </c>
      <c r="AF1831" s="4" t="s">
        <v>1568</v>
      </c>
      <c r="AG1831" s="4" t="s">
        <v>316</v>
      </c>
      <c r="AH1831" s="4" t="s">
        <v>317</v>
      </c>
      <c r="AI1831" s="4" t="s">
        <v>1569</v>
      </c>
      <c r="AL1831" s="4" t="s">
        <v>433</v>
      </c>
      <c r="AQ1831" s="4" t="s">
        <v>7</v>
      </c>
      <c r="AR1831" s="4">
        <v>1.38</v>
      </c>
      <c r="BD1831" s="4" t="s">
        <v>1570</v>
      </c>
      <c r="BE1831" s="4" t="s">
        <v>355</v>
      </c>
      <c r="BI1831" s="4" t="s">
        <v>321</v>
      </c>
      <c r="BK1831" s="4">
        <v>10</v>
      </c>
      <c r="BL1831" s="4">
        <v>2</v>
      </c>
      <c r="BM1831" s="4">
        <v>0.1</v>
      </c>
      <c r="BN1831" s="4">
        <v>0.01</v>
      </c>
      <c r="BO1831" s="4">
        <v>0.05</v>
      </c>
      <c r="BP1831" s="4">
        <v>5</v>
      </c>
      <c r="BV1831" s="4" t="s">
        <v>1573</v>
      </c>
      <c r="CB1831" s="4" t="s">
        <v>7</v>
      </c>
      <c r="CD1831" s="4">
        <v>50</v>
      </c>
      <c r="CR1831" s="4" t="s">
        <v>1572</v>
      </c>
      <c r="CV1831" s="4">
        <v>720</v>
      </c>
      <c r="DQ1831" s="1">
        <v>6.1</v>
      </c>
      <c r="DR1831" s="1">
        <v>0.3</v>
      </c>
      <c r="DS1831" s="1">
        <v>0.17</v>
      </c>
      <c r="DY1831" s="1">
        <v>0</v>
      </c>
      <c r="DZ1831" s="1">
        <v>0</v>
      </c>
      <c r="EA1831" s="50">
        <v>97.2131147540984</v>
      </c>
      <c r="ED1831" s="50">
        <v>97.2131147540984</v>
      </c>
    </row>
    <row r="1832" customHeight="1" spans="1:313">
      <c r="A1832" s="49">
        <v>67</v>
      </c>
      <c r="B1832" s="4" t="s">
        <v>1562</v>
      </c>
      <c r="C1832" s="5" t="s">
        <v>1563</v>
      </c>
      <c r="D1832" s="4" t="s">
        <v>529</v>
      </c>
      <c r="H1832" s="4" t="s">
        <v>328</v>
      </c>
      <c r="I1832" s="4" t="s">
        <v>627</v>
      </c>
      <c r="N1832" s="4" t="s">
        <v>567</v>
      </c>
      <c r="O1832" s="4" t="s">
        <v>343</v>
      </c>
      <c r="P1832" s="4">
        <v>2.5</v>
      </c>
      <c r="Q1832" s="4" t="s">
        <v>539</v>
      </c>
      <c r="T1832" s="4">
        <v>1.67</v>
      </c>
      <c r="X1832" s="4">
        <v>0.802</v>
      </c>
      <c r="AB1832" s="4" t="s">
        <v>1564</v>
      </c>
      <c r="AC1832" s="4" t="s">
        <v>1565</v>
      </c>
      <c r="AD1832" s="4" t="s">
        <v>1566</v>
      </c>
      <c r="AE1832" s="4" t="s">
        <v>1567</v>
      </c>
      <c r="AF1832" s="4" t="s">
        <v>1568</v>
      </c>
      <c r="AG1832" s="4" t="s">
        <v>316</v>
      </c>
      <c r="AH1832" s="4" t="s">
        <v>317</v>
      </c>
      <c r="AI1832" s="4" t="s">
        <v>1569</v>
      </c>
      <c r="AL1832" s="4" t="s">
        <v>433</v>
      </c>
      <c r="AQ1832" s="4" t="s">
        <v>7</v>
      </c>
      <c r="AR1832" s="4">
        <v>1.38</v>
      </c>
      <c r="BD1832" s="4" t="s">
        <v>1570</v>
      </c>
      <c r="BE1832" s="4" t="s">
        <v>355</v>
      </c>
      <c r="BI1832" s="4" t="s">
        <v>321</v>
      </c>
      <c r="BK1832" s="4">
        <v>10</v>
      </c>
      <c r="BL1832" s="4">
        <v>2</v>
      </c>
      <c r="BM1832" s="4">
        <v>0.1</v>
      </c>
      <c r="BN1832" s="4">
        <v>0.01</v>
      </c>
      <c r="BO1832" s="4">
        <v>0.05</v>
      </c>
      <c r="BP1832" s="4">
        <v>5</v>
      </c>
      <c r="BV1832" s="4" t="s">
        <v>1574</v>
      </c>
      <c r="CB1832" s="4" t="s">
        <v>7</v>
      </c>
      <c r="CD1832" s="4">
        <v>50</v>
      </c>
      <c r="CR1832" s="4" t="s">
        <v>1572</v>
      </c>
      <c r="CV1832" s="4">
        <v>720</v>
      </c>
      <c r="DQ1832" s="1">
        <v>5.3</v>
      </c>
      <c r="DR1832" s="1">
        <v>0.3</v>
      </c>
      <c r="DS1832" s="1">
        <v>0.14</v>
      </c>
      <c r="DY1832" s="1">
        <v>0</v>
      </c>
      <c r="DZ1832" s="1">
        <v>0</v>
      </c>
      <c r="EA1832" s="50">
        <v>97.3584905660377</v>
      </c>
      <c r="ED1832" s="50">
        <v>97.3584905660377</v>
      </c>
    </row>
    <row r="1833" customHeight="1" spans="1:313">
      <c r="A1833" s="49">
        <v>67</v>
      </c>
      <c r="B1833" s="4" t="s">
        <v>1562</v>
      </c>
      <c r="C1833" s="5" t="s">
        <v>1563</v>
      </c>
      <c r="D1833" s="4" t="s">
        <v>529</v>
      </c>
      <c r="H1833" s="4" t="s">
        <v>328</v>
      </c>
      <c r="I1833" s="4" t="s">
        <v>627</v>
      </c>
      <c r="N1833" s="4" t="s">
        <v>567</v>
      </c>
      <c r="O1833" s="4" t="s">
        <v>343</v>
      </c>
      <c r="P1833" s="4">
        <v>2.5</v>
      </c>
      <c r="Q1833" s="4" t="s">
        <v>539</v>
      </c>
      <c r="T1833" s="4">
        <v>1.67</v>
      </c>
      <c r="X1833" s="4">
        <v>0.802</v>
      </c>
      <c r="AB1833" s="4" t="s">
        <v>1564</v>
      </c>
      <c r="AC1833" s="4" t="s">
        <v>1565</v>
      </c>
      <c r="AD1833" s="4" t="s">
        <v>1566</v>
      </c>
      <c r="AE1833" s="4" t="s">
        <v>1567</v>
      </c>
      <c r="AF1833" s="4" t="s">
        <v>1568</v>
      </c>
      <c r="AG1833" s="4" t="s">
        <v>316</v>
      </c>
      <c r="AH1833" s="4" t="s">
        <v>317</v>
      </c>
      <c r="AI1833" s="4" t="s">
        <v>1569</v>
      </c>
      <c r="AL1833" s="4" t="s">
        <v>433</v>
      </c>
      <c r="AQ1833" s="4" t="s">
        <v>7</v>
      </c>
      <c r="AR1833" s="4">
        <v>1.38</v>
      </c>
      <c r="BD1833" s="4" t="s">
        <v>1570</v>
      </c>
      <c r="BE1833" s="4" t="s">
        <v>355</v>
      </c>
      <c r="BI1833" s="4" t="s">
        <v>321</v>
      </c>
      <c r="BK1833" s="4">
        <v>10</v>
      </c>
      <c r="BL1833" s="4">
        <v>2</v>
      </c>
      <c r="BM1833" s="4">
        <v>0.1</v>
      </c>
      <c r="BN1833" s="4">
        <v>0.01</v>
      </c>
      <c r="BO1833" s="4">
        <v>0.05</v>
      </c>
      <c r="BP1833" s="4">
        <v>5</v>
      </c>
      <c r="BV1833" s="4" t="s">
        <v>1575</v>
      </c>
      <c r="CB1833" s="4" t="s">
        <v>7</v>
      </c>
      <c r="CD1833" s="4">
        <v>50</v>
      </c>
      <c r="CR1833" s="4" t="s">
        <v>1572</v>
      </c>
      <c r="CV1833" s="4">
        <v>720</v>
      </c>
      <c r="DQ1833" s="1">
        <v>5.2</v>
      </c>
      <c r="DR1833" s="1">
        <v>0.3</v>
      </c>
      <c r="DS1833" s="1">
        <v>0.09</v>
      </c>
      <c r="DY1833" s="1">
        <v>0</v>
      </c>
      <c r="DZ1833" s="1">
        <v>0</v>
      </c>
      <c r="EA1833" s="50">
        <v>98.2692307692308</v>
      </c>
      <c r="ED1833" s="50">
        <v>98.2692307692308</v>
      </c>
    </row>
    <row r="1834" customHeight="1" spans="1:313">
      <c r="A1834" s="49">
        <v>67</v>
      </c>
      <c r="B1834" s="4" t="s">
        <v>1562</v>
      </c>
      <c r="C1834" s="5" t="s">
        <v>1563</v>
      </c>
      <c r="D1834" s="4" t="s">
        <v>529</v>
      </c>
      <c r="H1834" s="4" t="s">
        <v>328</v>
      </c>
      <c r="I1834" s="4" t="s">
        <v>627</v>
      </c>
      <c r="N1834" s="4" t="s">
        <v>567</v>
      </c>
      <c r="O1834" s="4" t="s">
        <v>343</v>
      </c>
      <c r="P1834" s="4">
        <v>2.5</v>
      </c>
      <c r="Q1834" s="4" t="s">
        <v>539</v>
      </c>
      <c r="T1834" s="4">
        <v>1.67</v>
      </c>
      <c r="X1834" s="4">
        <v>0.802</v>
      </c>
      <c r="AB1834" s="4" t="s">
        <v>1564</v>
      </c>
      <c r="AC1834" s="4" t="s">
        <v>1565</v>
      </c>
      <c r="AD1834" s="4" t="s">
        <v>1566</v>
      </c>
      <c r="AE1834" s="4" t="s">
        <v>1567</v>
      </c>
      <c r="AF1834" s="4" t="s">
        <v>1568</v>
      </c>
      <c r="AG1834" s="4" t="s">
        <v>316</v>
      </c>
      <c r="AH1834" s="4" t="s">
        <v>317</v>
      </c>
      <c r="AI1834" s="4" t="s">
        <v>1569</v>
      </c>
      <c r="AL1834" s="4" t="s">
        <v>433</v>
      </c>
      <c r="AQ1834" s="4" t="s">
        <v>7</v>
      </c>
      <c r="AR1834" s="4">
        <v>1.38</v>
      </c>
      <c r="BD1834" s="4" t="s">
        <v>1570</v>
      </c>
      <c r="BE1834" s="4" t="s">
        <v>355</v>
      </c>
      <c r="BI1834" s="4" t="s">
        <v>321</v>
      </c>
      <c r="BK1834" s="4">
        <v>10</v>
      </c>
      <c r="BL1834" s="4">
        <v>2</v>
      </c>
      <c r="BM1834" s="4">
        <v>0.1</v>
      </c>
      <c r="BN1834" s="4">
        <v>0.01</v>
      </c>
      <c r="BO1834" s="4">
        <v>0.05</v>
      </c>
      <c r="BP1834" s="4">
        <v>5</v>
      </c>
      <c r="BV1834" s="4" t="s">
        <v>1415</v>
      </c>
      <c r="CB1834" s="4" t="s">
        <v>7</v>
      </c>
      <c r="CD1834" s="4">
        <v>50</v>
      </c>
      <c r="CR1834" s="4" t="s">
        <v>1572</v>
      </c>
      <c r="CV1834" s="4">
        <v>720</v>
      </c>
      <c r="DQ1834" s="51">
        <v>5</v>
      </c>
      <c r="DR1834" s="1">
        <v>0.3</v>
      </c>
      <c r="DS1834" s="1">
        <v>0.11</v>
      </c>
      <c r="DY1834" s="1">
        <v>0</v>
      </c>
      <c r="DZ1834" s="1">
        <v>0</v>
      </c>
      <c r="EA1834" s="1">
        <v>97.8</v>
      </c>
      <c r="ED1834" s="1">
        <v>97.8</v>
      </c>
    </row>
    <row r="1835" customHeight="1" spans="1:313">
      <c r="A1835" s="49">
        <v>67</v>
      </c>
      <c r="B1835" s="4" t="s">
        <v>1562</v>
      </c>
      <c r="C1835" s="5" t="s">
        <v>1563</v>
      </c>
      <c r="D1835" s="4" t="s">
        <v>529</v>
      </c>
      <c r="H1835" s="4" t="s">
        <v>328</v>
      </c>
      <c r="I1835" s="4" t="s">
        <v>627</v>
      </c>
      <c r="N1835" s="4" t="s">
        <v>567</v>
      </c>
      <c r="O1835" s="4" t="s">
        <v>343</v>
      </c>
      <c r="P1835" s="4">
        <v>2.5</v>
      </c>
      <c r="Q1835" s="4" t="s">
        <v>539</v>
      </c>
      <c r="T1835" s="4">
        <v>1.67</v>
      </c>
      <c r="X1835" s="4">
        <v>0.802</v>
      </c>
      <c r="AB1835" s="4" t="s">
        <v>1564</v>
      </c>
      <c r="AC1835" s="4" t="s">
        <v>1565</v>
      </c>
      <c r="AD1835" s="4" t="s">
        <v>1566</v>
      </c>
      <c r="AE1835" s="4" t="s">
        <v>1567</v>
      </c>
      <c r="AF1835" s="4" t="s">
        <v>1568</v>
      </c>
      <c r="AG1835" s="4" t="s">
        <v>316</v>
      </c>
      <c r="AH1835" s="4" t="s">
        <v>317</v>
      </c>
      <c r="AI1835" s="4" t="s">
        <v>1569</v>
      </c>
      <c r="AL1835" s="4" t="s">
        <v>433</v>
      </c>
      <c r="AQ1835" s="4" t="s">
        <v>7</v>
      </c>
      <c r="AR1835" s="4">
        <v>1.38</v>
      </c>
      <c r="BD1835" s="4" t="s">
        <v>1570</v>
      </c>
      <c r="BE1835" s="4" t="s">
        <v>355</v>
      </c>
      <c r="BI1835" s="4" t="s">
        <v>321</v>
      </c>
      <c r="BK1835" s="4">
        <v>10</v>
      </c>
      <c r="BL1835" s="4">
        <v>2</v>
      </c>
      <c r="BM1835" s="4">
        <v>0.1</v>
      </c>
      <c r="BN1835" s="4">
        <v>0.01</v>
      </c>
      <c r="BO1835" s="4">
        <v>0.05</v>
      </c>
      <c r="BP1835" s="4">
        <v>5</v>
      </c>
      <c r="BV1835" s="4" t="s">
        <v>1576</v>
      </c>
      <c r="CB1835" s="4" t="s">
        <v>7</v>
      </c>
      <c r="CD1835" s="4">
        <v>50</v>
      </c>
      <c r="CR1835" s="4" t="s">
        <v>1572</v>
      </c>
      <c r="CV1835" s="4">
        <v>720</v>
      </c>
      <c r="DQ1835" s="1">
        <v>4.5</v>
      </c>
      <c r="DR1835" s="1">
        <v>0.3</v>
      </c>
      <c r="DS1835" s="1">
        <v>0.12</v>
      </c>
      <c r="DY1835" s="1">
        <v>0</v>
      </c>
      <c r="DZ1835" s="1">
        <v>0</v>
      </c>
      <c r="EA1835" s="50">
        <v>97.3333333333333</v>
      </c>
      <c r="ED1835" s="50">
        <v>97.3333333333333</v>
      </c>
    </row>
    <row r="1836" customHeight="1" spans="1:313">
      <c r="A1836" s="49">
        <v>67</v>
      </c>
      <c r="B1836" s="4" t="s">
        <v>1562</v>
      </c>
      <c r="C1836" s="5" t="s">
        <v>1563</v>
      </c>
      <c r="D1836" s="4" t="s">
        <v>529</v>
      </c>
      <c r="H1836" s="4" t="s">
        <v>328</v>
      </c>
      <c r="I1836" s="4" t="s">
        <v>627</v>
      </c>
      <c r="N1836" s="4" t="s">
        <v>567</v>
      </c>
      <c r="O1836" s="4" t="s">
        <v>343</v>
      </c>
      <c r="P1836" s="4">
        <v>2.5</v>
      </c>
      <c r="Q1836" s="4" t="s">
        <v>539</v>
      </c>
      <c r="T1836" s="4">
        <v>1.67</v>
      </c>
      <c r="X1836" s="4">
        <v>0.802</v>
      </c>
      <c r="AB1836" s="4" t="s">
        <v>1564</v>
      </c>
      <c r="AC1836" s="4" t="s">
        <v>1565</v>
      </c>
      <c r="AD1836" s="4" t="s">
        <v>1566</v>
      </c>
      <c r="AE1836" s="4" t="s">
        <v>1567</v>
      </c>
      <c r="AF1836" s="4" t="s">
        <v>1568</v>
      </c>
      <c r="AG1836" s="4" t="s">
        <v>316</v>
      </c>
      <c r="AH1836" s="4" t="s">
        <v>317</v>
      </c>
      <c r="AI1836" s="4" t="s">
        <v>1569</v>
      </c>
      <c r="AL1836" s="4" t="s">
        <v>433</v>
      </c>
      <c r="AQ1836" s="4" t="s">
        <v>7</v>
      </c>
      <c r="AR1836" s="4">
        <v>1.38</v>
      </c>
      <c r="BD1836" s="4" t="s">
        <v>1570</v>
      </c>
      <c r="BE1836" s="4" t="s">
        <v>355</v>
      </c>
      <c r="BI1836" s="4" t="s">
        <v>321</v>
      </c>
      <c r="BK1836" s="4">
        <v>10</v>
      </c>
      <c r="BL1836" s="4">
        <v>2</v>
      </c>
      <c r="BM1836" s="4">
        <v>0.1</v>
      </c>
      <c r="BN1836" s="4">
        <v>0.01</v>
      </c>
      <c r="BO1836" s="4">
        <v>0.05</v>
      </c>
      <c r="BP1836" s="4">
        <v>5</v>
      </c>
      <c r="BV1836" s="4" t="s">
        <v>883</v>
      </c>
      <c r="CB1836" s="4" t="s">
        <v>7</v>
      </c>
      <c r="CD1836" s="4">
        <v>50</v>
      </c>
      <c r="CR1836" s="4" t="s">
        <v>1572</v>
      </c>
      <c r="CV1836" s="4">
        <v>720</v>
      </c>
      <c r="DQ1836" s="1">
        <v>4.5</v>
      </c>
      <c r="DR1836" s="1">
        <v>0.3</v>
      </c>
      <c r="DS1836" s="1">
        <v>0.09</v>
      </c>
      <c r="DY1836" s="1">
        <v>0</v>
      </c>
      <c r="DZ1836" s="1">
        <v>0</v>
      </c>
      <c r="EA1836" s="1">
        <v>98</v>
      </c>
      <c r="ED1836" s="1">
        <v>98</v>
      </c>
    </row>
    <row r="1837" customHeight="1" spans="1:313">
      <c r="A1837" s="49">
        <v>67</v>
      </c>
      <c r="B1837" s="4" t="s">
        <v>1562</v>
      </c>
      <c r="C1837" s="5" t="s">
        <v>1563</v>
      </c>
      <c r="D1837" s="4" t="s">
        <v>529</v>
      </c>
      <c r="H1837" s="4" t="s">
        <v>328</v>
      </c>
      <c r="I1837" s="4" t="s">
        <v>627</v>
      </c>
      <c r="N1837" s="4" t="s">
        <v>567</v>
      </c>
      <c r="O1837" s="4" t="s">
        <v>343</v>
      </c>
      <c r="P1837" s="4">
        <v>2.5</v>
      </c>
      <c r="Q1837" s="4" t="s">
        <v>539</v>
      </c>
      <c r="T1837" s="4">
        <v>1.67</v>
      </c>
      <c r="X1837" s="4">
        <v>0.802</v>
      </c>
      <c r="AB1837" s="4" t="s">
        <v>1564</v>
      </c>
      <c r="AC1837" s="4" t="s">
        <v>1565</v>
      </c>
      <c r="AD1837" s="4" t="s">
        <v>1566</v>
      </c>
      <c r="AE1837" s="4" t="s">
        <v>1567</v>
      </c>
      <c r="AF1837" s="4" t="s">
        <v>1568</v>
      </c>
      <c r="AG1837" s="4" t="s">
        <v>316</v>
      </c>
      <c r="AH1837" s="4" t="s">
        <v>317</v>
      </c>
      <c r="AI1837" s="4" t="s">
        <v>1569</v>
      </c>
      <c r="AL1837" s="4" t="s">
        <v>433</v>
      </c>
      <c r="AQ1837" s="4" t="s">
        <v>7</v>
      </c>
      <c r="AR1837" s="4">
        <v>1.38</v>
      </c>
      <c r="BD1837" s="4" t="s">
        <v>1570</v>
      </c>
      <c r="BE1837" s="4" t="s">
        <v>355</v>
      </c>
      <c r="BI1837" s="4" t="s">
        <v>321</v>
      </c>
      <c r="BK1837" s="4">
        <v>10</v>
      </c>
      <c r="BL1837" s="4">
        <v>2</v>
      </c>
      <c r="BM1837" s="4">
        <v>0.1</v>
      </c>
      <c r="BN1837" s="4">
        <v>0.01</v>
      </c>
      <c r="BO1837" s="4">
        <v>0.05</v>
      </c>
      <c r="BP1837" s="4">
        <v>5</v>
      </c>
      <c r="BV1837" s="4" t="s">
        <v>1577</v>
      </c>
      <c r="CB1837" s="4" t="s">
        <v>7</v>
      </c>
      <c r="CD1837" s="4">
        <v>50</v>
      </c>
      <c r="CR1837" s="4" t="s">
        <v>1572</v>
      </c>
      <c r="CV1837" s="4">
        <v>720</v>
      </c>
      <c r="DQ1837" s="1">
        <v>4.5</v>
      </c>
      <c r="DR1837" s="1">
        <v>0.3</v>
      </c>
      <c r="DS1837" s="1">
        <v>0.07</v>
      </c>
      <c r="DY1837" s="1">
        <v>0</v>
      </c>
      <c r="DZ1837" s="1">
        <v>0</v>
      </c>
      <c r="EA1837" s="50">
        <v>98.4444444444444</v>
      </c>
      <c r="ED1837" s="50">
        <v>98.4444444444444</v>
      </c>
    </row>
    <row r="1838" customHeight="1" spans="1:313">
      <c r="A1838" s="49">
        <v>67</v>
      </c>
      <c r="B1838" s="4" t="s">
        <v>1562</v>
      </c>
      <c r="C1838" s="5" t="s">
        <v>1563</v>
      </c>
      <c r="D1838" s="4" t="s">
        <v>529</v>
      </c>
      <c r="H1838" s="4" t="s">
        <v>328</v>
      </c>
      <c r="I1838" s="4" t="s">
        <v>627</v>
      </c>
      <c r="N1838" s="4" t="s">
        <v>567</v>
      </c>
      <c r="O1838" s="4" t="s">
        <v>343</v>
      </c>
      <c r="P1838" s="4">
        <v>2.5</v>
      </c>
      <c r="Q1838" s="4" t="s">
        <v>539</v>
      </c>
      <c r="T1838" s="4">
        <v>1.67</v>
      </c>
      <c r="X1838" s="4">
        <v>0.802</v>
      </c>
      <c r="AB1838" s="4" t="s">
        <v>1564</v>
      </c>
      <c r="AC1838" s="4" t="s">
        <v>1565</v>
      </c>
      <c r="AD1838" s="4" t="s">
        <v>1566</v>
      </c>
      <c r="AE1838" s="4" t="s">
        <v>1567</v>
      </c>
      <c r="AF1838" s="4" t="s">
        <v>1568</v>
      </c>
      <c r="AG1838" s="4" t="s">
        <v>316</v>
      </c>
      <c r="AH1838" s="4" t="s">
        <v>317</v>
      </c>
      <c r="AI1838" s="4" t="s">
        <v>1569</v>
      </c>
      <c r="AL1838" s="4" t="s">
        <v>433</v>
      </c>
      <c r="AQ1838" s="4" t="s">
        <v>7</v>
      </c>
      <c r="AR1838" s="4">
        <v>1.38</v>
      </c>
      <c r="BD1838" s="4" t="s">
        <v>1570</v>
      </c>
      <c r="BE1838" s="4" t="s">
        <v>355</v>
      </c>
      <c r="BI1838" s="4" t="s">
        <v>321</v>
      </c>
      <c r="BK1838" s="4">
        <v>10</v>
      </c>
      <c r="BL1838" s="4">
        <v>2</v>
      </c>
      <c r="BM1838" s="4">
        <v>0.1</v>
      </c>
      <c r="BN1838" s="4">
        <v>0.01</v>
      </c>
      <c r="BO1838" s="4">
        <v>0.05</v>
      </c>
      <c r="BP1838" s="4">
        <v>5</v>
      </c>
      <c r="BV1838" s="4" t="s">
        <v>1578</v>
      </c>
      <c r="CB1838" s="4" t="s">
        <v>7</v>
      </c>
      <c r="CD1838" s="4">
        <v>50</v>
      </c>
      <c r="CR1838" s="4" t="s">
        <v>1572</v>
      </c>
      <c r="CV1838" s="4">
        <v>720</v>
      </c>
      <c r="DQ1838" s="1">
        <v>4.6</v>
      </c>
      <c r="DR1838" s="1">
        <v>0.3</v>
      </c>
      <c r="DS1838" s="1">
        <v>0.08</v>
      </c>
      <c r="DY1838" s="1">
        <v>0</v>
      </c>
      <c r="DZ1838" s="1">
        <v>0</v>
      </c>
      <c r="EA1838" s="50">
        <v>98.2608695652174</v>
      </c>
      <c r="ED1838" s="50">
        <v>98.2608695652174</v>
      </c>
    </row>
    <row r="1839" customHeight="1" spans="1:313">
      <c r="A1839" s="49">
        <v>67</v>
      </c>
      <c r="B1839" s="4" t="s">
        <v>1562</v>
      </c>
      <c r="C1839" s="5" t="s">
        <v>1563</v>
      </c>
      <c r="D1839" s="4" t="s">
        <v>529</v>
      </c>
      <c r="H1839" s="4" t="s">
        <v>328</v>
      </c>
      <c r="I1839" s="4" t="s">
        <v>627</v>
      </c>
      <c r="N1839" s="4" t="s">
        <v>567</v>
      </c>
      <c r="O1839" s="4" t="s">
        <v>343</v>
      </c>
      <c r="P1839" s="4">
        <v>2.5</v>
      </c>
      <c r="Q1839" s="4" t="s">
        <v>539</v>
      </c>
      <c r="T1839" s="4">
        <v>1.67</v>
      </c>
      <c r="X1839" s="4">
        <v>0.802</v>
      </c>
      <c r="AB1839" s="4" t="s">
        <v>1564</v>
      </c>
      <c r="AC1839" s="4" t="s">
        <v>1565</v>
      </c>
      <c r="AD1839" s="4" t="s">
        <v>1566</v>
      </c>
      <c r="AE1839" s="4" t="s">
        <v>1567</v>
      </c>
      <c r="AF1839" s="4" t="s">
        <v>1568</v>
      </c>
      <c r="AG1839" s="4" t="s">
        <v>316</v>
      </c>
      <c r="AH1839" s="4" t="s">
        <v>317</v>
      </c>
      <c r="AI1839" s="4" t="s">
        <v>1569</v>
      </c>
      <c r="AL1839" s="4" t="s">
        <v>433</v>
      </c>
      <c r="AQ1839" s="4" t="s">
        <v>7</v>
      </c>
      <c r="AR1839" s="4">
        <v>1.38</v>
      </c>
      <c r="BD1839" s="4" t="s">
        <v>1570</v>
      </c>
      <c r="BE1839" s="4" t="s">
        <v>355</v>
      </c>
      <c r="BI1839" s="4" t="s">
        <v>321</v>
      </c>
      <c r="BK1839" s="4">
        <v>10</v>
      </c>
      <c r="BL1839" s="4">
        <v>2</v>
      </c>
      <c r="BM1839" s="4">
        <v>0.1</v>
      </c>
      <c r="BN1839" s="4">
        <v>0.01</v>
      </c>
      <c r="BO1839" s="4">
        <v>0.05</v>
      </c>
      <c r="BP1839" s="4">
        <v>5</v>
      </c>
      <c r="BV1839" s="4" t="s">
        <v>1051</v>
      </c>
      <c r="CB1839" s="4" t="s">
        <v>7</v>
      </c>
      <c r="CD1839" s="4">
        <v>50</v>
      </c>
      <c r="CR1839" s="4" t="s">
        <v>1572</v>
      </c>
      <c r="CV1839" s="4">
        <v>720</v>
      </c>
      <c r="DQ1839" s="1">
        <v>4.5</v>
      </c>
      <c r="DR1839" s="1">
        <v>0.3</v>
      </c>
      <c r="DS1839" s="1">
        <v>0.09</v>
      </c>
      <c r="DY1839" s="1">
        <v>0</v>
      </c>
      <c r="DZ1839" s="1">
        <v>0</v>
      </c>
      <c r="EA1839" s="1">
        <v>98</v>
      </c>
      <c r="ED1839" s="1">
        <v>98</v>
      </c>
    </row>
    <row r="1840" customHeight="1" spans="1:313">
      <c r="A1840" s="49">
        <v>67</v>
      </c>
      <c r="B1840" s="4" t="s">
        <v>1562</v>
      </c>
      <c r="C1840" s="5" t="s">
        <v>1563</v>
      </c>
      <c r="D1840" s="4" t="s">
        <v>529</v>
      </c>
      <c r="H1840" s="4" t="s">
        <v>328</v>
      </c>
      <c r="I1840" s="4" t="s">
        <v>627</v>
      </c>
      <c r="N1840" s="4" t="s">
        <v>567</v>
      </c>
      <c r="O1840" s="4" t="s">
        <v>343</v>
      </c>
      <c r="P1840" s="4">
        <v>2.5</v>
      </c>
      <c r="Q1840" s="4" t="s">
        <v>539</v>
      </c>
      <c r="T1840" s="4">
        <v>1.67</v>
      </c>
      <c r="X1840" s="4">
        <v>0.802</v>
      </c>
      <c r="AB1840" s="4" t="s">
        <v>1564</v>
      </c>
      <c r="AC1840" s="4" t="s">
        <v>1565</v>
      </c>
      <c r="AD1840" s="4" t="s">
        <v>1566</v>
      </c>
      <c r="AE1840" s="4" t="s">
        <v>1567</v>
      </c>
      <c r="AF1840" s="4" t="s">
        <v>1568</v>
      </c>
      <c r="AG1840" s="4" t="s">
        <v>316</v>
      </c>
      <c r="AH1840" s="4" t="s">
        <v>317</v>
      </c>
      <c r="AI1840" s="4" t="s">
        <v>1569</v>
      </c>
      <c r="AL1840" s="4" t="s">
        <v>433</v>
      </c>
      <c r="AQ1840" s="4" t="s">
        <v>7</v>
      </c>
      <c r="AR1840" s="4">
        <v>1.38</v>
      </c>
      <c r="BD1840" s="4" t="s">
        <v>1570</v>
      </c>
      <c r="BE1840" s="4" t="s">
        <v>355</v>
      </c>
      <c r="BI1840" s="4" t="s">
        <v>321</v>
      </c>
      <c r="BK1840" s="4">
        <v>10</v>
      </c>
      <c r="BL1840" s="4">
        <v>2</v>
      </c>
      <c r="BM1840" s="4">
        <v>0.1</v>
      </c>
      <c r="BN1840" s="4">
        <v>0.01</v>
      </c>
      <c r="BO1840" s="4">
        <v>0.05</v>
      </c>
      <c r="BP1840" s="4">
        <v>5</v>
      </c>
      <c r="BV1840" s="4" t="s">
        <v>1579</v>
      </c>
      <c r="CB1840" s="4" t="s">
        <v>7</v>
      </c>
      <c r="CD1840" s="4">
        <v>50</v>
      </c>
      <c r="CR1840" s="4" t="s">
        <v>1572</v>
      </c>
      <c r="CV1840" s="4">
        <v>720</v>
      </c>
      <c r="DQ1840" s="1">
        <v>4.5</v>
      </c>
      <c r="DR1840" s="1">
        <v>0.3</v>
      </c>
      <c r="DS1840" s="1">
        <v>0.08</v>
      </c>
      <c r="DY1840" s="1">
        <v>0</v>
      </c>
      <c r="DZ1840" s="1">
        <v>0</v>
      </c>
      <c r="EA1840" s="52">
        <v>98.2222222222222</v>
      </c>
      <c r="ED1840" s="52">
        <v>98.2222222222222</v>
      </c>
    </row>
    <row r="1841" customHeight="1" spans="1:134">
      <c r="A1841" s="49">
        <v>68</v>
      </c>
      <c r="B1841" s="4" t="s">
        <v>1580</v>
      </c>
      <c r="C1841" s="5" t="s">
        <v>1581</v>
      </c>
      <c r="D1841" s="4" t="s">
        <v>300</v>
      </c>
      <c r="E1841" s="4" t="s">
        <v>1582</v>
      </c>
      <c r="H1841" s="4" t="s">
        <v>328</v>
      </c>
      <c r="I1841" s="4" t="s">
        <v>627</v>
      </c>
      <c r="N1841" s="4" t="s">
        <v>567</v>
      </c>
      <c r="O1841" s="4" t="s">
        <v>502</v>
      </c>
      <c r="P1841" s="4">
        <v>3.95</v>
      </c>
      <c r="Q1841" s="4" t="s">
        <v>539</v>
      </c>
      <c r="T1841" s="4">
        <v>61.98</v>
      </c>
      <c r="U1841" s="4">
        <v>0.16</v>
      </c>
      <c r="V1841" s="4">
        <v>8.29</v>
      </c>
      <c r="W1841" s="4">
        <v>0.77</v>
      </c>
      <c r="Z1841" s="4">
        <v>0.3</v>
      </c>
      <c r="AB1841" s="4" t="s">
        <v>1583</v>
      </c>
      <c r="AC1841" s="4" t="s">
        <v>1584</v>
      </c>
      <c r="AD1841" s="4" t="s">
        <v>1585</v>
      </c>
      <c r="AE1841" s="4" t="s">
        <v>1586</v>
      </c>
      <c r="AF1841" s="4" t="s">
        <v>1587</v>
      </c>
      <c r="AG1841" s="4" t="s">
        <v>316</v>
      </c>
      <c r="AH1841" s="4" t="s">
        <v>1524</v>
      </c>
      <c r="AI1841" s="4" t="s">
        <v>1588</v>
      </c>
      <c r="AL1841" s="4" t="s">
        <v>757</v>
      </c>
      <c r="AM1841" s="4">
        <v>8.04</v>
      </c>
      <c r="AN1841" s="4">
        <v>12.27</v>
      </c>
      <c r="AO1841" s="4">
        <v>12.23</v>
      </c>
      <c r="AQ1841" s="4" t="s">
        <v>7</v>
      </c>
      <c r="AR1841" s="4">
        <v>0.22</v>
      </c>
      <c r="BD1841" s="4" t="s">
        <v>1589</v>
      </c>
      <c r="BE1841" s="4" t="s">
        <v>355</v>
      </c>
      <c r="BI1841" s="4" t="s">
        <v>321</v>
      </c>
      <c r="BL1841" s="4">
        <v>600</v>
      </c>
      <c r="BM1841" s="4">
        <v>6</v>
      </c>
      <c r="BP1841" s="4">
        <v>1</v>
      </c>
      <c r="BS1841" s="4">
        <v>8.04</v>
      </c>
      <c r="BV1841" s="4" t="s">
        <v>1552</v>
      </c>
      <c r="BX1841" s="4">
        <v>60</v>
      </c>
      <c r="CB1841" s="4" t="s">
        <v>7</v>
      </c>
      <c r="CD1841" s="4">
        <v>12.11</v>
      </c>
      <c r="DY1841" s="1">
        <v>0</v>
      </c>
      <c r="DZ1841" s="1">
        <v>0</v>
      </c>
      <c r="EA1841" s="53">
        <v>39.4819159335288</v>
      </c>
      <c r="EB1841" s="53">
        <v>3.61681329423271</v>
      </c>
      <c r="ED1841" s="53">
        <v>39.4819159335288</v>
      </c>
    </row>
    <row r="1842" customHeight="1" spans="1:134">
      <c r="A1842" s="49">
        <v>68</v>
      </c>
      <c r="B1842" s="4" t="s">
        <v>1580</v>
      </c>
      <c r="C1842" s="5" t="s">
        <v>1581</v>
      </c>
      <c r="D1842" s="4" t="s">
        <v>300</v>
      </c>
      <c r="E1842" s="4" t="s">
        <v>1582</v>
      </c>
      <c r="H1842" s="4" t="s">
        <v>328</v>
      </c>
      <c r="I1842" s="4" t="s">
        <v>627</v>
      </c>
      <c r="N1842" s="4" t="s">
        <v>567</v>
      </c>
      <c r="O1842" s="4" t="s">
        <v>502</v>
      </c>
      <c r="P1842" s="4">
        <v>3.95</v>
      </c>
      <c r="Q1842" s="4" t="s">
        <v>539</v>
      </c>
      <c r="T1842" s="4">
        <v>61.98</v>
      </c>
      <c r="U1842" s="4">
        <v>0.16</v>
      </c>
      <c r="V1842" s="4">
        <v>8.29</v>
      </c>
      <c r="W1842" s="4">
        <v>0.77</v>
      </c>
      <c r="Z1842" s="4">
        <v>0.3</v>
      </c>
      <c r="AB1842" s="4" t="s">
        <v>1583</v>
      </c>
      <c r="AC1842" s="4" t="s">
        <v>1584</v>
      </c>
      <c r="AD1842" s="4" t="s">
        <v>1585</v>
      </c>
      <c r="AE1842" s="4" t="s">
        <v>1586</v>
      </c>
      <c r="AF1842" s="4" t="s">
        <v>1587</v>
      </c>
      <c r="AG1842" s="4" t="s">
        <v>316</v>
      </c>
      <c r="AH1842" s="4" t="s">
        <v>1524</v>
      </c>
      <c r="AI1842" s="4" t="s">
        <v>1588</v>
      </c>
      <c r="AL1842" s="4" t="s">
        <v>757</v>
      </c>
      <c r="AM1842" s="4">
        <v>8.04</v>
      </c>
      <c r="AN1842" s="4">
        <v>12.27</v>
      </c>
      <c r="AO1842" s="4">
        <v>12.23</v>
      </c>
      <c r="AQ1842" s="4" t="s">
        <v>7</v>
      </c>
      <c r="AR1842" s="4">
        <v>0.22</v>
      </c>
      <c r="BD1842" s="4" t="s">
        <v>1589</v>
      </c>
      <c r="BE1842" s="4" t="s">
        <v>355</v>
      </c>
      <c r="BI1842" s="4" t="s">
        <v>321</v>
      </c>
      <c r="BL1842" s="4">
        <v>600</v>
      </c>
      <c r="BM1842" s="4">
        <v>6</v>
      </c>
      <c r="BP1842" s="4">
        <v>1</v>
      </c>
      <c r="BS1842" s="4">
        <v>8.04</v>
      </c>
      <c r="BV1842" s="4" t="s">
        <v>488</v>
      </c>
      <c r="BX1842" s="4">
        <v>60</v>
      </c>
      <c r="CB1842" s="4" t="s">
        <v>7</v>
      </c>
      <c r="CD1842" s="4">
        <v>12.11</v>
      </c>
      <c r="DY1842" s="1">
        <v>0</v>
      </c>
      <c r="DZ1842" s="1">
        <v>0</v>
      </c>
      <c r="EA1842" s="53">
        <v>42.5122189638318</v>
      </c>
      <c r="EB1842" s="53">
        <v>3.86119257087</v>
      </c>
      <c r="ED1842" s="53">
        <v>42.5122189638318</v>
      </c>
    </row>
    <row r="1843" customHeight="1" spans="1:134">
      <c r="A1843" s="49">
        <v>68</v>
      </c>
      <c r="B1843" s="4" t="s">
        <v>1580</v>
      </c>
      <c r="C1843" s="5" t="s">
        <v>1581</v>
      </c>
      <c r="D1843" s="4" t="s">
        <v>300</v>
      </c>
      <c r="E1843" s="4" t="s">
        <v>1582</v>
      </c>
      <c r="H1843" s="4" t="s">
        <v>328</v>
      </c>
      <c r="I1843" s="4" t="s">
        <v>627</v>
      </c>
      <c r="N1843" s="4" t="s">
        <v>567</v>
      </c>
      <c r="O1843" s="4" t="s">
        <v>502</v>
      </c>
      <c r="P1843" s="4">
        <v>3.95</v>
      </c>
      <c r="Q1843" s="4" t="s">
        <v>539</v>
      </c>
      <c r="T1843" s="4">
        <v>61.98</v>
      </c>
      <c r="U1843" s="4">
        <v>0.16</v>
      </c>
      <c r="V1843" s="4">
        <v>8.29</v>
      </c>
      <c r="W1843" s="4">
        <v>0.77</v>
      </c>
      <c r="Z1843" s="4">
        <v>0.3</v>
      </c>
      <c r="AB1843" s="4" t="s">
        <v>1583</v>
      </c>
      <c r="AC1843" s="4" t="s">
        <v>1584</v>
      </c>
      <c r="AD1843" s="4" t="s">
        <v>1585</v>
      </c>
      <c r="AE1843" s="4" t="s">
        <v>1586</v>
      </c>
      <c r="AF1843" s="4" t="s">
        <v>1587</v>
      </c>
      <c r="AG1843" s="4" t="s">
        <v>316</v>
      </c>
      <c r="AH1843" s="4" t="s">
        <v>1524</v>
      </c>
      <c r="AI1843" s="4" t="s">
        <v>1588</v>
      </c>
      <c r="AL1843" s="4" t="s">
        <v>757</v>
      </c>
      <c r="AM1843" s="4">
        <v>8.04</v>
      </c>
      <c r="AN1843" s="4">
        <v>12.27</v>
      </c>
      <c r="AO1843" s="4">
        <v>12.23</v>
      </c>
      <c r="AQ1843" s="4" t="s">
        <v>7</v>
      </c>
      <c r="AR1843" s="4">
        <v>0.22</v>
      </c>
      <c r="BD1843" s="4" t="s">
        <v>1589</v>
      </c>
      <c r="BE1843" s="4" t="s">
        <v>355</v>
      </c>
      <c r="BI1843" s="4" t="s">
        <v>321</v>
      </c>
      <c r="BL1843" s="4">
        <v>600</v>
      </c>
      <c r="BM1843" s="4">
        <v>6</v>
      </c>
      <c r="BP1843" s="4">
        <v>1</v>
      </c>
      <c r="BS1843" s="4">
        <v>8.04</v>
      </c>
      <c r="BV1843" s="4" t="s">
        <v>522</v>
      </c>
      <c r="BX1843" s="4">
        <v>60</v>
      </c>
      <c r="CB1843" s="4" t="s">
        <v>7</v>
      </c>
      <c r="CD1843" s="4">
        <v>12.11</v>
      </c>
      <c r="DY1843" s="1">
        <v>0</v>
      </c>
      <c r="DZ1843" s="1">
        <v>0</v>
      </c>
      <c r="EA1843" s="53">
        <v>46.911045943304</v>
      </c>
      <c r="EB1843" s="53">
        <v>4.3499511241447</v>
      </c>
      <c r="ED1843" s="53">
        <v>46.911045943304</v>
      </c>
    </row>
    <row r="1844" customHeight="1" spans="1:134">
      <c r="A1844" s="49">
        <v>68</v>
      </c>
      <c r="B1844" s="4" t="s">
        <v>1580</v>
      </c>
      <c r="C1844" s="5" t="s">
        <v>1581</v>
      </c>
      <c r="D1844" s="4" t="s">
        <v>300</v>
      </c>
      <c r="E1844" s="4" t="s">
        <v>1582</v>
      </c>
      <c r="H1844" s="4" t="s">
        <v>328</v>
      </c>
      <c r="I1844" s="4" t="s">
        <v>627</v>
      </c>
      <c r="N1844" s="4" t="s">
        <v>567</v>
      </c>
      <c r="O1844" s="4" t="s">
        <v>502</v>
      </c>
      <c r="P1844" s="4">
        <v>3.95</v>
      </c>
      <c r="Q1844" s="4" t="s">
        <v>539</v>
      </c>
      <c r="T1844" s="4">
        <v>61.98</v>
      </c>
      <c r="U1844" s="4">
        <v>0.16</v>
      </c>
      <c r="V1844" s="4">
        <v>8.29</v>
      </c>
      <c r="W1844" s="4">
        <v>0.77</v>
      </c>
      <c r="Z1844" s="4">
        <v>0.3</v>
      </c>
      <c r="AB1844" s="4" t="s">
        <v>1583</v>
      </c>
      <c r="AC1844" s="4" t="s">
        <v>1584</v>
      </c>
      <c r="AD1844" s="4" t="s">
        <v>1585</v>
      </c>
      <c r="AE1844" s="4" t="s">
        <v>1586</v>
      </c>
      <c r="AF1844" s="4" t="s">
        <v>1587</v>
      </c>
      <c r="AG1844" s="4" t="s">
        <v>316</v>
      </c>
      <c r="AH1844" s="4" t="s">
        <v>1524</v>
      </c>
      <c r="AI1844" s="4" t="s">
        <v>1588</v>
      </c>
      <c r="AL1844" s="4" t="s">
        <v>757</v>
      </c>
      <c r="AM1844" s="4">
        <v>8.04</v>
      </c>
      <c r="AN1844" s="4">
        <v>12.27</v>
      </c>
      <c r="AO1844" s="4">
        <v>12.23</v>
      </c>
      <c r="AQ1844" s="4" t="s">
        <v>7</v>
      </c>
      <c r="AR1844" s="4">
        <v>0.22</v>
      </c>
      <c r="BD1844" s="4" t="s">
        <v>1589</v>
      </c>
      <c r="BE1844" s="4" t="s">
        <v>355</v>
      </c>
      <c r="BI1844" s="4" t="s">
        <v>321</v>
      </c>
      <c r="BL1844" s="4">
        <v>600</v>
      </c>
      <c r="BM1844" s="4">
        <v>6</v>
      </c>
      <c r="BP1844" s="4">
        <v>1</v>
      </c>
      <c r="BS1844" s="4">
        <v>8.04</v>
      </c>
      <c r="BV1844" s="4" t="s">
        <v>796</v>
      </c>
      <c r="BX1844" s="4">
        <v>60</v>
      </c>
      <c r="CB1844" s="4" t="s">
        <v>7</v>
      </c>
      <c r="CD1844" s="4">
        <v>12.11</v>
      </c>
      <c r="DY1844" s="1">
        <v>0</v>
      </c>
      <c r="DZ1844" s="1">
        <v>0</v>
      </c>
      <c r="EA1844" s="53">
        <v>54.7311827956989</v>
      </c>
      <c r="EB1844" s="53">
        <v>3.6656891495601</v>
      </c>
      <c r="ED1844" s="53">
        <v>54.7311827956989</v>
      </c>
    </row>
    <row r="1845" customHeight="1" spans="1:134">
      <c r="A1845" s="49">
        <v>68</v>
      </c>
      <c r="B1845" s="4" t="s">
        <v>1580</v>
      </c>
      <c r="C1845" s="5" t="s">
        <v>1581</v>
      </c>
      <c r="D1845" s="4" t="s">
        <v>300</v>
      </c>
      <c r="E1845" s="4" t="s">
        <v>1582</v>
      </c>
      <c r="H1845" s="4" t="s">
        <v>328</v>
      </c>
      <c r="I1845" s="4" t="s">
        <v>627</v>
      </c>
      <c r="N1845" s="4" t="s">
        <v>567</v>
      </c>
      <c r="O1845" s="4" t="s">
        <v>502</v>
      </c>
      <c r="P1845" s="4">
        <v>3.95</v>
      </c>
      <c r="Q1845" s="4" t="s">
        <v>539</v>
      </c>
      <c r="T1845" s="4">
        <v>61.98</v>
      </c>
      <c r="U1845" s="4">
        <v>0.16</v>
      </c>
      <c r="V1845" s="4">
        <v>8.29</v>
      </c>
      <c r="W1845" s="4">
        <v>0.77</v>
      </c>
      <c r="Z1845" s="4">
        <v>0.3</v>
      </c>
      <c r="AB1845" s="4" t="s">
        <v>1583</v>
      </c>
      <c r="AC1845" s="4" t="s">
        <v>1584</v>
      </c>
      <c r="AD1845" s="4" t="s">
        <v>1585</v>
      </c>
      <c r="AE1845" s="4" t="s">
        <v>1586</v>
      </c>
      <c r="AF1845" s="4" t="s">
        <v>1587</v>
      </c>
      <c r="AG1845" s="4" t="s">
        <v>316</v>
      </c>
      <c r="AH1845" s="4" t="s">
        <v>1524</v>
      </c>
      <c r="AI1845" s="4" t="s">
        <v>1588</v>
      </c>
      <c r="AL1845" s="4" t="s">
        <v>757</v>
      </c>
      <c r="AM1845" s="4">
        <v>8.04</v>
      </c>
      <c r="AN1845" s="4">
        <v>12.27</v>
      </c>
      <c r="AO1845" s="4">
        <v>12.23</v>
      </c>
      <c r="AQ1845" s="4" t="s">
        <v>7</v>
      </c>
      <c r="AR1845" s="4">
        <v>0.22</v>
      </c>
      <c r="BD1845" s="4" t="s">
        <v>1589</v>
      </c>
      <c r="BE1845" s="4" t="s">
        <v>355</v>
      </c>
      <c r="BI1845" s="4" t="s">
        <v>321</v>
      </c>
      <c r="BL1845" s="4">
        <v>600</v>
      </c>
      <c r="BM1845" s="4">
        <v>18</v>
      </c>
      <c r="BP1845" s="4">
        <v>3</v>
      </c>
      <c r="BS1845" s="4">
        <v>8.04</v>
      </c>
      <c r="BV1845" s="4" t="s">
        <v>1552</v>
      </c>
      <c r="BX1845" s="4">
        <v>60</v>
      </c>
      <c r="CB1845" s="4" t="s">
        <v>7</v>
      </c>
      <c r="CD1845" s="4">
        <v>12.11</v>
      </c>
      <c r="DY1845" s="1">
        <v>0</v>
      </c>
      <c r="DZ1845" s="1">
        <v>0</v>
      </c>
      <c r="EA1845" s="53">
        <v>50.4789833822091</v>
      </c>
      <c r="EB1845" s="53">
        <v>1.6617790811339</v>
      </c>
      <c r="ED1845" s="53">
        <v>50.4789833822091</v>
      </c>
    </row>
    <row r="1846" customHeight="1" spans="1:134">
      <c r="A1846" s="49">
        <v>68</v>
      </c>
      <c r="B1846" s="4" t="s">
        <v>1580</v>
      </c>
      <c r="C1846" s="5" t="s">
        <v>1581</v>
      </c>
      <c r="D1846" s="4" t="s">
        <v>300</v>
      </c>
      <c r="E1846" s="4" t="s">
        <v>1582</v>
      </c>
      <c r="H1846" s="4" t="s">
        <v>328</v>
      </c>
      <c r="I1846" s="4" t="s">
        <v>627</v>
      </c>
      <c r="N1846" s="4" t="s">
        <v>567</v>
      </c>
      <c r="O1846" s="4" t="s">
        <v>502</v>
      </c>
      <c r="P1846" s="4">
        <v>3.95</v>
      </c>
      <c r="Q1846" s="4" t="s">
        <v>539</v>
      </c>
      <c r="T1846" s="4">
        <v>61.98</v>
      </c>
      <c r="U1846" s="4">
        <v>0.16</v>
      </c>
      <c r="V1846" s="4">
        <v>8.29</v>
      </c>
      <c r="W1846" s="4">
        <v>0.77</v>
      </c>
      <c r="Z1846" s="4">
        <v>0.3</v>
      </c>
      <c r="AB1846" s="4" t="s">
        <v>1583</v>
      </c>
      <c r="AC1846" s="4" t="s">
        <v>1584</v>
      </c>
      <c r="AD1846" s="4" t="s">
        <v>1585</v>
      </c>
      <c r="AE1846" s="4" t="s">
        <v>1586</v>
      </c>
      <c r="AF1846" s="4" t="s">
        <v>1587</v>
      </c>
      <c r="AG1846" s="4" t="s">
        <v>316</v>
      </c>
      <c r="AH1846" s="4" t="s">
        <v>1524</v>
      </c>
      <c r="AI1846" s="4" t="s">
        <v>1588</v>
      </c>
      <c r="AL1846" s="4" t="s">
        <v>757</v>
      </c>
      <c r="AM1846" s="4">
        <v>8.04</v>
      </c>
      <c r="AN1846" s="4">
        <v>12.27</v>
      </c>
      <c r="AO1846" s="4">
        <v>12.23</v>
      </c>
      <c r="AQ1846" s="4" t="s">
        <v>7</v>
      </c>
      <c r="AR1846" s="4">
        <v>0.22</v>
      </c>
      <c r="BD1846" s="4" t="s">
        <v>1589</v>
      </c>
      <c r="BE1846" s="4" t="s">
        <v>355</v>
      </c>
      <c r="BI1846" s="4" t="s">
        <v>321</v>
      </c>
      <c r="BL1846" s="4">
        <v>600</v>
      </c>
      <c r="BM1846" s="4">
        <v>18</v>
      </c>
      <c r="BP1846" s="4">
        <v>3</v>
      </c>
      <c r="BS1846" s="4">
        <v>8.04</v>
      </c>
      <c r="BV1846" s="4" t="s">
        <v>488</v>
      </c>
      <c r="BX1846" s="4">
        <v>60</v>
      </c>
      <c r="CB1846" s="4" t="s">
        <v>7</v>
      </c>
      <c r="CD1846" s="4">
        <v>12.11</v>
      </c>
      <c r="DY1846" s="1">
        <v>0</v>
      </c>
      <c r="DZ1846" s="1">
        <v>0</v>
      </c>
      <c r="EA1846" s="53">
        <v>57.0772238514174</v>
      </c>
      <c r="EB1846" s="53">
        <v>0.928641251222004</v>
      </c>
      <c r="ED1846" s="53">
        <v>57.0772238514174</v>
      </c>
    </row>
    <row r="1847" customHeight="1" spans="1:134">
      <c r="A1847" s="49">
        <v>68</v>
      </c>
      <c r="B1847" s="4" t="s">
        <v>1580</v>
      </c>
      <c r="C1847" s="5" t="s">
        <v>1581</v>
      </c>
      <c r="D1847" s="4" t="s">
        <v>300</v>
      </c>
      <c r="E1847" s="4" t="s">
        <v>1582</v>
      </c>
      <c r="H1847" s="4" t="s">
        <v>328</v>
      </c>
      <c r="I1847" s="4" t="s">
        <v>627</v>
      </c>
      <c r="N1847" s="4" t="s">
        <v>567</v>
      </c>
      <c r="O1847" s="4" t="s">
        <v>502</v>
      </c>
      <c r="P1847" s="4">
        <v>3.95</v>
      </c>
      <c r="Q1847" s="4" t="s">
        <v>539</v>
      </c>
      <c r="T1847" s="4">
        <v>61.98</v>
      </c>
      <c r="U1847" s="4">
        <v>0.16</v>
      </c>
      <c r="V1847" s="4">
        <v>8.29</v>
      </c>
      <c r="W1847" s="4">
        <v>0.77</v>
      </c>
      <c r="Z1847" s="4">
        <v>0.3</v>
      </c>
      <c r="AB1847" s="4" t="s">
        <v>1583</v>
      </c>
      <c r="AC1847" s="4" t="s">
        <v>1584</v>
      </c>
      <c r="AD1847" s="4" t="s">
        <v>1585</v>
      </c>
      <c r="AE1847" s="4" t="s">
        <v>1586</v>
      </c>
      <c r="AF1847" s="4" t="s">
        <v>1587</v>
      </c>
      <c r="AG1847" s="4" t="s">
        <v>316</v>
      </c>
      <c r="AH1847" s="4" t="s">
        <v>1524</v>
      </c>
      <c r="AI1847" s="4" t="s">
        <v>1588</v>
      </c>
      <c r="AL1847" s="4" t="s">
        <v>757</v>
      </c>
      <c r="AM1847" s="4">
        <v>8.04</v>
      </c>
      <c r="AN1847" s="4">
        <v>12.27</v>
      </c>
      <c r="AO1847" s="4">
        <v>12.23</v>
      </c>
      <c r="AQ1847" s="4" t="s">
        <v>7</v>
      </c>
      <c r="AR1847" s="4">
        <v>0.22</v>
      </c>
      <c r="BD1847" s="4" t="s">
        <v>1589</v>
      </c>
      <c r="BE1847" s="4" t="s">
        <v>355</v>
      </c>
      <c r="BI1847" s="4" t="s">
        <v>321</v>
      </c>
      <c r="BL1847" s="4">
        <v>600</v>
      </c>
      <c r="BM1847" s="4">
        <v>18</v>
      </c>
      <c r="BP1847" s="4">
        <v>3</v>
      </c>
      <c r="BS1847" s="4">
        <v>8.04</v>
      </c>
      <c r="BV1847" s="4" t="s">
        <v>522</v>
      </c>
      <c r="BX1847" s="4">
        <v>60</v>
      </c>
      <c r="CB1847" s="4" t="s">
        <v>7</v>
      </c>
      <c r="CD1847" s="4">
        <v>12.11</v>
      </c>
      <c r="DY1847" s="1">
        <v>0</v>
      </c>
      <c r="DZ1847" s="1">
        <v>0</v>
      </c>
      <c r="EA1847" s="53">
        <v>63.9687194525904</v>
      </c>
      <c r="EB1847" s="53">
        <v>4.9364613880743</v>
      </c>
      <c r="ED1847" s="53">
        <v>63.9687194525904</v>
      </c>
    </row>
    <row r="1848" customHeight="1" spans="1:134">
      <c r="A1848" s="49">
        <v>68</v>
      </c>
      <c r="B1848" s="4" t="s">
        <v>1580</v>
      </c>
      <c r="C1848" s="5" t="s">
        <v>1581</v>
      </c>
      <c r="D1848" s="4" t="s">
        <v>300</v>
      </c>
      <c r="E1848" s="4" t="s">
        <v>1582</v>
      </c>
      <c r="H1848" s="4" t="s">
        <v>328</v>
      </c>
      <c r="I1848" s="4" t="s">
        <v>627</v>
      </c>
      <c r="N1848" s="4" t="s">
        <v>567</v>
      </c>
      <c r="O1848" s="4" t="s">
        <v>502</v>
      </c>
      <c r="P1848" s="4">
        <v>3.95</v>
      </c>
      <c r="Q1848" s="4" t="s">
        <v>539</v>
      </c>
      <c r="T1848" s="4">
        <v>61.98</v>
      </c>
      <c r="U1848" s="4">
        <v>0.16</v>
      </c>
      <c r="V1848" s="4">
        <v>8.29</v>
      </c>
      <c r="W1848" s="4">
        <v>0.77</v>
      </c>
      <c r="Z1848" s="4">
        <v>0.3</v>
      </c>
      <c r="AB1848" s="4" t="s">
        <v>1583</v>
      </c>
      <c r="AC1848" s="4" t="s">
        <v>1584</v>
      </c>
      <c r="AD1848" s="4" t="s">
        <v>1585</v>
      </c>
      <c r="AE1848" s="4" t="s">
        <v>1586</v>
      </c>
      <c r="AF1848" s="4" t="s">
        <v>1587</v>
      </c>
      <c r="AG1848" s="4" t="s">
        <v>316</v>
      </c>
      <c r="AH1848" s="4" t="s">
        <v>1524</v>
      </c>
      <c r="AI1848" s="4" t="s">
        <v>1588</v>
      </c>
      <c r="AL1848" s="4" t="s">
        <v>757</v>
      </c>
      <c r="AM1848" s="4">
        <v>8.04</v>
      </c>
      <c r="AN1848" s="4">
        <v>12.27</v>
      </c>
      <c r="AO1848" s="4">
        <v>12.23</v>
      </c>
      <c r="AQ1848" s="4" t="s">
        <v>7</v>
      </c>
      <c r="AR1848" s="4">
        <v>0.22</v>
      </c>
      <c r="BD1848" s="4" t="s">
        <v>1589</v>
      </c>
      <c r="BE1848" s="4" t="s">
        <v>355</v>
      </c>
      <c r="BI1848" s="4" t="s">
        <v>321</v>
      </c>
      <c r="BL1848" s="4">
        <v>600</v>
      </c>
      <c r="BM1848" s="4">
        <v>18</v>
      </c>
      <c r="BP1848" s="4">
        <v>3</v>
      </c>
      <c r="BS1848" s="4">
        <v>8.04</v>
      </c>
      <c r="BV1848" s="4" t="s">
        <v>796</v>
      </c>
      <c r="BX1848" s="4">
        <v>60</v>
      </c>
      <c r="CB1848" s="4" t="s">
        <v>7</v>
      </c>
      <c r="CD1848" s="4">
        <v>12.11</v>
      </c>
      <c r="DY1848" s="1">
        <v>0</v>
      </c>
      <c r="DZ1848" s="1">
        <v>0</v>
      </c>
      <c r="EA1848" s="53">
        <v>65.386119257087</v>
      </c>
      <c r="EB1848" s="53">
        <v>5.0342130987293</v>
      </c>
      <c r="ED1848" s="53">
        <v>65.386119257087</v>
      </c>
    </row>
    <row r="1849" customHeight="1" spans="1:134">
      <c r="A1849" s="49">
        <v>68</v>
      </c>
      <c r="B1849" s="4" t="s">
        <v>1580</v>
      </c>
      <c r="C1849" s="5" t="s">
        <v>1581</v>
      </c>
      <c r="D1849" s="4" t="s">
        <v>300</v>
      </c>
      <c r="E1849" s="4" t="s">
        <v>1582</v>
      </c>
      <c r="H1849" s="4" t="s">
        <v>328</v>
      </c>
      <c r="I1849" s="4" t="s">
        <v>627</v>
      </c>
      <c r="N1849" s="4" t="s">
        <v>567</v>
      </c>
      <c r="O1849" s="4" t="s">
        <v>502</v>
      </c>
      <c r="P1849" s="4">
        <v>3.95</v>
      </c>
      <c r="Q1849" s="4" t="s">
        <v>539</v>
      </c>
      <c r="T1849" s="4">
        <v>61.98</v>
      </c>
      <c r="U1849" s="4">
        <v>0.16</v>
      </c>
      <c r="V1849" s="4">
        <v>8.29</v>
      </c>
      <c r="W1849" s="4">
        <v>0.77</v>
      </c>
      <c r="Z1849" s="4">
        <v>0.3</v>
      </c>
      <c r="AB1849" s="4" t="s">
        <v>1583</v>
      </c>
      <c r="AC1849" s="4" t="s">
        <v>1584</v>
      </c>
      <c r="AD1849" s="4" t="s">
        <v>1585</v>
      </c>
      <c r="AE1849" s="4" t="s">
        <v>1586</v>
      </c>
      <c r="AF1849" s="4" t="s">
        <v>1587</v>
      </c>
      <c r="AG1849" s="4" t="s">
        <v>316</v>
      </c>
      <c r="AH1849" s="4" t="s">
        <v>1524</v>
      </c>
      <c r="AI1849" s="4" t="s">
        <v>1588</v>
      </c>
      <c r="AL1849" s="4" t="s">
        <v>757</v>
      </c>
      <c r="AM1849" s="4">
        <v>8.04</v>
      </c>
      <c r="AN1849" s="4">
        <v>12.27</v>
      </c>
      <c r="AO1849" s="4">
        <v>12.23</v>
      </c>
      <c r="AQ1849" s="4" t="s">
        <v>7</v>
      </c>
      <c r="AR1849" s="4">
        <v>0.22</v>
      </c>
      <c r="BD1849" s="4" t="s">
        <v>1589</v>
      </c>
      <c r="BE1849" s="4" t="s">
        <v>355</v>
      </c>
      <c r="BI1849" s="4" t="s">
        <v>321</v>
      </c>
      <c r="BL1849" s="4">
        <v>600</v>
      </c>
      <c r="BM1849" s="4">
        <v>30</v>
      </c>
      <c r="BP1849" s="4">
        <v>5</v>
      </c>
      <c r="BS1849" s="4">
        <v>8.04</v>
      </c>
      <c r="BV1849" s="4" t="s">
        <v>1552</v>
      </c>
      <c r="BX1849" s="4">
        <v>60</v>
      </c>
      <c r="CB1849" s="4" t="s">
        <v>7</v>
      </c>
      <c r="CD1849" s="4">
        <v>12.11</v>
      </c>
      <c r="DY1849" s="1">
        <v>0</v>
      </c>
      <c r="DZ1849" s="1">
        <v>0</v>
      </c>
      <c r="EA1849" s="53">
        <v>60.5474095796676</v>
      </c>
      <c r="EB1849" s="53">
        <v>1.3196480938416</v>
      </c>
      <c r="ED1849" s="53">
        <v>60.5474095796676</v>
      </c>
    </row>
    <row r="1850" customHeight="1" spans="1:134">
      <c r="A1850" s="49">
        <v>68</v>
      </c>
      <c r="B1850" s="4" t="s">
        <v>1580</v>
      </c>
      <c r="C1850" s="5" t="s">
        <v>1581</v>
      </c>
      <c r="D1850" s="4" t="s">
        <v>300</v>
      </c>
      <c r="E1850" s="4" t="s">
        <v>1582</v>
      </c>
      <c r="H1850" s="4" t="s">
        <v>328</v>
      </c>
      <c r="I1850" s="4" t="s">
        <v>627</v>
      </c>
      <c r="N1850" s="4" t="s">
        <v>567</v>
      </c>
      <c r="O1850" s="4" t="s">
        <v>502</v>
      </c>
      <c r="P1850" s="4">
        <v>3.95</v>
      </c>
      <c r="Q1850" s="4" t="s">
        <v>539</v>
      </c>
      <c r="T1850" s="4">
        <v>61.98</v>
      </c>
      <c r="U1850" s="4">
        <v>0.16</v>
      </c>
      <c r="V1850" s="4">
        <v>8.29</v>
      </c>
      <c r="W1850" s="4">
        <v>0.77</v>
      </c>
      <c r="Z1850" s="4">
        <v>0.3</v>
      </c>
      <c r="AB1850" s="4" t="s">
        <v>1583</v>
      </c>
      <c r="AC1850" s="4" t="s">
        <v>1584</v>
      </c>
      <c r="AD1850" s="4" t="s">
        <v>1585</v>
      </c>
      <c r="AE1850" s="4" t="s">
        <v>1586</v>
      </c>
      <c r="AF1850" s="4" t="s">
        <v>1587</v>
      </c>
      <c r="AG1850" s="4" t="s">
        <v>316</v>
      </c>
      <c r="AH1850" s="4" t="s">
        <v>1524</v>
      </c>
      <c r="AI1850" s="4" t="s">
        <v>1588</v>
      </c>
      <c r="AL1850" s="4" t="s">
        <v>757</v>
      </c>
      <c r="AM1850" s="4">
        <v>8.04</v>
      </c>
      <c r="AN1850" s="4">
        <v>12.27</v>
      </c>
      <c r="AO1850" s="4">
        <v>12.23</v>
      </c>
      <c r="AQ1850" s="4" t="s">
        <v>7</v>
      </c>
      <c r="AR1850" s="4">
        <v>0.22</v>
      </c>
      <c r="BD1850" s="4" t="s">
        <v>1589</v>
      </c>
      <c r="BE1850" s="4" t="s">
        <v>355</v>
      </c>
      <c r="BI1850" s="4" t="s">
        <v>321</v>
      </c>
      <c r="BL1850" s="4">
        <v>600</v>
      </c>
      <c r="BM1850" s="4">
        <v>30</v>
      </c>
      <c r="BP1850" s="4">
        <v>5</v>
      </c>
      <c r="BS1850" s="4">
        <v>8.04</v>
      </c>
      <c r="BV1850" s="4" t="s">
        <v>488</v>
      </c>
      <c r="BX1850" s="4">
        <v>60</v>
      </c>
      <c r="CB1850" s="4" t="s">
        <v>7</v>
      </c>
      <c r="CD1850" s="4">
        <v>12.11</v>
      </c>
      <c r="DY1850" s="1">
        <v>0</v>
      </c>
      <c r="DZ1850" s="1">
        <v>0</v>
      </c>
      <c r="EA1850" s="53">
        <v>61.7693059628543</v>
      </c>
      <c r="EB1850" s="53">
        <v>2.19941348973609</v>
      </c>
      <c r="ED1850" s="53">
        <v>61.7693059628543</v>
      </c>
    </row>
    <row r="1851" customHeight="1" spans="1:134">
      <c r="A1851" s="49">
        <v>68</v>
      </c>
      <c r="B1851" s="4" t="s">
        <v>1580</v>
      </c>
      <c r="C1851" s="5" t="s">
        <v>1581</v>
      </c>
      <c r="D1851" s="4" t="s">
        <v>300</v>
      </c>
      <c r="E1851" s="4" t="s">
        <v>1582</v>
      </c>
      <c r="H1851" s="4" t="s">
        <v>328</v>
      </c>
      <c r="I1851" s="4" t="s">
        <v>627</v>
      </c>
      <c r="N1851" s="4" t="s">
        <v>567</v>
      </c>
      <c r="O1851" s="4" t="s">
        <v>502</v>
      </c>
      <c r="P1851" s="4">
        <v>3.95</v>
      </c>
      <c r="Q1851" s="4" t="s">
        <v>539</v>
      </c>
      <c r="T1851" s="4">
        <v>61.98</v>
      </c>
      <c r="U1851" s="4">
        <v>0.16</v>
      </c>
      <c r="V1851" s="4">
        <v>8.29</v>
      </c>
      <c r="W1851" s="4">
        <v>0.77</v>
      </c>
      <c r="Z1851" s="4">
        <v>0.3</v>
      </c>
      <c r="AB1851" s="4" t="s">
        <v>1583</v>
      </c>
      <c r="AC1851" s="4" t="s">
        <v>1584</v>
      </c>
      <c r="AD1851" s="4" t="s">
        <v>1585</v>
      </c>
      <c r="AE1851" s="4" t="s">
        <v>1586</v>
      </c>
      <c r="AF1851" s="4" t="s">
        <v>1587</v>
      </c>
      <c r="AG1851" s="4" t="s">
        <v>316</v>
      </c>
      <c r="AH1851" s="4" t="s">
        <v>1524</v>
      </c>
      <c r="AI1851" s="4" t="s">
        <v>1588</v>
      </c>
      <c r="AL1851" s="4" t="s">
        <v>757</v>
      </c>
      <c r="AM1851" s="4">
        <v>8.04</v>
      </c>
      <c r="AN1851" s="4">
        <v>12.27</v>
      </c>
      <c r="AO1851" s="4">
        <v>12.23</v>
      </c>
      <c r="AQ1851" s="4" t="s">
        <v>7</v>
      </c>
      <c r="AR1851" s="4">
        <v>0.22</v>
      </c>
      <c r="BD1851" s="4" t="s">
        <v>1589</v>
      </c>
      <c r="BE1851" s="4" t="s">
        <v>355</v>
      </c>
      <c r="BI1851" s="4" t="s">
        <v>321</v>
      </c>
      <c r="BL1851" s="4">
        <v>600</v>
      </c>
      <c r="BM1851" s="4">
        <v>30</v>
      </c>
      <c r="BP1851" s="4">
        <v>5</v>
      </c>
      <c r="BS1851" s="4">
        <v>8.04</v>
      </c>
      <c r="BV1851" s="4" t="s">
        <v>522</v>
      </c>
      <c r="BX1851" s="4">
        <v>60</v>
      </c>
      <c r="CB1851" s="4" t="s">
        <v>7</v>
      </c>
      <c r="CD1851" s="4">
        <v>12.11</v>
      </c>
      <c r="DY1851" s="1">
        <v>0</v>
      </c>
      <c r="DZ1851" s="1">
        <v>0</v>
      </c>
      <c r="EA1851" s="53">
        <v>67.0967741935483</v>
      </c>
      <c r="EB1851" s="53">
        <v>4.3499511241446</v>
      </c>
      <c r="ED1851" s="53">
        <v>67.0967741935483</v>
      </c>
    </row>
    <row r="1852" customHeight="1" spans="1:134">
      <c r="A1852" s="49">
        <v>68</v>
      </c>
      <c r="B1852" s="4" t="s">
        <v>1580</v>
      </c>
      <c r="C1852" s="5" t="s">
        <v>1581</v>
      </c>
      <c r="D1852" s="4" t="s">
        <v>300</v>
      </c>
      <c r="E1852" s="4" t="s">
        <v>1582</v>
      </c>
      <c r="H1852" s="4" t="s">
        <v>328</v>
      </c>
      <c r="I1852" s="4" t="s">
        <v>627</v>
      </c>
      <c r="N1852" s="4" t="s">
        <v>567</v>
      </c>
      <c r="O1852" s="4" t="s">
        <v>502</v>
      </c>
      <c r="P1852" s="4">
        <v>3.95</v>
      </c>
      <c r="Q1852" s="4" t="s">
        <v>539</v>
      </c>
      <c r="T1852" s="4">
        <v>61.98</v>
      </c>
      <c r="U1852" s="4">
        <v>0.16</v>
      </c>
      <c r="V1852" s="4">
        <v>8.29</v>
      </c>
      <c r="W1852" s="4">
        <v>0.77</v>
      </c>
      <c r="Z1852" s="4">
        <v>0.3</v>
      </c>
      <c r="AB1852" s="4" t="s">
        <v>1583</v>
      </c>
      <c r="AC1852" s="4" t="s">
        <v>1584</v>
      </c>
      <c r="AD1852" s="4" t="s">
        <v>1585</v>
      </c>
      <c r="AE1852" s="4" t="s">
        <v>1586</v>
      </c>
      <c r="AF1852" s="4" t="s">
        <v>1587</v>
      </c>
      <c r="AG1852" s="4" t="s">
        <v>316</v>
      </c>
      <c r="AH1852" s="4" t="s">
        <v>1524</v>
      </c>
      <c r="AI1852" s="4" t="s">
        <v>1588</v>
      </c>
      <c r="AL1852" s="4" t="s">
        <v>757</v>
      </c>
      <c r="AM1852" s="4">
        <v>8.04</v>
      </c>
      <c r="AN1852" s="4">
        <v>12.27</v>
      </c>
      <c r="AO1852" s="4">
        <v>12.23</v>
      </c>
      <c r="AQ1852" s="4" t="s">
        <v>7</v>
      </c>
      <c r="AR1852" s="4">
        <v>0.22</v>
      </c>
      <c r="BD1852" s="4" t="s">
        <v>1589</v>
      </c>
      <c r="BE1852" s="4" t="s">
        <v>355</v>
      </c>
      <c r="BI1852" s="4" t="s">
        <v>321</v>
      </c>
      <c r="BL1852" s="4">
        <v>600</v>
      </c>
      <c r="BM1852" s="4">
        <v>30</v>
      </c>
      <c r="BP1852" s="4">
        <v>5</v>
      </c>
      <c r="BS1852" s="4">
        <v>8.04</v>
      </c>
      <c r="BV1852" s="4" t="s">
        <v>796</v>
      </c>
      <c r="BX1852" s="4">
        <v>60</v>
      </c>
      <c r="CB1852" s="4" t="s">
        <v>7</v>
      </c>
      <c r="CD1852" s="4">
        <v>12.11</v>
      </c>
      <c r="DY1852" s="1">
        <v>0</v>
      </c>
      <c r="DZ1852" s="1">
        <v>0</v>
      </c>
      <c r="EA1852" s="53">
        <v>73.9882697947214</v>
      </c>
      <c r="EB1852" s="53">
        <v>2.6392961876833</v>
      </c>
      <c r="ED1852" s="53">
        <v>73.9882697947214</v>
      </c>
    </row>
    <row r="1853" customHeight="1" spans="1:134">
      <c r="A1853" s="49">
        <v>68</v>
      </c>
      <c r="B1853" s="4" t="s">
        <v>1580</v>
      </c>
      <c r="C1853" s="5" t="s">
        <v>1581</v>
      </c>
      <c r="D1853" s="4" t="s">
        <v>300</v>
      </c>
      <c r="E1853" s="4" t="s">
        <v>1582</v>
      </c>
      <c r="H1853" s="4" t="s">
        <v>328</v>
      </c>
      <c r="I1853" s="4" t="s">
        <v>627</v>
      </c>
      <c r="N1853" s="4" t="s">
        <v>567</v>
      </c>
      <c r="O1853" s="4" t="s">
        <v>502</v>
      </c>
      <c r="P1853" s="4">
        <v>3.95</v>
      </c>
      <c r="Q1853" s="4" t="s">
        <v>539</v>
      </c>
      <c r="T1853" s="4">
        <v>61.98</v>
      </c>
      <c r="U1853" s="4">
        <v>0.16</v>
      </c>
      <c r="V1853" s="4">
        <v>8.29</v>
      </c>
      <c r="W1853" s="4">
        <v>0.77</v>
      </c>
      <c r="Z1853" s="4">
        <v>0.3</v>
      </c>
      <c r="AB1853" s="4" t="s">
        <v>1583</v>
      </c>
      <c r="AC1853" s="4" t="s">
        <v>1584</v>
      </c>
      <c r="AD1853" s="4" t="s">
        <v>1585</v>
      </c>
      <c r="AE1853" s="4" t="s">
        <v>1586</v>
      </c>
      <c r="AF1853" s="4" t="s">
        <v>1587</v>
      </c>
      <c r="AG1853" s="4" t="s">
        <v>316</v>
      </c>
      <c r="AH1853" s="4" t="s">
        <v>1524</v>
      </c>
      <c r="AI1853" s="4" t="s">
        <v>1588</v>
      </c>
      <c r="AL1853" s="4" t="s">
        <v>757</v>
      </c>
      <c r="AM1853" s="4">
        <v>8.04</v>
      </c>
      <c r="AN1853" s="4">
        <v>12.27</v>
      </c>
      <c r="AO1853" s="4">
        <v>12.23</v>
      </c>
      <c r="AQ1853" s="4" t="s">
        <v>7</v>
      </c>
      <c r="AR1853" s="4">
        <v>0.22</v>
      </c>
      <c r="BD1853" s="4" t="s">
        <v>1589</v>
      </c>
      <c r="BE1853" s="4" t="s">
        <v>355</v>
      </c>
      <c r="BI1853" s="4" t="s">
        <v>321</v>
      </c>
      <c r="BL1853" s="4">
        <v>600</v>
      </c>
      <c r="BM1853" s="4">
        <v>42</v>
      </c>
      <c r="BP1853" s="4">
        <v>7</v>
      </c>
      <c r="BS1853" s="4">
        <v>8.04</v>
      </c>
      <c r="BV1853" s="4" t="s">
        <v>1552</v>
      </c>
      <c r="BX1853" s="4">
        <v>60</v>
      </c>
      <c r="CB1853" s="4" t="s">
        <v>7</v>
      </c>
      <c r="CD1853" s="4">
        <v>12.11</v>
      </c>
      <c r="DY1853" s="1">
        <v>0</v>
      </c>
      <c r="DZ1853" s="1">
        <v>0</v>
      </c>
      <c r="EA1853" s="53">
        <v>65.9237536656891</v>
      </c>
      <c r="EB1853" s="53">
        <v>1.56402737047901</v>
      </c>
      <c r="ED1853" s="53">
        <v>65.9237536656891</v>
      </c>
    </row>
    <row r="1854" customHeight="1" spans="1:134">
      <c r="A1854" s="49">
        <v>68</v>
      </c>
      <c r="B1854" s="4" t="s">
        <v>1580</v>
      </c>
      <c r="C1854" s="5" t="s">
        <v>1581</v>
      </c>
      <c r="D1854" s="4" t="s">
        <v>300</v>
      </c>
      <c r="E1854" s="4" t="s">
        <v>1582</v>
      </c>
      <c r="H1854" s="4" t="s">
        <v>328</v>
      </c>
      <c r="I1854" s="4" t="s">
        <v>627</v>
      </c>
      <c r="N1854" s="4" t="s">
        <v>567</v>
      </c>
      <c r="O1854" s="4" t="s">
        <v>502</v>
      </c>
      <c r="P1854" s="4">
        <v>3.95</v>
      </c>
      <c r="Q1854" s="4" t="s">
        <v>539</v>
      </c>
      <c r="T1854" s="4">
        <v>61.98</v>
      </c>
      <c r="U1854" s="4">
        <v>0.16</v>
      </c>
      <c r="V1854" s="4">
        <v>8.29</v>
      </c>
      <c r="W1854" s="4">
        <v>0.77</v>
      </c>
      <c r="Z1854" s="4">
        <v>0.3</v>
      </c>
      <c r="AB1854" s="4" t="s">
        <v>1583</v>
      </c>
      <c r="AC1854" s="4" t="s">
        <v>1584</v>
      </c>
      <c r="AD1854" s="4" t="s">
        <v>1585</v>
      </c>
      <c r="AE1854" s="4" t="s">
        <v>1586</v>
      </c>
      <c r="AF1854" s="4" t="s">
        <v>1587</v>
      </c>
      <c r="AG1854" s="4" t="s">
        <v>316</v>
      </c>
      <c r="AH1854" s="4" t="s">
        <v>1524</v>
      </c>
      <c r="AI1854" s="4" t="s">
        <v>1588</v>
      </c>
      <c r="AL1854" s="4" t="s">
        <v>757</v>
      </c>
      <c r="AM1854" s="4">
        <v>8.04</v>
      </c>
      <c r="AN1854" s="4">
        <v>12.27</v>
      </c>
      <c r="AO1854" s="4">
        <v>12.23</v>
      </c>
      <c r="AQ1854" s="4" t="s">
        <v>7</v>
      </c>
      <c r="AR1854" s="4">
        <v>0.22</v>
      </c>
      <c r="BD1854" s="4" t="s">
        <v>1589</v>
      </c>
      <c r="BE1854" s="4" t="s">
        <v>355</v>
      </c>
      <c r="BI1854" s="4" t="s">
        <v>321</v>
      </c>
      <c r="BL1854" s="4">
        <v>600</v>
      </c>
      <c r="BM1854" s="4">
        <v>42</v>
      </c>
      <c r="BP1854" s="4">
        <v>7</v>
      </c>
      <c r="BS1854" s="4">
        <v>8.04</v>
      </c>
      <c r="BV1854" s="4" t="s">
        <v>488</v>
      </c>
      <c r="BX1854" s="4">
        <v>60</v>
      </c>
      <c r="CB1854" s="4" t="s">
        <v>7</v>
      </c>
      <c r="CD1854" s="4">
        <v>12.11</v>
      </c>
      <c r="DY1854" s="1">
        <v>0</v>
      </c>
      <c r="DZ1854" s="1">
        <v>0</v>
      </c>
      <c r="EA1854" s="53">
        <v>69.0518084066471</v>
      </c>
      <c r="EB1854" s="53">
        <v>0.733137829911996</v>
      </c>
      <c r="ED1854" s="53">
        <v>69.0518084066471</v>
      </c>
    </row>
    <row r="1855" customHeight="1" spans="1:134">
      <c r="A1855" s="49">
        <v>68</v>
      </c>
      <c r="B1855" s="4" t="s">
        <v>1580</v>
      </c>
      <c r="C1855" s="5" t="s">
        <v>1581</v>
      </c>
      <c r="D1855" s="4" t="s">
        <v>300</v>
      </c>
      <c r="E1855" s="4" t="s">
        <v>1582</v>
      </c>
      <c r="H1855" s="4" t="s">
        <v>328</v>
      </c>
      <c r="I1855" s="4" t="s">
        <v>627</v>
      </c>
      <c r="N1855" s="4" t="s">
        <v>567</v>
      </c>
      <c r="O1855" s="4" t="s">
        <v>502</v>
      </c>
      <c r="P1855" s="4">
        <v>3.95</v>
      </c>
      <c r="Q1855" s="4" t="s">
        <v>539</v>
      </c>
      <c r="T1855" s="4">
        <v>61.98</v>
      </c>
      <c r="U1855" s="4">
        <v>0.16</v>
      </c>
      <c r="V1855" s="4">
        <v>8.29</v>
      </c>
      <c r="W1855" s="4">
        <v>0.77</v>
      </c>
      <c r="Z1855" s="4">
        <v>0.3</v>
      </c>
      <c r="AB1855" s="4" t="s">
        <v>1583</v>
      </c>
      <c r="AC1855" s="4" t="s">
        <v>1584</v>
      </c>
      <c r="AD1855" s="4" t="s">
        <v>1585</v>
      </c>
      <c r="AE1855" s="4" t="s">
        <v>1586</v>
      </c>
      <c r="AF1855" s="4" t="s">
        <v>1587</v>
      </c>
      <c r="AG1855" s="4" t="s">
        <v>316</v>
      </c>
      <c r="AH1855" s="4" t="s">
        <v>1524</v>
      </c>
      <c r="AI1855" s="4" t="s">
        <v>1588</v>
      </c>
      <c r="AL1855" s="4" t="s">
        <v>757</v>
      </c>
      <c r="AM1855" s="4">
        <v>8.04</v>
      </c>
      <c r="AN1855" s="4">
        <v>12.27</v>
      </c>
      <c r="AO1855" s="4">
        <v>12.23</v>
      </c>
      <c r="AQ1855" s="4" t="s">
        <v>7</v>
      </c>
      <c r="AR1855" s="4">
        <v>0.22</v>
      </c>
      <c r="BD1855" s="4" t="s">
        <v>1589</v>
      </c>
      <c r="BE1855" s="4" t="s">
        <v>355</v>
      </c>
      <c r="BI1855" s="4" t="s">
        <v>321</v>
      </c>
      <c r="BL1855" s="4">
        <v>600</v>
      </c>
      <c r="BM1855" s="4">
        <v>42</v>
      </c>
      <c r="BP1855" s="4">
        <v>7</v>
      </c>
      <c r="BS1855" s="4">
        <v>8.04</v>
      </c>
      <c r="BV1855" s="4" t="s">
        <v>522</v>
      </c>
      <c r="BX1855" s="4">
        <v>60</v>
      </c>
      <c r="CB1855" s="4" t="s">
        <v>7</v>
      </c>
      <c r="CD1855" s="4">
        <v>12.11</v>
      </c>
      <c r="DY1855" s="1">
        <v>0</v>
      </c>
      <c r="DZ1855" s="1">
        <v>0</v>
      </c>
      <c r="EA1855" s="53">
        <v>72.0332355816226</v>
      </c>
      <c r="EB1855" s="53">
        <v>3.030303030303</v>
      </c>
      <c r="ED1855" s="53">
        <v>72.0332355816226</v>
      </c>
    </row>
    <row r="1856" customHeight="1" spans="1:134">
      <c r="A1856" s="49">
        <v>68</v>
      </c>
      <c r="B1856" s="4" t="s">
        <v>1580</v>
      </c>
      <c r="C1856" s="5" t="s">
        <v>1581</v>
      </c>
      <c r="D1856" s="4" t="s">
        <v>300</v>
      </c>
      <c r="E1856" s="4" t="s">
        <v>1582</v>
      </c>
      <c r="H1856" s="4" t="s">
        <v>328</v>
      </c>
      <c r="I1856" s="4" t="s">
        <v>627</v>
      </c>
      <c r="N1856" s="4" t="s">
        <v>567</v>
      </c>
      <c r="O1856" s="4" t="s">
        <v>502</v>
      </c>
      <c r="P1856" s="4">
        <v>3.95</v>
      </c>
      <c r="Q1856" s="4" t="s">
        <v>539</v>
      </c>
      <c r="T1856" s="4">
        <v>61.98</v>
      </c>
      <c r="U1856" s="4">
        <v>0.16</v>
      </c>
      <c r="V1856" s="4">
        <v>8.29</v>
      </c>
      <c r="W1856" s="4">
        <v>0.77</v>
      </c>
      <c r="Z1856" s="4">
        <v>0.3</v>
      </c>
      <c r="AB1856" s="4" t="s">
        <v>1583</v>
      </c>
      <c r="AC1856" s="4" t="s">
        <v>1584</v>
      </c>
      <c r="AD1856" s="4" t="s">
        <v>1585</v>
      </c>
      <c r="AE1856" s="4" t="s">
        <v>1586</v>
      </c>
      <c r="AF1856" s="4" t="s">
        <v>1587</v>
      </c>
      <c r="AG1856" s="4" t="s">
        <v>316</v>
      </c>
      <c r="AH1856" s="4" t="s">
        <v>1524</v>
      </c>
      <c r="AI1856" s="4" t="s">
        <v>1588</v>
      </c>
      <c r="AL1856" s="4" t="s">
        <v>757</v>
      </c>
      <c r="AM1856" s="4">
        <v>8.04</v>
      </c>
      <c r="AN1856" s="4">
        <v>12.27</v>
      </c>
      <c r="AO1856" s="4">
        <v>12.23</v>
      </c>
      <c r="AQ1856" s="4" t="s">
        <v>7</v>
      </c>
      <c r="AR1856" s="4">
        <v>0.22</v>
      </c>
      <c r="BD1856" s="4" t="s">
        <v>1589</v>
      </c>
      <c r="BE1856" s="4" t="s">
        <v>355</v>
      </c>
      <c r="BI1856" s="4" t="s">
        <v>321</v>
      </c>
      <c r="BL1856" s="4">
        <v>600</v>
      </c>
      <c r="BM1856" s="4">
        <v>42</v>
      </c>
      <c r="BP1856" s="4">
        <v>7</v>
      </c>
      <c r="BS1856" s="4">
        <v>8.04</v>
      </c>
      <c r="BV1856" s="4" t="s">
        <v>796</v>
      </c>
      <c r="BX1856" s="4">
        <v>60</v>
      </c>
      <c r="CB1856" s="4" t="s">
        <v>7</v>
      </c>
      <c r="CD1856" s="4">
        <v>12.11</v>
      </c>
      <c r="DY1856" s="1">
        <v>0</v>
      </c>
      <c r="DZ1856" s="1">
        <v>0</v>
      </c>
      <c r="EA1856" s="53">
        <v>77.6539589442815</v>
      </c>
      <c r="EB1856" s="53">
        <v>3.9100684261975</v>
      </c>
      <c r="ED1856" s="53">
        <v>77.6539589442815</v>
      </c>
    </row>
    <row r="1857" customHeight="1" spans="1:179">
      <c r="A1857" s="54">
        <v>69</v>
      </c>
      <c r="B1857" s="4" t="s">
        <v>1590</v>
      </c>
      <c r="C1857" s="5" t="s">
        <v>358</v>
      </c>
      <c r="N1857" s="4" t="s">
        <v>567</v>
      </c>
      <c r="O1857" s="4" t="s">
        <v>343</v>
      </c>
      <c r="P1857" s="4">
        <v>2.99</v>
      </c>
      <c r="Q1857" s="4" t="s">
        <v>539</v>
      </c>
      <c r="AG1857" s="4" t="s">
        <v>316</v>
      </c>
      <c r="AH1857" s="4" t="s">
        <v>432</v>
      </c>
      <c r="AL1857" s="4" t="s">
        <v>443</v>
      </c>
      <c r="AM1857" s="4">
        <v>7.7</v>
      </c>
      <c r="AN1857" s="4">
        <v>17</v>
      </c>
      <c r="AQ1857" s="4" t="s">
        <v>7</v>
      </c>
      <c r="AR1857" s="4">
        <v>24.6</v>
      </c>
      <c r="AS1857" s="4" t="s">
        <v>11</v>
      </c>
      <c r="AT1857" s="4">
        <v>204</v>
      </c>
      <c r="AU1857" s="4" t="s">
        <v>424</v>
      </c>
      <c r="AV1857" s="4">
        <v>308</v>
      </c>
      <c r="AW1857" s="4" t="s">
        <v>1591</v>
      </c>
      <c r="AX1857" s="4">
        <v>62.1</v>
      </c>
      <c r="BG1857" s="4" t="s">
        <v>328</v>
      </c>
      <c r="BI1857" s="4" t="s">
        <v>321</v>
      </c>
      <c r="BP1857" s="4">
        <v>3</v>
      </c>
      <c r="BS1857" s="4">
        <v>7.07</v>
      </c>
      <c r="BV1857" s="4" t="s">
        <v>408</v>
      </c>
      <c r="DO1857" s="4">
        <v>3</v>
      </c>
      <c r="FI1857" s="50"/>
      <c r="FJ1857" s="55">
        <v>0.487648970747562</v>
      </c>
      <c r="FK1857" s="56">
        <v>0.055362946912243</v>
      </c>
      <c r="FL1857" s="56">
        <v>0.218418201516793</v>
      </c>
      <c r="FM1857" s="56">
        <v>0.016684723726977</v>
      </c>
      <c r="FR1857" s="1">
        <v>0</v>
      </c>
      <c r="FS1857" s="1">
        <v>0</v>
      </c>
      <c r="FT1857" s="55">
        <v>55.2099533437014</v>
      </c>
      <c r="FU1857" s="52"/>
      <c r="FW1857" s="55">
        <v>55.2099533437014</v>
      </c>
    </row>
    <row r="1858" customHeight="1" spans="1:179">
      <c r="A1858" s="54">
        <v>69</v>
      </c>
      <c r="B1858" s="4" t="s">
        <v>1590</v>
      </c>
      <c r="C1858" s="5" t="s">
        <v>358</v>
      </c>
      <c r="N1858" s="4" t="s">
        <v>567</v>
      </c>
      <c r="O1858" s="4" t="s">
        <v>343</v>
      </c>
      <c r="P1858" s="4">
        <v>2.99</v>
      </c>
      <c r="Q1858" s="4" t="s">
        <v>539</v>
      </c>
      <c r="AG1858" s="4" t="s">
        <v>316</v>
      </c>
      <c r="AH1858" s="4" t="s">
        <v>432</v>
      </c>
      <c r="AL1858" s="4" t="s">
        <v>443</v>
      </c>
      <c r="AM1858" s="4">
        <v>7.7</v>
      </c>
      <c r="AN1858" s="4">
        <v>17</v>
      </c>
      <c r="AQ1858" s="4" t="s">
        <v>7</v>
      </c>
      <c r="AR1858" s="4">
        <v>24.6</v>
      </c>
      <c r="AS1858" s="4" t="s">
        <v>11</v>
      </c>
      <c r="AT1858" s="4">
        <v>204</v>
      </c>
      <c r="AU1858" s="4" t="s">
        <v>424</v>
      </c>
      <c r="AV1858" s="4">
        <v>308</v>
      </c>
      <c r="AW1858" s="4" t="s">
        <v>1591</v>
      </c>
      <c r="AX1858" s="4">
        <v>62.1</v>
      </c>
      <c r="BG1858" s="4" t="s">
        <v>328</v>
      </c>
      <c r="BI1858" s="4" t="s">
        <v>321</v>
      </c>
      <c r="BP1858" s="4">
        <v>3</v>
      </c>
      <c r="BS1858" s="4">
        <v>7.07</v>
      </c>
      <c r="BV1858" s="4" t="s">
        <v>1592</v>
      </c>
      <c r="FI1858" s="50"/>
      <c r="FJ1858" s="55">
        <v>0.501679306608884</v>
      </c>
      <c r="FK1858" s="56">
        <v>0.011755146262189</v>
      </c>
      <c r="FL1858" s="56">
        <v>0.273022751895991</v>
      </c>
      <c r="FM1858" s="56">
        <v>0.012892741061755</v>
      </c>
      <c r="FR1858" s="1">
        <v>0</v>
      </c>
      <c r="FS1858" s="1">
        <v>0</v>
      </c>
      <c r="FT1858" s="55">
        <v>45.5782312925171</v>
      </c>
      <c r="FU1858" s="52"/>
      <c r="FW1858" s="55">
        <v>45.5782312925171</v>
      </c>
    </row>
    <row r="1859" customHeight="1" spans="1:179">
      <c r="A1859" s="54">
        <v>69</v>
      </c>
      <c r="B1859" s="4" t="s">
        <v>1590</v>
      </c>
      <c r="C1859" s="5" t="s">
        <v>358</v>
      </c>
      <c r="N1859" s="4" t="s">
        <v>567</v>
      </c>
      <c r="O1859" s="4" t="s">
        <v>343</v>
      </c>
      <c r="P1859" s="4">
        <v>2.99</v>
      </c>
      <c r="Q1859" s="4" t="s">
        <v>539</v>
      </c>
      <c r="AG1859" s="4" t="s">
        <v>316</v>
      </c>
      <c r="AH1859" s="4" t="s">
        <v>432</v>
      </c>
      <c r="AL1859" s="4" t="s">
        <v>443</v>
      </c>
      <c r="AM1859" s="4">
        <v>7.7</v>
      </c>
      <c r="AN1859" s="4">
        <v>17</v>
      </c>
      <c r="AQ1859" s="4" t="s">
        <v>7</v>
      </c>
      <c r="AR1859" s="4">
        <v>24.6</v>
      </c>
      <c r="AS1859" s="4" t="s">
        <v>11</v>
      </c>
      <c r="AT1859" s="4">
        <v>204</v>
      </c>
      <c r="AU1859" s="4" t="s">
        <v>424</v>
      </c>
      <c r="AV1859" s="4">
        <v>308</v>
      </c>
      <c r="AW1859" s="4" t="s">
        <v>1591</v>
      </c>
      <c r="AX1859" s="4">
        <v>62.1</v>
      </c>
      <c r="BG1859" s="4" t="s">
        <v>328</v>
      </c>
      <c r="BI1859" s="4" t="s">
        <v>321</v>
      </c>
      <c r="BP1859" s="4">
        <v>3</v>
      </c>
      <c r="BS1859" s="4">
        <v>7.07</v>
      </c>
      <c r="BV1859" s="4" t="s">
        <v>1593</v>
      </c>
      <c r="FI1859" s="50"/>
      <c r="FJ1859" s="55">
        <v>0.484615384615384</v>
      </c>
      <c r="FK1859" s="56">
        <v>0.040953412784399</v>
      </c>
      <c r="FL1859" s="56">
        <v>0.30032502708559</v>
      </c>
      <c r="FM1859" s="56">
        <v>0.024268689057421</v>
      </c>
      <c r="FR1859" s="1">
        <v>0</v>
      </c>
      <c r="FS1859" s="1">
        <v>0</v>
      </c>
      <c r="FT1859" s="55">
        <v>38.0281690140845</v>
      </c>
      <c r="FU1859" s="52"/>
      <c r="FW1859" s="55">
        <v>38.0281690140845</v>
      </c>
    </row>
    <row r="1860" customHeight="1" spans="1:179">
      <c r="A1860" s="54">
        <v>69</v>
      </c>
      <c r="B1860" s="4" t="s">
        <v>1590</v>
      </c>
      <c r="C1860" s="5" t="s">
        <v>358</v>
      </c>
      <c r="N1860" s="4" t="s">
        <v>567</v>
      </c>
      <c r="O1860" s="4" t="s">
        <v>343</v>
      </c>
      <c r="P1860" s="4">
        <v>2.99</v>
      </c>
      <c r="Q1860" s="4" t="s">
        <v>539</v>
      </c>
      <c r="AG1860" s="4" t="s">
        <v>316</v>
      </c>
      <c r="AH1860" s="4" t="s">
        <v>432</v>
      </c>
      <c r="AL1860" s="4" t="s">
        <v>443</v>
      </c>
      <c r="AM1860" s="4">
        <v>7.7</v>
      </c>
      <c r="AN1860" s="4">
        <v>17</v>
      </c>
      <c r="AQ1860" s="4" t="s">
        <v>7</v>
      </c>
      <c r="AR1860" s="4">
        <v>24.6</v>
      </c>
      <c r="AS1860" s="4" t="s">
        <v>11</v>
      </c>
      <c r="AT1860" s="4">
        <v>204</v>
      </c>
      <c r="AU1860" s="4" t="s">
        <v>424</v>
      </c>
      <c r="AV1860" s="4">
        <v>308</v>
      </c>
      <c r="AW1860" s="4" t="s">
        <v>1591</v>
      </c>
      <c r="AX1860" s="4">
        <v>62.1</v>
      </c>
      <c r="BG1860" s="4" t="s">
        <v>328</v>
      </c>
      <c r="BI1860" s="4" t="s">
        <v>321</v>
      </c>
      <c r="BP1860" s="4">
        <v>3</v>
      </c>
      <c r="BS1860" s="4">
        <v>7.07</v>
      </c>
      <c r="BV1860" s="4" t="s">
        <v>1594</v>
      </c>
      <c r="FI1860" s="50"/>
      <c r="FJ1860" s="55">
        <v>0.546803900325027</v>
      </c>
      <c r="FK1860" s="56">
        <v>0.134994582881907</v>
      </c>
      <c r="FL1860" s="56">
        <v>0.375406283856988</v>
      </c>
      <c r="FM1860" s="56">
        <v>0.079631635969664</v>
      </c>
      <c r="FR1860" s="1">
        <v>0</v>
      </c>
      <c r="FS1860" s="1">
        <v>0</v>
      </c>
      <c r="FT1860" s="55">
        <v>31.3453536754508</v>
      </c>
      <c r="FU1860" s="52"/>
      <c r="FW1860" s="55">
        <v>31.3453536754508</v>
      </c>
    </row>
    <row r="1861" customHeight="1" spans="1:179">
      <c r="A1861" s="54">
        <v>69</v>
      </c>
      <c r="B1861" s="4" t="s">
        <v>1590</v>
      </c>
      <c r="C1861" s="5" t="s">
        <v>358</v>
      </c>
      <c r="N1861" s="4" t="s">
        <v>567</v>
      </c>
      <c r="O1861" s="4" t="s">
        <v>343</v>
      </c>
      <c r="P1861" s="4">
        <v>2.99</v>
      </c>
      <c r="Q1861" s="4" t="s">
        <v>539</v>
      </c>
      <c r="AG1861" s="4" t="s">
        <v>316</v>
      </c>
      <c r="AH1861" s="4" t="s">
        <v>432</v>
      </c>
      <c r="AL1861" s="4" t="s">
        <v>443</v>
      </c>
      <c r="AM1861" s="4">
        <v>7.7</v>
      </c>
      <c r="AN1861" s="4">
        <v>17</v>
      </c>
      <c r="AQ1861" s="4" t="s">
        <v>7</v>
      </c>
      <c r="AR1861" s="4">
        <v>24.6</v>
      </c>
      <c r="AS1861" s="4" t="s">
        <v>11</v>
      </c>
      <c r="AT1861" s="4">
        <v>204</v>
      </c>
      <c r="AU1861" s="4" t="s">
        <v>424</v>
      </c>
      <c r="AV1861" s="4">
        <v>308</v>
      </c>
      <c r="AW1861" s="4" t="s">
        <v>1591</v>
      </c>
      <c r="AX1861" s="4">
        <v>62.1</v>
      </c>
      <c r="BG1861" s="4" t="s">
        <v>328</v>
      </c>
      <c r="BI1861" s="4" t="s">
        <v>321</v>
      </c>
      <c r="BP1861" s="4">
        <v>3</v>
      </c>
      <c r="BS1861" s="4">
        <v>7.07</v>
      </c>
      <c r="BV1861" s="4" t="s">
        <v>1595</v>
      </c>
      <c r="FI1861" s="50"/>
      <c r="FJ1861" s="55">
        <v>0.492957746478873</v>
      </c>
      <c r="FK1861" s="56">
        <v>0.031094257854822</v>
      </c>
      <c r="FL1861" s="56">
        <v>0.417118093174431</v>
      </c>
      <c r="FM1861" s="56">
        <v>0.069772481040086</v>
      </c>
      <c r="FR1861" s="1">
        <v>0</v>
      </c>
      <c r="FS1861" s="1">
        <v>0</v>
      </c>
      <c r="FT1861" s="55">
        <v>15.3846153846154</v>
      </c>
      <c r="FU1861" s="52"/>
      <c r="FW1861" s="55">
        <v>15.3846153846154</v>
      </c>
    </row>
    <row r="1862" customHeight="1" spans="1:179">
      <c r="A1862" s="54">
        <v>69</v>
      </c>
      <c r="B1862" s="4" t="s">
        <v>1590</v>
      </c>
      <c r="C1862" s="5" t="s">
        <v>358</v>
      </c>
      <c r="N1862" s="4" t="s">
        <v>567</v>
      </c>
      <c r="O1862" s="4" t="s">
        <v>343</v>
      </c>
      <c r="P1862" s="4">
        <v>2.99</v>
      </c>
      <c r="Q1862" s="4" t="s">
        <v>539</v>
      </c>
      <c r="AG1862" s="4" t="s">
        <v>316</v>
      </c>
      <c r="AH1862" s="4" t="s">
        <v>432</v>
      </c>
      <c r="AL1862" s="4" t="s">
        <v>443</v>
      </c>
      <c r="AM1862" s="4">
        <v>7.7</v>
      </c>
      <c r="AN1862" s="4">
        <v>17</v>
      </c>
      <c r="AQ1862" s="4" t="s">
        <v>7</v>
      </c>
      <c r="AR1862" s="4">
        <v>24.6</v>
      </c>
      <c r="AS1862" s="4" t="s">
        <v>11</v>
      </c>
      <c r="AT1862" s="4">
        <v>204</v>
      </c>
      <c r="AU1862" s="4" t="s">
        <v>424</v>
      </c>
      <c r="AV1862" s="4">
        <v>308</v>
      </c>
      <c r="AW1862" s="4" t="s">
        <v>1591</v>
      </c>
      <c r="AX1862" s="4">
        <v>62.1</v>
      </c>
      <c r="BG1862" s="4" t="s">
        <v>328</v>
      </c>
      <c r="BI1862" s="4" t="s">
        <v>321</v>
      </c>
      <c r="BP1862" s="4">
        <v>3</v>
      </c>
      <c r="BS1862" s="4">
        <v>7.07</v>
      </c>
      <c r="BV1862" s="4" t="s">
        <v>1596</v>
      </c>
      <c r="FI1862" s="50"/>
      <c r="FJ1862" s="55">
        <v>0.563488624052004</v>
      </c>
      <c r="FK1862" s="56">
        <v>0.055362946912243</v>
      </c>
      <c r="FL1862" s="56">
        <v>0.54225352112676</v>
      </c>
      <c r="FM1862" s="56">
        <v>0.038678223185266</v>
      </c>
      <c r="FR1862" s="1">
        <v>0</v>
      </c>
      <c r="FS1862" s="1">
        <v>0</v>
      </c>
      <c r="FT1862" s="55">
        <v>3.76850605652763</v>
      </c>
      <c r="FU1862" s="52"/>
      <c r="FW1862" s="55">
        <v>3.76850605652763</v>
      </c>
    </row>
    <row r="1863" customHeight="1" spans="1:179">
      <c r="A1863" s="54">
        <v>69</v>
      </c>
      <c r="B1863" s="4" t="s">
        <v>1590</v>
      </c>
      <c r="C1863" s="5" t="s">
        <v>1597</v>
      </c>
      <c r="N1863" s="4" t="s">
        <v>567</v>
      </c>
      <c r="O1863" s="4" t="s">
        <v>1409</v>
      </c>
      <c r="Q1863" s="4" t="s">
        <v>539</v>
      </c>
      <c r="AG1863" s="4" t="s">
        <v>316</v>
      </c>
      <c r="AH1863" s="4" t="s">
        <v>432</v>
      </c>
      <c r="AL1863" s="4" t="s">
        <v>443</v>
      </c>
      <c r="AM1863" s="4">
        <v>7.7</v>
      </c>
      <c r="AN1863" s="4">
        <v>17</v>
      </c>
      <c r="AQ1863" s="4" t="s">
        <v>7</v>
      </c>
      <c r="AR1863" s="4">
        <v>24.6</v>
      </c>
      <c r="AS1863" s="4" t="s">
        <v>11</v>
      </c>
      <c r="AT1863" s="4">
        <v>204</v>
      </c>
      <c r="AU1863" s="4" t="s">
        <v>424</v>
      </c>
      <c r="AV1863" s="4">
        <v>308</v>
      </c>
      <c r="AW1863" s="4" t="s">
        <v>1591</v>
      </c>
      <c r="AX1863" s="4">
        <v>62.1</v>
      </c>
      <c r="BG1863" s="4" t="s">
        <v>328</v>
      </c>
      <c r="BI1863" s="4" t="s">
        <v>321</v>
      </c>
      <c r="BP1863" s="4">
        <v>3</v>
      </c>
      <c r="BS1863" s="4">
        <v>7.07</v>
      </c>
      <c r="BV1863" s="4" t="s">
        <v>408</v>
      </c>
      <c r="DO1863" s="4">
        <v>3</v>
      </c>
      <c r="FI1863" s="50"/>
      <c r="FJ1863" s="55">
        <v>0.487648970747562</v>
      </c>
      <c r="FK1863" s="56">
        <v>0.055362946912243</v>
      </c>
      <c r="FL1863" s="56">
        <v>0.156988082340195</v>
      </c>
      <c r="FM1863" s="56">
        <v>0.012134344528711</v>
      </c>
      <c r="FR1863" s="1">
        <v>0</v>
      </c>
      <c r="FS1863" s="1">
        <v>0</v>
      </c>
      <c r="FT1863" s="55">
        <v>67.8071539657854</v>
      </c>
      <c r="FU1863" s="52"/>
      <c r="FW1863" s="55">
        <v>67.8071539657854</v>
      </c>
    </row>
    <row r="1864" customHeight="1" spans="1:179">
      <c r="A1864" s="54">
        <v>69</v>
      </c>
      <c r="B1864" s="4" t="s">
        <v>1590</v>
      </c>
      <c r="C1864" s="5" t="s">
        <v>1597</v>
      </c>
      <c r="N1864" s="4" t="s">
        <v>567</v>
      </c>
      <c r="O1864" s="4" t="s">
        <v>1409</v>
      </c>
      <c r="Q1864" s="4" t="s">
        <v>539</v>
      </c>
      <c r="AG1864" s="4" t="s">
        <v>316</v>
      </c>
      <c r="AH1864" s="4" t="s">
        <v>432</v>
      </c>
      <c r="AL1864" s="4" t="s">
        <v>443</v>
      </c>
      <c r="AM1864" s="4">
        <v>7.7</v>
      </c>
      <c r="AN1864" s="4">
        <v>17</v>
      </c>
      <c r="AQ1864" s="4" t="s">
        <v>7</v>
      </c>
      <c r="AR1864" s="4">
        <v>24.6</v>
      </c>
      <c r="AS1864" s="4" t="s">
        <v>11</v>
      </c>
      <c r="AT1864" s="4">
        <v>204</v>
      </c>
      <c r="AU1864" s="4" t="s">
        <v>424</v>
      </c>
      <c r="AV1864" s="4">
        <v>308</v>
      </c>
      <c r="AW1864" s="4" t="s">
        <v>1591</v>
      </c>
      <c r="AX1864" s="4">
        <v>62.1</v>
      </c>
      <c r="BG1864" s="4" t="s">
        <v>328</v>
      </c>
      <c r="BI1864" s="4" t="s">
        <v>321</v>
      </c>
      <c r="BP1864" s="4">
        <v>3</v>
      </c>
      <c r="BS1864" s="4">
        <v>7.07</v>
      </c>
      <c r="BV1864" s="4" t="s">
        <v>1592</v>
      </c>
      <c r="FI1864" s="50"/>
      <c r="FJ1864" s="55">
        <v>0.501679306608884</v>
      </c>
      <c r="FK1864" s="56">
        <v>0.011755146262189</v>
      </c>
      <c r="FL1864" s="56">
        <v>0.29008667388949</v>
      </c>
      <c r="FM1864" s="56">
        <v>0.012513542795233</v>
      </c>
      <c r="FR1864" s="1">
        <v>0</v>
      </c>
      <c r="FS1864" s="1">
        <v>0</v>
      </c>
      <c r="FT1864" s="55">
        <v>42.1768707482995</v>
      </c>
      <c r="FU1864" s="52"/>
      <c r="FW1864" s="55">
        <v>42.1768707482995</v>
      </c>
    </row>
    <row r="1865" customHeight="1" spans="1:179">
      <c r="A1865" s="54">
        <v>69</v>
      </c>
      <c r="B1865" s="4" t="s">
        <v>1590</v>
      </c>
      <c r="C1865" s="5" t="s">
        <v>1597</v>
      </c>
      <c r="N1865" s="4" t="s">
        <v>567</v>
      </c>
      <c r="O1865" s="4" t="s">
        <v>1409</v>
      </c>
      <c r="Q1865" s="4" t="s">
        <v>539</v>
      </c>
      <c r="AG1865" s="4" t="s">
        <v>316</v>
      </c>
      <c r="AH1865" s="4" t="s">
        <v>432</v>
      </c>
      <c r="AL1865" s="4" t="s">
        <v>443</v>
      </c>
      <c r="AM1865" s="4">
        <v>7.7</v>
      </c>
      <c r="AN1865" s="4">
        <v>17</v>
      </c>
      <c r="AQ1865" s="4" t="s">
        <v>7</v>
      </c>
      <c r="AR1865" s="4">
        <v>24.6</v>
      </c>
      <c r="AS1865" s="4" t="s">
        <v>11</v>
      </c>
      <c r="AT1865" s="4">
        <v>204</v>
      </c>
      <c r="AU1865" s="4" t="s">
        <v>424</v>
      </c>
      <c r="AV1865" s="4">
        <v>308</v>
      </c>
      <c r="AW1865" s="4" t="s">
        <v>1591</v>
      </c>
      <c r="AX1865" s="4">
        <v>62.1</v>
      </c>
      <c r="BG1865" s="4" t="s">
        <v>328</v>
      </c>
      <c r="BI1865" s="4" t="s">
        <v>321</v>
      </c>
      <c r="BP1865" s="4">
        <v>3</v>
      </c>
      <c r="BS1865" s="4">
        <v>7.07</v>
      </c>
      <c r="BV1865" s="4" t="s">
        <v>1593</v>
      </c>
      <c r="FI1865" s="50"/>
      <c r="FJ1865" s="55">
        <v>0.484615384615384</v>
      </c>
      <c r="FK1865" s="56">
        <v>0.040953412784399</v>
      </c>
      <c r="FL1865" s="56">
        <v>0.27453954496208</v>
      </c>
      <c r="FM1865" s="56">
        <v>0.023510292524377</v>
      </c>
      <c r="FR1865" s="1">
        <v>0</v>
      </c>
      <c r="FS1865" s="1">
        <v>0</v>
      </c>
      <c r="FT1865" s="55">
        <v>43.3489827856025</v>
      </c>
      <c r="FU1865" s="52"/>
      <c r="FW1865" s="55">
        <v>43.3489827856025</v>
      </c>
    </row>
    <row r="1866" customHeight="1" spans="1:179">
      <c r="A1866" s="54">
        <v>69</v>
      </c>
      <c r="B1866" s="4" t="s">
        <v>1590</v>
      </c>
      <c r="C1866" s="5" t="s">
        <v>1597</v>
      </c>
      <c r="N1866" s="4" t="s">
        <v>567</v>
      </c>
      <c r="O1866" s="4" t="s">
        <v>1409</v>
      </c>
      <c r="Q1866" s="4" t="s">
        <v>539</v>
      </c>
      <c r="AG1866" s="4" t="s">
        <v>316</v>
      </c>
      <c r="AH1866" s="4" t="s">
        <v>432</v>
      </c>
      <c r="AL1866" s="4" t="s">
        <v>443</v>
      </c>
      <c r="AM1866" s="4">
        <v>7.7</v>
      </c>
      <c r="AN1866" s="4">
        <v>17</v>
      </c>
      <c r="AQ1866" s="4" t="s">
        <v>7</v>
      </c>
      <c r="AR1866" s="4">
        <v>24.6</v>
      </c>
      <c r="AS1866" s="4" t="s">
        <v>11</v>
      </c>
      <c r="AT1866" s="4">
        <v>204</v>
      </c>
      <c r="AU1866" s="4" t="s">
        <v>424</v>
      </c>
      <c r="AV1866" s="4">
        <v>308</v>
      </c>
      <c r="AW1866" s="4" t="s">
        <v>1591</v>
      </c>
      <c r="AX1866" s="4">
        <v>62.1</v>
      </c>
      <c r="BG1866" s="4" t="s">
        <v>328</v>
      </c>
      <c r="BI1866" s="4" t="s">
        <v>321</v>
      </c>
      <c r="BP1866" s="4">
        <v>3</v>
      </c>
      <c r="BS1866" s="4">
        <v>7.07</v>
      </c>
      <c r="BV1866" s="4" t="s">
        <v>1594</v>
      </c>
      <c r="FI1866" s="50"/>
      <c r="FJ1866" s="55">
        <v>0.546803900325027</v>
      </c>
      <c r="FK1866" s="56">
        <v>0.134994582881907</v>
      </c>
      <c r="FL1866" s="56">
        <v>0.35872156013001</v>
      </c>
      <c r="FM1866" s="56">
        <v>0.035644637053087</v>
      </c>
      <c r="FR1866" s="1">
        <v>0</v>
      </c>
      <c r="FS1866" s="1">
        <v>0</v>
      </c>
      <c r="FT1866" s="55">
        <v>34.3966712898753</v>
      </c>
      <c r="FU1866" s="52"/>
      <c r="FW1866" s="55">
        <v>34.3966712898753</v>
      </c>
    </row>
    <row r="1867" customHeight="1" spans="1:179">
      <c r="A1867" s="54">
        <v>69</v>
      </c>
      <c r="B1867" s="4" t="s">
        <v>1590</v>
      </c>
      <c r="C1867" s="5" t="s">
        <v>1597</v>
      </c>
      <c r="N1867" s="4" t="s">
        <v>567</v>
      </c>
      <c r="O1867" s="4" t="s">
        <v>1409</v>
      </c>
      <c r="Q1867" s="4" t="s">
        <v>539</v>
      </c>
      <c r="AG1867" s="4" t="s">
        <v>316</v>
      </c>
      <c r="AH1867" s="4" t="s">
        <v>432</v>
      </c>
      <c r="AL1867" s="4" t="s">
        <v>443</v>
      </c>
      <c r="AM1867" s="4">
        <v>7.7</v>
      </c>
      <c r="AN1867" s="4">
        <v>17</v>
      </c>
      <c r="AQ1867" s="4" t="s">
        <v>7</v>
      </c>
      <c r="AR1867" s="4">
        <v>24.6</v>
      </c>
      <c r="AS1867" s="4" t="s">
        <v>11</v>
      </c>
      <c r="AT1867" s="4">
        <v>204</v>
      </c>
      <c r="AU1867" s="4" t="s">
        <v>424</v>
      </c>
      <c r="AV1867" s="4">
        <v>308</v>
      </c>
      <c r="AW1867" s="4" t="s">
        <v>1591</v>
      </c>
      <c r="AX1867" s="4">
        <v>62.1</v>
      </c>
      <c r="BG1867" s="4" t="s">
        <v>328</v>
      </c>
      <c r="BI1867" s="4" t="s">
        <v>321</v>
      </c>
      <c r="BP1867" s="4">
        <v>3</v>
      </c>
      <c r="BS1867" s="4">
        <v>7.07</v>
      </c>
      <c r="BV1867" s="4" t="s">
        <v>1595</v>
      </c>
      <c r="FI1867" s="50"/>
      <c r="FJ1867" s="55">
        <v>0.492957746478873</v>
      </c>
      <c r="FK1867" s="56">
        <v>0.031094257854822</v>
      </c>
      <c r="FL1867" s="56">
        <v>0.342036836403033</v>
      </c>
      <c r="FM1867" s="56">
        <v>0.015926327193933</v>
      </c>
      <c r="FR1867" s="1">
        <v>0</v>
      </c>
      <c r="FS1867" s="1">
        <v>0</v>
      </c>
      <c r="FT1867" s="55">
        <v>30.6153846153847</v>
      </c>
      <c r="FU1867" s="52"/>
      <c r="FW1867" s="55">
        <v>30.6153846153847</v>
      </c>
    </row>
    <row r="1868" customHeight="1" spans="1:179">
      <c r="A1868" s="54">
        <v>69</v>
      </c>
      <c r="B1868" s="4" t="s">
        <v>1590</v>
      </c>
      <c r="C1868" s="5" t="s">
        <v>1597</v>
      </c>
      <c r="N1868" s="4" t="s">
        <v>567</v>
      </c>
      <c r="O1868" s="4" t="s">
        <v>1409</v>
      </c>
      <c r="Q1868" s="4" t="s">
        <v>539</v>
      </c>
      <c r="AG1868" s="4" t="s">
        <v>316</v>
      </c>
      <c r="AH1868" s="4" t="s">
        <v>432</v>
      </c>
      <c r="AL1868" s="4" t="s">
        <v>443</v>
      </c>
      <c r="AM1868" s="4">
        <v>7.7</v>
      </c>
      <c r="AN1868" s="4">
        <v>17</v>
      </c>
      <c r="AQ1868" s="4" t="s">
        <v>7</v>
      </c>
      <c r="AR1868" s="4">
        <v>24.6</v>
      </c>
      <c r="AS1868" s="4" t="s">
        <v>11</v>
      </c>
      <c r="AT1868" s="4">
        <v>204</v>
      </c>
      <c r="AU1868" s="4" t="s">
        <v>424</v>
      </c>
      <c r="AV1868" s="4">
        <v>308</v>
      </c>
      <c r="AW1868" s="4" t="s">
        <v>1591</v>
      </c>
      <c r="AX1868" s="4">
        <v>62.1</v>
      </c>
      <c r="BG1868" s="4" t="s">
        <v>328</v>
      </c>
      <c r="BI1868" s="4" t="s">
        <v>321</v>
      </c>
      <c r="BP1868" s="4">
        <v>3</v>
      </c>
      <c r="BS1868" s="4">
        <v>7.07</v>
      </c>
      <c r="BV1868" s="4" t="s">
        <v>1596</v>
      </c>
      <c r="FI1868" s="50"/>
      <c r="FJ1868" s="55">
        <v>0.563488624052004</v>
      </c>
      <c r="FK1868" s="56">
        <v>0.055362946912243</v>
      </c>
      <c r="FL1868" s="56">
        <v>0.426218851570964</v>
      </c>
      <c r="FM1868" s="56">
        <v>0.060671722643554</v>
      </c>
      <c r="FR1868" s="1">
        <v>0</v>
      </c>
      <c r="FS1868" s="1">
        <v>0</v>
      </c>
      <c r="FT1868" s="55">
        <v>24.3606998654105</v>
      </c>
      <c r="FU1868" s="52"/>
      <c r="FW1868" s="55">
        <v>24.3606998654105</v>
      </c>
    </row>
    <row r="1869" customHeight="1" spans="1:179">
      <c r="A1869" s="54">
        <v>69</v>
      </c>
      <c r="B1869" s="4" t="s">
        <v>1590</v>
      </c>
      <c r="C1869" s="5" t="s">
        <v>341</v>
      </c>
      <c r="N1869" s="4" t="s">
        <v>567</v>
      </c>
      <c r="O1869" s="4" t="s">
        <v>343</v>
      </c>
      <c r="P1869" s="4">
        <v>2.51</v>
      </c>
      <c r="Q1869" s="4" t="s">
        <v>539</v>
      </c>
      <c r="AG1869" s="4" t="s">
        <v>316</v>
      </c>
      <c r="AH1869" s="4" t="s">
        <v>432</v>
      </c>
      <c r="AL1869" s="4" t="s">
        <v>443</v>
      </c>
      <c r="AM1869" s="4">
        <v>7.7</v>
      </c>
      <c r="AN1869" s="4">
        <v>17</v>
      </c>
      <c r="AQ1869" s="4" t="s">
        <v>7</v>
      </c>
      <c r="AR1869" s="4">
        <v>24.6</v>
      </c>
      <c r="AS1869" s="4" t="s">
        <v>11</v>
      </c>
      <c r="AT1869" s="4">
        <v>204</v>
      </c>
      <c r="AU1869" s="4" t="s">
        <v>424</v>
      </c>
      <c r="AV1869" s="4">
        <v>308</v>
      </c>
      <c r="AW1869" s="4" t="s">
        <v>1591</v>
      </c>
      <c r="AX1869" s="4">
        <v>62.1</v>
      </c>
      <c r="BG1869" s="4" t="s">
        <v>328</v>
      </c>
      <c r="BI1869" s="4" t="s">
        <v>321</v>
      </c>
      <c r="BP1869" s="4">
        <v>3</v>
      </c>
      <c r="BS1869" s="4">
        <v>7.07</v>
      </c>
      <c r="BV1869" s="4" t="s">
        <v>408</v>
      </c>
      <c r="DO1869" s="4">
        <v>3</v>
      </c>
      <c r="FI1869" s="50"/>
      <c r="FJ1869" s="55">
        <v>0.487648970747562</v>
      </c>
      <c r="FK1869" s="56">
        <v>0.055362946912243</v>
      </c>
      <c r="FL1869" s="56">
        <v>0.266197183098591</v>
      </c>
      <c r="FM1869" s="56">
        <v>0.088732394366197</v>
      </c>
      <c r="FR1869" s="1">
        <v>0</v>
      </c>
      <c r="FS1869" s="1">
        <v>0</v>
      </c>
      <c r="FT1869" s="55">
        <v>45.4121306376362</v>
      </c>
      <c r="FU1869" s="52"/>
      <c r="FW1869" s="55">
        <v>45.4121306376362</v>
      </c>
    </row>
    <row r="1870" customHeight="1" spans="1:179">
      <c r="A1870" s="54">
        <v>69</v>
      </c>
      <c r="B1870" s="4" t="s">
        <v>1590</v>
      </c>
      <c r="C1870" s="5" t="s">
        <v>341</v>
      </c>
      <c r="N1870" s="4" t="s">
        <v>567</v>
      </c>
      <c r="O1870" s="4" t="s">
        <v>343</v>
      </c>
      <c r="P1870" s="4">
        <v>2.51</v>
      </c>
      <c r="Q1870" s="4" t="s">
        <v>539</v>
      </c>
      <c r="AG1870" s="4" t="s">
        <v>316</v>
      </c>
      <c r="AH1870" s="4" t="s">
        <v>432</v>
      </c>
      <c r="AL1870" s="4" t="s">
        <v>443</v>
      </c>
      <c r="AM1870" s="4">
        <v>7.7</v>
      </c>
      <c r="AN1870" s="4">
        <v>17</v>
      </c>
      <c r="AQ1870" s="4" t="s">
        <v>7</v>
      </c>
      <c r="AR1870" s="4">
        <v>24.6</v>
      </c>
      <c r="AS1870" s="4" t="s">
        <v>11</v>
      </c>
      <c r="AT1870" s="4">
        <v>204</v>
      </c>
      <c r="AU1870" s="4" t="s">
        <v>424</v>
      </c>
      <c r="AV1870" s="4">
        <v>308</v>
      </c>
      <c r="AW1870" s="4" t="s">
        <v>1591</v>
      </c>
      <c r="AX1870" s="4">
        <v>62.1</v>
      </c>
      <c r="BG1870" s="4" t="s">
        <v>328</v>
      </c>
      <c r="BI1870" s="4" t="s">
        <v>321</v>
      </c>
      <c r="BP1870" s="4">
        <v>3</v>
      </c>
      <c r="BS1870" s="4">
        <v>7.07</v>
      </c>
      <c r="BV1870" s="4" t="s">
        <v>1592</v>
      </c>
      <c r="FI1870" s="50"/>
      <c r="FJ1870" s="55">
        <v>0.501679306608884</v>
      </c>
      <c r="FK1870" s="56">
        <v>0.011755146262189</v>
      </c>
      <c r="FL1870" s="56">
        <v>0.280606717226435</v>
      </c>
      <c r="FM1870" s="56">
        <v>0.010617551462622</v>
      </c>
      <c r="FR1870" s="1">
        <v>0</v>
      </c>
      <c r="FS1870" s="1">
        <v>0</v>
      </c>
      <c r="FT1870" s="55">
        <v>44.066515495087</v>
      </c>
      <c r="FU1870" s="52"/>
      <c r="FW1870" s="55">
        <v>44.066515495087</v>
      </c>
    </row>
    <row r="1871" customHeight="1" spans="1:179">
      <c r="A1871" s="54">
        <v>69</v>
      </c>
      <c r="B1871" s="4" t="s">
        <v>1590</v>
      </c>
      <c r="C1871" s="5" t="s">
        <v>341</v>
      </c>
      <c r="N1871" s="4" t="s">
        <v>567</v>
      </c>
      <c r="O1871" s="4" t="s">
        <v>343</v>
      </c>
      <c r="P1871" s="4">
        <v>2.51</v>
      </c>
      <c r="Q1871" s="4" t="s">
        <v>539</v>
      </c>
      <c r="AG1871" s="4" t="s">
        <v>316</v>
      </c>
      <c r="AH1871" s="4" t="s">
        <v>432</v>
      </c>
      <c r="AL1871" s="4" t="s">
        <v>443</v>
      </c>
      <c r="AM1871" s="4">
        <v>7.7</v>
      </c>
      <c r="AN1871" s="4">
        <v>17</v>
      </c>
      <c r="AQ1871" s="4" t="s">
        <v>7</v>
      </c>
      <c r="AR1871" s="4">
        <v>24.6</v>
      </c>
      <c r="AS1871" s="4" t="s">
        <v>11</v>
      </c>
      <c r="AT1871" s="4">
        <v>204</v>
      </c>
      <c r="AU1871" s="4" t="s">
        <v>424</v>
      </c>
      <c r="AV1871" s="4">
        <v>308</v>
      </c>
      <c r="AW1871" s="4" t="s">
        <v>1591</v>
      </c>
      <c r="AX1871" s="4">
        <v>62.1</v>
      </c>
      <c r="BG1871" s="4" t="s">
        <v>328</v>
      </c>
      <c r="BI1871" s="4" t="s">
        <v>321</v>
      </c>
      <c r="BP1871" s="4">
        <v>3</v>
      </c>
      <c r="BS1871" s="4">
        <v>7.07</v>
      </c>
      <c r="BV1871" s="4" t="s">
        <v>1593</v>
      </c>
      <c r="FI1871" s="50"/>
      <c r="FJ1871" s="55">
        <v>0.484615384615384</v>
      </c>
      <c r="FK1871" s="56">
        <v>0.040953412784399</v>
      </c>
      <c r="FL1871" s="56">
        <v>0.279089924160346</v>
      </c>
      <c r="FM1871" s="56">
        <v>0.046262188515709</v>
      </c>
      <c r="FR1871" s="1">
        <v>0</v>
      </c>
      <c r="FS1871" s="1">
        <v>0</v>
      </c>
      <c r="FT1871" s="55">
        <v>42.4100156494523</v>
      </c>
      <c r="FU1871" s="52"/>
      <c r="FW1871" s="55">
        <v>42.4100156494523</v>
      </c>
    </row>
    <row r="1872" customHeight="1" spans="1:179">
      <c r="A1872" s="54">
        <v>69</v>
      </c>
      <c r="B1872" s="4" t="s">
        <v>1590</v>
      </c>
      <c r="C1872" s="5" t="s">
        <v>341</v>
      </c>
      <c r="N1872" s="4" t="s">
        <v>567</v>
      </c>
      <c r="O1872" s="4" t="s">
        <v>343</v>
      </c>
      <c r="P1872" s="4">
        <v>2.51</v>
      </c>
      <c r="Q1872" s="4" t="s">
        <v>539</v>
      </c>
      <c r="AG1872" s="4" t="s">
        <v>316</v>
      </c>
      <c r="AH1872" s="4" t="s">
        <v>432</v>
      </c>
      <c r="AL1872" s="4" t="s">
        <v>443</v>
      </c>
      <c r="AM1872" s="4">
        <v>7.7</v>
      </c>
      <c r="AN1872" s="4">
        <v>17</v>
      </c>
      <c r="AQ1872" s="4" t="s">
        <v>7</v>
      </c>
      <c r="AR1872" s="4">
        <v>24.6</v>
      </c>
      <c r="AS1872" s="4" t="s">
        <v>11</v>
      </c>
      <c r="AT1872" s="4">
        <v>204</v>
      </c>
      <c r="AU1872" s="4" t="s">
        <v>424</v>
      </c>
      <c r="AV1872" s="4">
        <v>308</v>
      </c>
      <c r="AW1872" s="4" t="s">
        <v>1591</v>
      </c>
      <c r="AX1872" s="4">
        <v>62.1</v>
      </c>
      <c r="BG1872" s="4" t="s">
        <v>328</v>
      </c>
      <c r="BI1872" s="4" t="s">
        <v>321</v>
      </c>
      <c r="BP1872" s="4">
        <v>3</v>
      </c>
      <c r="BS1872" s="4">
        <v>7.07</v>
      </c>
      <c r="BV1872" s="4" t="s">
        <v>1594</v>
      </c>
      <c r="FI1872" s="50"/>
      <c r="FJ1872" s="55">
        <v>0.546803900325027</v>
      </c>
      <c r="FK1872" s="56">
        <v>0.134994582881907</v>
      </c>
      <c r="FL1872" s="56">
        <v>0.360996749729144</v>
      </c>
      <c r="FM1872" s="56">
        <v>0.018201516793066</v>
      </c>
      <c r="FR1872" s="1">
        <v>0</v>
      </c>
      <c r="FS1872" s="1">
        <v>0</v>
      </c>
      <c r="FT1872" s="55">
        <v>33.9805825242719</v>
      </c>
      <c r="FU1872" s="52"/>
      <c r="FW1872" s="55">
        <v>33.9805825242719</v>
      </c>
    </row>
    <row r="1873" customHeight="1" spans="1:179">
      <c r="A1873" s="54">
        <v>69</v>
      </c>
      <c r="B1873" s="4" t="s">
        <v>1590</v>
      </c>
      <c r="C1873" s="5" t="s">
        <v>341</v>
      </c>
      <c r="N1873" s="4" t="s">
        <v>567</v>
      </c>
      <c r="O1873" s="4" t="s">
        <v>343</v>
      </c>
      <c r="P1873" s="4">
        <v>2.51</v>
      </c>
      <c r="Q1873" s="4" t="s">
        <v>539</v>
      </c>
      <c r="AG1873" s="4" t="s">
        <v>316</v>
      </c>
      <c r="AH1873" s="4" t="s">
        <v>432</v>
      </c>
      <c r="AL1873" s="4" t="s">
        <v>443</v>
      </c>
      <c r="AM1873" s="4">
        <v>7.7</v>
      </c>
      <c r="AN1873" s="4">
        <v>17</v>
      </c>
      <c r="AQ1873" s="4" t="s">
        <v>7</v>
      </c>
      <c r="AR1873" s="4">
        <v>24.6</v>
      </c>
      <c r="AS1873" s="4" t="s">
        <v>11</v>
      </c>
      <c r="AT1873" s="4">
        <v>204</v>
      </c>
      <c r="AU1873" s="4" t="s">
        <v>424</v>
      </c>
      <c r="AV1873" s="4">
        <v>308</v>
      </c>
      <c r="AW1873" s="4" t="s">
        <v>1591</v>
      </c>
      <c r="AX1873" s="4">
        <v>62.1</v>
      </c>
      <c r="BG1873" s="4" t="s">
        <v>328</v>
      </c>
      <c r="BI1873" s="4" t="s">
        <v>321</v>
      </c>
      <c r="BP1873" s="4">
        <v>3</v>
      </c>
      <c r="BS1873" s="4">
        <v>7.07</v>
      </c>
      <c r="BV1873" s="4" t="s">
        <v>1595</v>
      </c>
      <c r="FI1873" s="50"/>
      <c r="FJ1873" s="55">
        <v>0.492957746478873</v>
      </c>
      <c r="FK1873" s="56">
        <v>0.031094257854822</v>
      </c>
      <c r="FL1873" s="56">
        <v>0.350379198266522</v>
      </c>
      <c r="FM1873" s="56">
        <v>0.0470205850487539</v>
      </c>
      <c r="FR1873" s="1">
        <v>0</v>
      </c>
      <c r="FS1873" s="1">
        <v>0</v>
      </c>
      <c r="FT1873" s="55">
        <v>28.9230769230769</v>
      </c>
      <c r="FU1873" s="52"/>
      <c r="FW1873" s="55">
        <v>28.9230769230769</v>
      </c>
    </row>
    <row r="1874" customHeight="1" spans="1:179">
      <c r="A1874" s="54">
        <v>69</v>
      </c>
      <c r="B1874" s="4" t="s">
        <v>1590</v>
      </c>
      <c r="C1874" s="5" t="s">
        <v>341</v>
      </c>
      <c r="N1874" s="4" t="s">
        <v>567</v>
      </c>
      <c r="O1874" s="4" t="s">
        <v>343</v>
      </c>
      <c r="P1874" s="4">
        <v>2.51</v>
      </c>
      <c r="Q1874" s="4" t="s">
        <v>539</v>
      </c>
      <c r="AG1874" s="4" t="s">
        <v>316</v>
      </c>
      <c r="AH1874" s="4" t="s">
        <v>432</v>
      </c>
      <c r="AL1874" s="4" t="s">
        <v>443</v>
      </c>
      <c r="AM1874" s="4">
        <v>7.7</v>
      </c>
      <c r="AN1874" s="4">
        <v>17</v>
      </c>
      <c r="AQ1874" s="4" t="s">
        <v>7</v>
      </c>
      <c r="AR1874" s="4">
        <v>24.6</v>
      </c>
      <c r="AS1874" s="4" t="s">
        <v>11</v>
      </c>
      <c r="AT1874" s="4">
        <v>204</v>
      </c>
      <c r="AU1874" s="4" t="s">
        <v>424</v>
      </c>
      <c r="AV1874" s="4">
        <v>308</v>
      </c>
      <c r="AW1874" s="4" t="s">
        <v>1591</v>
      </c>
      <c r="AX1874" s="4">
        <v>62.1</v>
      </c>
      <c r="BG1874" s="4" t="s">
        <v>328</v>
      </c>
      <c r="BI1874" s="4" t="s">
        <v>321</v>
      </c>
      <c r="BP1874" s="4">
        <v>3</v>
      </c>
      <c r="BS1874" s="4">
        <v>7.07</v>
      </c>
      <c r="BV1874" s="4" t="s">
        <v>1596</v>
      </c>
      <c r="FI1874" s="50"/>
      <c r="FJ1874" s="55">
        <v>0.563488624052004</v>
      </c>
      <c r="FK1874" s="56">
        <v>0.055362946912243</v>
      </c>
      <c r="FL1874" s="56">
        <v>0.489924160346695</v>
      </c>
      <c r="FM1874" s="56">
        <v>0.020476706392199</v>
      </c>
      <c r="FR1874" s="1">
        <v>0</v>
      </c>
      <c r="FS1874" s="1">
        <v>0</v>
      </c>
      <c r="FT1874" s="55">
        <v>13.0551816958278</v>
      </c>
      <c r="FU1874" s="52"/>
      <c r="FW1874" s="55">
        <v>13.0551816958278</v>
      </c>
    </row>
    <row r="1875" customHeight="1" spans="1:179">
      <c r="A1875" s="54">
        <v>69</v>
      </c>
      <c r="B1875" s="4" t="s">
        <v>1590</v>
      </c>
      <c r="C1875" s="5" t="s">
        <v>1598</v>
      </c>
      <c r="N1875" s="4" t="s">
        <v>567</v>
      </c>
      <c r="O1875" s="4" t="s">
        <v>1409</v>
      </c>
      <c r="Q1875" s="4" t="s">
        <v>539</v>
      </c>
      <c r="AG1875" s="4" t="s">
        <v>316</v>
      </c>
      <c r="AH1875" s="4" t="s">
        <v>432</v>
      </c>
      <c r="AL1875" s="4" t="s">
        <v>443</v>
      </c>
      <c r="AM1875" s="4">
        <v>7.7</v>
      </c>
      <c r="AN1875" s="4">
        <v>17</v>
      </c>
      <c r="AQ1875" s="4" t="s">
        <v>7</v>
      </c>
      <c r="AR1875" s="4">
        <v>24.6</v>
      </c>
      <c r="AS1875" s="4" t="s">
        <v>11</v>
      </c>
      <c r="AT1875" s="4">
        <v>204</v>
      </c>
      <c r="AU1875" s="4" t="s">
        <v>424</v>
      </c>
      <c r="AV1875" s="4">
        <v>308</v>
      </c>
      <c r="AW1875" s="4" t="s">
        <v>1591</v>
      </c>
      <c r="AX1875" s="4">
        <v>62.1</v>
      </c>
      <c r="BG1875" s="4" t="s">
        <v>328</v>
      </c>
      <c r="BI1875" s="4" t="s">
        <v>321</v>
      </c>
      <c r="BP1875" s="4">
        <v>3</v>
      </c>
      <c r="BS1875" s="4">
        <v>7.07</v>
      </c>
      <c r="BV1875" s="4" t="s">
        <v>408</v>
      </c>
      <c r="DO1875" s="4">
        <v>3</v>
      </c>
      <c r="FI1875" s="50"/>
      <c r="FJ1875" s="55">
        <v>0.487648970747562</v>
      </c>
      <c r="FK1875" s="56">
        <v>0.055362946912243</v>
      </c>
      <c r="FL1875" s="56">
        <v>0.156988082340195</v>
      </c>
      <c r="FM1875" s="56">
        <v>0.012134344528711</v>
      </c>
      <c r="FR1875" s="1">
        <v>0</v>
      </c>
      <c r="FS1875" s="1">
        <v>0</v>
      </c>
      <c r="FT1875" s="55">
        <v>67.8071539657854</v>
      </c>
      <c r="FU1875" s="52"/>
      <c r="FW1875" s="55">
        <v>67.8071539657854</v>
      </c>
    </row>
    <row r="1876" customHeight="1" spans="1:179">
      <c r="A1876" s="54">
        <v>69</v>
      </c>
      <c r="B1876" s="4" t="s">
        <v>1590</v>
      </c>
      <c r="C1876" s="5" t="s">
        <v>1598</v>
      </c>
      <c r="N1876" s="4" t="s">
        <v>567</v>
      </c>
      <c r="O1876" s="4" t="s">
        <v>1409</v>
      </c>
      <c r="Q1876" s="4" t="s">
        <v>539</v>
      </c>
      <c r="AG1876" s="4" t="s">
        <v>316</v>
      </c>
      <c r="AH1876" s="4" t="s">
        <v>432</v>
      </c>
      <c r="AL1876" s="4" t="s">
        <v>443</v>
      </c>
      <c r="AM1876" s="4">
        <v>7.7</v>
      </c>
      <c r="AN1876" s="4">
        <v>17</v>
      </c>
      <c r="AQ1876" s="4" t="s">
        <v>7</v>
      </c>
      <c r="AR1876" s="4">
        <v>24.6</v>
      </c>
      <c r="AS1876" s="4" t="s">
        <v>11</v>
      </c>
      <c r="AT1876" s="4">
        <v>204</v>
      </c>
      <c r="AU1876" s="4" t="s">
        <v>424</v>
      </c>
      <c r="AV1876" s="4">
        <v>308</v>
      </c>
      <c r="AW1876" s="4" t="s">
        <v>1591</v>
      </c>
      <c r="AX1876" s="4">
        <v>62.1</v>
      </c>
      <c r="BG1876" s="4" t="s">
        <v>328</v>
      </c>
      <c r="BI1876" s="4" t="s">
        <v>321</v>
      </c>
      <c r="BP1876" s="4">
        <v>3</v>
      </c>
      <c r="BS1876" s="4">
        <v>7.07</v>
      </c>
      <c r="BV1876" s="4" t="s">
        <v>1592</v>
      </c>
      <c r="FI1876" s="50"/>
      <c r="FJ1876" s="55">
        <v>0.501679306608884</v>
      </c>
      <c r="FK1876" s="56">
        <v>0.011755146262189</v>
      </c>
      <c r="FL1876" s="56">
        <v>0.273022751895991</v>
      </c>
      <c r="FM1876" s="56">
        <v>0.030335861321777</v>
      </c>
      <c r="FR1876" s="1">
        <v>0</v>
      </c>
      <c r="FS1876" s="1">
        <v>0</v>
      </c>
      <c r="FT1876" s="55">
        <v>45.5782312925171</v>
      </c>
      <c r="FU1876" s="52"/>
      <c r="FW1876" s="55">
        <v>45.5782312925171</v>
      </c>
    </row>
    <row r="1877" customHeight="1" spans="1:179">
      <c r="A1877" s="54">
        <v>69</v>
      </c>
      <c r="B1877" s="4" t="s">
        <v>1590</v>
      </c>
      <c r="C1877" s="5" t="s">
        <v>1598</v>
      </c>
      <c r="N1877" s="4" t="s">
        <v>567</v>
      </c>
      <c r="O1877" s="4" t="s">
        <v>1409</v>
      </c>
      <c r="Q1877" s="4" t="s">
        <v>539</v>
      </c>
      <c r="AG1877" s="4" t="s">
        <v>316</v>
      </c>
      <c r="AH1877" s="4" t="s">
        <v>432</v>
      </c>
      <c r="AL1877" s="4" t="s">
        <v>443</v>
      </c>
      <c r="AM1877" s="4">
        <v>7.7</v>
      </c>
      <c r="AN1877" s="4">
        <v>17</v>
      </c>
      <c r="AQ1877" s="4" t="s">
        <v>7</v>
      </c>
      <c r="AR1877" s="4">
        <v>24.6</v>
      </c>
      <c r="AS1877" s="4" t="s">
        <v>11</v>
      </c>
      <c r="AT1877" s="4">
        <v>204</v>
      </c>
      <c r="AU1877" s="4" t="s">
        <v>424</v>
      </c>
      <c r="AV1877" s="4">
        <v>308</v>
      </c>
      <c r="AW1877" s="4" t="s">
        <v>1591</v>
      </c>
      <c r="AX1877" s="4">
        <v>62.1</v>
      </c>
      <c r="BG1877" s="4" t="s">
        <v>328</v>
      </c>
      <c r="BI1877" s="4" t="s">
        <v>321</v>
      </c>
      <c r="BP1877" s="4">
        <v>3</v>
      </c>
      <c r="BS1877" s="4">
        <v>7.07</v>
      </c>
      <c r="BV1877" s="4" t="s">
        <v>1593</v>
      </c>
      <c r="FI1877" s="50"/>
      <c r="FJ1877" s="55">
        <v>0.484615384615384</v>
      </c>
      <c r="FK1877" s="56">
        <v>0.040953412784399</v>
      </c>
      <c r="FL1877" s="56">
        <v>0.287432286023835</v>
      </c>
      <c r="FM1877" s="56">
        <v>0.055362946912243</v>
      </c>
      <c r="FR1877" s="1">
        <v>0</v>
      </c>
      <c r="FS1877" s="1">
        <v>0</v>
      </c>
      <c r="FT1877" s="55">
        <v>40.6885758998435</v>
      </c>
      <c r="FU1877" s="52"/>
      <c r="FW1877" s="55">
        <v>40.6885758998435</v>
      </c>
    </row>
    <row r="1878" customHeight="1" spans="1:179">
      <c r="A1878" s="54">
        <v>69</v>
      </c>
      <c r="B1878" s="4" t="s">
        <v>1590</v>
      </c>
      <c r="C1878" s="5" t="s">
        <v>1598</v>
      </c>
      <c r="N1878" s="4" t="s">
        <v>567</v>
      </c>
      <c r="O1878" s="4" t="s">
        <v>1409</v>
      </c>
      <c r="Q1878" s="4" t="s">
        <v>539</v>
      </c>
      <c r="AG1878" s="4" t="s">
        <v>316</v>
      </c>
      <c r="AH1878" s="4" t="s">
        <v>432</v>
      </c>
      <c r="AL1878" s="4" t="s">
        <v>443</v>
      </c>
      <c r="AM1878" s="4">
        <v>7.7</v>
      </c>
      <c r="AN1878" s="4">
        <v>17</v>
      </c>
      <c r="AQ1878" s="4" t="s">
        <v>7</v>
      </c>
      <c r="AR1878" s="4">
        <v>24.6</v>
      </c>
      <c r="AS1878" s="4" t="s">
        <v>11</v>
      </c>
      <c r="AT1878" s="4">
        <v>204</v>
      </c>
      <c r="AU1878" s="4" t="s">
        <v>424</v>
      </c>
      <c r="AV1878" s="4">
        <v>308</v>
      </c>
      <c r="AW1878" s="4" t="s">
        <v>1591</v>
      </c>
      <c r="AX1878" s="4">
        <v>62.1</v>
      </c>
      <c r="BG1878" s="4" t="s">
        <v>328</v>
      </c>
      <c r="BI1878" s="4" t="s">
        <v>321</v>
      </c>
      <c r="BP1878" s="4">
        <v>3</v>
      </c>
      <c r="BS1878" s="4">
        <v>7.07</v>
      </c>
      <c r="BV1878" s="4" t="s">
        <v>1594</v>
      </c>
      <c r="FI1878" s="50"/>
      <c r="FJ1878" s="55">
        <v>0.546803900325027</v>
      </c>
      <c r="FK1878" s="56">
        <v>0.134994582881907</v>
      </c>
      <c r="FL1878" s="56">
        <v>0.36554712892741</v>
      </c>
      <c r="FM1878" s="56">
        <v>0.010617551462622</v>
      </c>
      <c r="FR1878" s="1">
        <v>0</v>
      </c>
      <c r="FS1878" s="1">
        <v>0</v>
      </c>
      <c r="FT1878" s="55">
        <v>33.1484049930653</v>
      </c>
      <c r="FU1878" s="52"/>
      <c r="FW1878" s="55">
        <v>33.1484049930653</v>
      </c>
    </row>
    <row r="1879" customHeight="1" spans="1:179">
      <c r="A1879" s="54">
        <v>69</v>
      </c>
      <c r="B1879" s="4" t="s">
        <v>1590</v>
      </c>
      <c r="C1879" s="5" t="s">
        <v>1598</v>
      </c>
      <c r="N1879" s="4" t="s">
        <v>567</v>
      </c>
      <c r="O1879" s="4" t="s">
        <v>1409</v>
      </c>
      <c r="Q1879" s="4" t="s">
        <v>539</v>
      </c>
      <c r="AG1879" s="4" t="s">
        <v>316</v>
      </c>
      <c r="AH1879" s="4" t="s">
        <v>432</v>
      </c>
      <c r="AL1879" s="4" t="s">
        <v>443</v>
      </c>
      <c r="AM1879" s="4">
        <v>7.7</v>
      </c>
      <c r="AN1879" s="4">
        <v>17</v>
      </c>
      <c r="AQ1879" s="4" t="s">
        <v>7</v>
      </c>
      <c r="AR1879" s="4">
        <v>24.6</v>
      </c>
      <c r="AS1879" s="4" t="s">
        <v>11</v>
      </c>
      <c r="AT1879" s="4">
        <v>204</v>
      </c>
      <c r="AU1879" s="4" t="s">
        <v>424</v>
      </c>
      <c r="AV1879" s="4">
        <v>308</v>
      </c>
      <c r="AW1879" s="4" t="s">
        <v>1591</v>
      </c>
      <c r="AX1879" s="4">
        <v>62.1</v>
      </c>
      <c r="BG1879" s="4" t="s">
        <v>328</v>
      </c>
      <c r="BI1879" s="4" t="s">
        <v>321</v>
      </c>
      <c r="BP1879" s="4">
        <v>3</v>
      </c>
      <c r="BS1879" s="4">
        <v>7.07</v>
      </c>
      <c r="BV1879" s="4" t="s">
        <v>1595</v>
      </c>
      <c r="FI1879" s="50"/>
      <c r="FJ1879" s="55">
        <v>0.492957746478873</v>
      </c>
      <c r="FK1879" s="56">
        <v>0.031094257854822</v>
      </c>
      <c r="FL1879" s="56">
        <v>0.350379198266522</v>
      </c>
      <c r="FM1879" s="56">
        <v>0.026543878656555</v>
      </c>
      <c r="FR1879" s="1">
        <v>0</v>
      </c>
      <c r="FS1879" s="1">
        <v>0</v>
      </c>
      <c r="FT1879" s="55">
        <v>28.9230769230769</v>
      </c>
      <c r="FU1879" s="52"/>
      <c r="FW1879" s="55">
        <v>28.9230769230769</v>
      </c>
    </row>
    <row r="1880" customHeight="1" spans="1:179">
      <c r="A1880" s="54">
        <v>69</v>
      </c>
      <c r="B1880" s="4" t="s">
        <v>1590</v>
      </c>
      <c r="C1880" s="5" t="s">
        <v>1598</v>
      </c>
      <c r="N1880" s="4" t="s">
        <v>567</v>
      </c>
      <c r="O1880" s="4" t="s">
        <v>1409</v>
      </c>
      <c r="Q1880" s="4" t="s">
        <v>539</v>
      </c>
      <c r="AG1880" s="4" t="s">
        <v>316</v>
      </c>
      <c r="AH1880" s="4" t="s">
        <v>432</v>
      </c>
      <c r="AL1880" s="4" t="s">
        <v>443</v>
      </c>
      <c r="AM1880" s="4">
        <v>7.7</v>
      </c>
      <c r="AN1880" s="4">
        <v>17</v>
      </c>
      <c r="AQ1880" s="4" t="s">
        <v>7</v>
      </c>
      <c r="AR1880" s="4">
        <v>24.6</v>
      </c>
      <c r="AS1880" s="4" t="s">
        <v>11</v>
      </c>
      <c r="AT1880" s="4">
        <v>204</v>
      </c>
      <c r="AU1880" s="4" t="s">
        <v>424</v>
      </c>
      <c r="AV1880" s="4">
        <v>308</v>
      </c>
      <c r="AW1880" s="4" t="s">
        <v>1591</v>
      </c>
      <c r="AX1880" s="4">
        <v>62.1</v>
      </c>
      <c r="BG1880" s="4" t="s">
        <v>328</v>
      </c>
      <c r="BI1880" s="4" t="s">
        <v>321</v>
      </c>
      <c r="BP1880" s="4">
        <v>3</v>
      </c>
      <c r="BS1880" s="4">
        <v>7.07</v>
      </c>
      <c r="BV1880" s="4" t="s">
        <v>1596</v>
      </c>
      <c r="FI1880" s="50"/>
      <c r="FJ1880" s="55">
        <v>0.563488624052004</v>
      </c>
      <c r="FK1880" s="56">
        <v>0.055362946912243</v>
      </c>
      <c r="FL1880" s="56">
        <v>0.415601300108342</v>
      </c>
      <c r="FM1880" s="56">
        <v>0.00985915492957801</v>
      </c>
      <c r="FR1880" s="1">
        <v>0</v>
      </c>
      <c r="FS1880" s="1">
        <v>0</v>
      </c>
      <c r="FT1880" s="55">
        <v>26.2449528936743</v>
      </c>
      <c r="FU1880" s="52"/>
      <c r="FW1880" s="55">
        <v>26.2449528936743</v>
      </c>
    </row>
    <row r="1881" customHeight="1" spans="1:179">
      <c r="A1881" s="54">
        <v>70</v>
      </c>
      <c r="B1881" s="4" t="s">
        <v>1599</v>
      </c>
      <c r="C1881" s="5" t="s">
        <v>358</v>
      </c>
      <c r="D1881" s="4" t="s">
        <v>300</v>
      </c>
      <c r="E1881" s="4" t="s">
        <v>1600</v>
      </c>
      <c r="N1881" s="4" t="s">
        <v>567</v>
      </c>
      <c r="O1881" s="4" t="s">
        <v>343</v>
      </c>
      <c r="P1881" s="4">
        <v>2</v>
      </c>
      <c r="Q1881" s="4" t="s">
        <v>539</v>
      </c>
      <c r="T1881" s="4">
        <v>0.145</v>
      </c>
      <c r="U1881" s="4">
        <v>0.009</v>
      </c>
      <c r="V1881" s="4">
        <v>258.29</v>
      </c>
      <c r="AG1881" s="4" t="s">
        <v>316</v>
      </c>
      <c r="AH1881" s="4" t="s">
        <v>1601</v>
      </c>
      <c r="AI1881" s="4" t="s">
        <v>1602</v>
      </c>
      <c r="AL1881" s="4" t="s">
        <v>1556</v>
      </c>
      <c r="AM1881" s="4">
        <v>8.78</v>
      </c>
      <c r="AN1881" s="4">
        <v>4.32</v>
      </c>
      <c r="AO1881" s="4">
        <v>180.29</v>
      </c>
      <c r="AQ1881" s="4" t="s">
        <v>7</v>
      </c>
      <c r="AR1881" s="4">
        <v>1.25</v>
      </c>
      <c r="AS1881" s="4" t="s">
        <v>13</v>
      </c>
      <c r="AT1881" s="4">
        <v>138.52</v>
      </c>
      <c r="AU1881" s="4" t="s">
        <v>15</v>
      </c>
      <c r="AV1881" s="4">
        <v>27.65</v>
      </c>
      <c r="AW1881" s="4" t="s">
        <v>12</v>
      </c>
      <c r="AX1881" s="4">
        <v>2.44</v>
      </c>
      <c r="AY1881" s="4" t="s">
        <v>14</v>
      </c>
      <c r="AZ1881" s="4">
        <v>5.56</v>
      </c>
      <c r="BI1881" s="4" t="s">
        <v>321</v>
      </c>
      <c r="BP1881" s="4">
        <v>0.1</v>
      </c>
      <c r="BV1881" s="4" t="s">
        <v>522</v>
      </c>
      <c r="BW1881" s="4">
        <v>25</v>
      </c>
      <c r="BX1881" s="4">
        <v>75</v>
      </c>
      <c r="CX1881" s="4" t="s">
        <v>314</v>
      </c>
      <c r="DD1881" s="4">
        <v>23.52</v>
      </c>
      <c r="DE1881" s="4">
        <v>24.88</v>
      </c>
      <c r="DO1881" s="57"/>
      <c r="DQ1881" s="58">
        <v>1.25270964061608</v>
      </c>
      <c r="DR1881" s="55">
        <v>0.03422703936109</v>
      </c>
      <c r="DS1881" s="58">
        <v>0.951511694238448</v>
      </c>
      <c r="DT1881" s="55">
        <v>0.010268111808329</v>
      </c>
      <c r="DY1881" s="1">
        <v>0</v>
      </c>
      <c r="DZ1881" s="1">
        <v>0</v>
      </c>
      <c r="EA1881" s="52">
        <v>24.0437158469942</v>
      </c>
      <c r="ED1881" s="52">
        <v>24.0437158469942</v>
      </c>
    </row>
    <row r="1882" customHeight="1" spans="1:179">
      <c r="A1882" s="54">
        <v>70</v>
      </c>
      <c r="B1882" s="4" t="s">
        <v>1599</v>
      </c>
      <c r="C1882" s="5" t="s">
        <v>358</v>
      </c>
      <c r="D1882" s="4" t="s">
        <v>300</v>
      </c>
      <c r="E1882" s="4" t="s">
        <v>1603</v>
      </c>
      <c r="N1882" s="4" t="s">
        <v>567</v>
      </c>
      <c r="O1882" s="4" t="s">
        <v>343</v>
      </c>
      <c r="P1882" s="4">
        <v>2</v>
      </c>
      <c r="Q1882" s="4" t="s">
        <v>539</v>
      </c>
      <c r="T1882" s="4">
        <v>0.145</v>
      </c>
      <c r="U1882" s="4">
        <v>0.009</v>
      </c>
      <c r="V1882" s="4">
        <v>258.29</v>
      </c>
      <c r="AG1882" s="4" t="s">
        <v>316</v>
      </c>
      <c r="AH1882" s="4" t="s">
        <v>346</v>
      </c>
      <c r="AI1882" s="4" t="s">
        <v>1604</v>
      </c>
      <c r="AL1882" s="4" t="s">
        <v>1556</v>
      </c>
      <c r="AM1882" s="4">
        <v>5.65</v>
      </c>
      <c r="AN1882" s="4">
        <v>7.53</v>
      </c>
      <c r="AO1882" s="4">
        <v>168.17</v>
      </c>
      <c r="AQ1882" s="4" t="s">
        <v>7</v>
      </c>
      <c r="AR1882" s="4">
        <v>0.89</v>
      </c>
      <c r="AS1882" s="4" t="s">
        <v>13</v>
      </c>
      <c r="AT1882" s="4">
        <v>380.94</v>
      </c>
      <c r="AU1882" s="4" t="s">
        <v>15</v>
      </c>
      <c r="AV1882" s="4">
        <v>58.78</v>
      </c>
      <c r="AW1882" s="4" t="s">
        <v>12</v>
      </c>
      <c r="AX1882" s="4">
        <v>5.9</v>
      </c>
      <c r="AY1882" s="4" t="s">
        <v>14</v>
      </c>
      <c r="AZ1882" s="4">
        <v>13.24</v>
      </c>
      <c r="BI1882" s="4" t="s">
        <v>321</v>
      </c>
      <c r="BP1882" s="4">
        <v>0.1</v>
      </c>
      <c r="BV1882" s="4" t="s">
        <v>522</v>
      </c>
      <c r="BW1882" s="4">
        <v>25</v>
      </c>
      <c r="BX1882" s="4">
        <v>75</v>
      </c>
      <c r="CX1882" s="4" t="s">
        <v>314</v>
      </c>
      <c r="DD1882" s="4">
        <v>23.52</v>
      </c>
      <c r="DE1882" s="4">
        <v>24.88</v>
      </c>
      <c r="DO1882" s="57"/>
      <c r="DQ1882" s="58">
        <v>0.899449035812672</v>
      </c>
      <c r="DR1882" s="55">
        <v>0.010330578512397</v>
      </c>
      <c r="DS1882" s="58">
        <v>0.636363636363636</v>
      </c>
      <c r="DT1882" s="50">
        <v>0.015151515151515</v>
      </c>
      <c r="DY1882" s="1">
        <v>0</v>
      </c>
      <c r="DZ1882" s="1">
        <v>0</v>
      </c>
      <c r="EA1882" s="52">
        <v>29.249617151608</v>
      </c>
      <c r="ED1882" s="52">
        <v>29.249617151608</v>
      </c>
    </row>
    <row r="1883" customHeight="1" spans="1:179">
      <c r="A1883" s="54">
        <v>70</v>
      </c>
      <c r="B1883" s="4" t="s">
        <v>1599</v>
      </c>
      <c r="C1883" s="5" t="s">
        <v>358</v>
      </c>
      <c r="D1883" s="4" t="s">
        <v>300</v>
      </c>
      <c r="E1883" s="4" t="s">
        <v>1603</v>
      </c>
      <c r="N1883" s="4" t="s">
        <v>567</v>
      </c>
      <c r="O1883" s="4" t="s">
        <v>343</v>
      </c>
      <c r="P1883" s="4">
        <v>2</v>
      </c>
      <c r="Q1883" s="4" t="s">
        <v>539</v>
      </c>
      <c r="T1883" s="4">
        <v>0.145</v>
      </c>
      <c r="U1883" s="4">
        <v>0.009</v>
      </c>
      <c r="V1883" s="4">
        <v>258.29</v>
      </c>
      <c r="AG1883" s="4" t="s">
        <v>316</v>
      </c>
      <c r="AH1883" s="4" t="s">
        <v>1601</v>
      </c>
      <c r="AI1883" s="4" t="s">
        <v>1602</v>
      </c>
      <c r="AL1883" s="4" t="s">
        <v>1556</v>
      </c>
      <c r="AM1883" s="4">
        <v>8.78</v>
      </c>
      <c r="AN1883" s="4">
        <v>4.32</v>
      </c>
      <c r="AO1883" s="4">
        <v>180.29</v>
      </c>
      <c r="AQ1883" s="4" t="s">
        <v>7</v>
      </c>
      <c r="AR1883" s="4">
        <v>1.25</v>
      </c>
      <c r="AS1883" s="4" t="s">
        <v>13</v>
      </c>
      <c r="AT1883" s="4">
        <v>138.52</v>
      </c>
      <c r="AU1883" s="4" t="s">
        <v>15</v>
      </c>
      <c r="AV1883" s="4">
        <v>27.65</v>
      </c>
      <c r="AW1883" s="4" t="s">
        <v>12</v>
      </c>
      <c r="AX1883" s="4">
        <v>2.44</v>
      </c>
      <c r="AY1883" s="4" t="s">
        <v>14</v>
      </c>
      <c r="AZ1883" s="4">
        <v>5.56</v>
      </c>
      <c r="BI1883" s="4" t="s">
        <v>321</v>
      </c>
      <c r="BP1883" s="4">
        <v>0.05</v>
      </c>
      <c r="BV1883" s="4" t="s">
        <v>522</v>
      </c>
      <c r="BW1883" s="4">
        <v>25</v>
      </c>
      <c r="BX1883" s="4">
        <v>75</v>
      </c>
      <c r="CX1883" s="4" t="s">
        <v>314</v>
      </c>
      <c r="DD1883" s="4">
        <v>23.52</v>
      </c>
      <c r="DE1883" s="4">
        <v>24.88</v>
      </c>
      <c r="DO1883" s="57"/>
      <c r="DQ1883" s="58">
        <v>1.25270964061608</v>
      </c>
      <c r="DR1883" s="55">
        <v>0.03422703936109</v>
      </c>
      <c r="DS1883" s="59">
        <v>1.11454849498327</v>
      </c>
      <c r="DT1883" s="50">
        <v>0.0384615384615401</v>
      </c>
      <c r="DY1883" s="1">
        <v>0</v>
      </c>
      <c r="DZ1883" s="1">
        <v>0</v>
      </c>
      <c r="EA1883" s="52">
        <v>11.0289839842585</v>
      </c>
      <c r="ED1883" s="52">
        <v>11.0289839842585</v>
      </c>
    </row>
    <row r="1884" customHeight="1" spans="1:179">
      <c r="A1884" s="54">
        <v>70</v>
      </c>
      <c r="B1884" s="4" t="s">
        <v>1599</v>
      </c>
      <c r="C1884" s="5" t="s">
        <v>358</v>
      </c>
      <c r="D1884" s="4" t="s">
        <v>300</v>
      </c>
      <c r="E1884" s="4" t="s">
        <v>1603</v>
      </c>
      <c r="N1884" s="4" t="s">
        <v>567</v>
      </c>
      <c r="O1884" s="4" t="s">
        <v>343</v>
      </c>
      <c r="P1884" s="4">
        <v>2</v>
      </c>
      <c r="Q1884" s="4" t="s">
        <v>539</v>
      </c>
      <c r="T1884" s="4">
        <v>0.145</v>
      </c>
      <c r="U1884" s="4">
        <v>0.009</v>
      </c>
      <c r="V1884" s="4">
        <v>258.29</v>
      </c>
      <c r="AG1884" s="4" t="s">
        <v>316</v>
      </c>
      <c r="AH1884" s="4" t="s">
        <v>346</v>
      </c>
      <c r="AI1884" s="4" t="s">
        <v>1604</v>
      </c>
      <c r="AL1884" s="4" t="s">
        <v>1556</v>
      </c>
      <c r="AM1884" s="4">
        <v>5.65</v>
      </c>
      <c r="AN1884" s="4">
        <v>7.53</v>
      </c>
      <c r="AO1884" s="4">
        <v>168.17</v>
      </c>
      <c r="AQ1884" s="4" t="s">
        <v>7</v>
      </c>
      <c r="AR1884" s="4">
        <v>0.89</v>
      </c>
      <c r="AS1884" s="4" t="s">
        <v>13</v>
      </c>
      <c r="AT1884" s="4">
        <v>380.94</v>
      </c>
      <c r="AU1884" s="4" t="s">
        <v>15</v>
      </c>
      <c r="AV1884" s="4">
        <v>58.78</v>
      </c>
      <c r="AW1884" s="4" t="s">
        <v>12</v>
      </c>
      <c r="AX1884" s="4">
        <v>5.9</v>
      </c>
      <c r="AY1884" s="4" t="s">
        <v>14</v>
      </c>
      <c r="AZ1884" s="4">
        <v>13.24</v>
      </c>
      <c r="BI1884" s="4" t="s">
        <v>321</v>
      </c>
      <c r="BP1884" s="4">
        <v>0.05</v>
      </c>
      <c r="BV1884" s="4" t="s">
        <v>522</v>
      </c>
      <c r="BW1884" s="4">
        <v>25</v>
      </c>
      <c r="BX1884" s="4">
        <v>75</v>
      </c>
      <c r="CX1884" s="4" t="s">
        <v>314</v>
      </c>
      <c r="DD1884" s="4">
        <v>23.52</v>
      </c>
      <c r="DE1884" s="4">
        <v>24.88</v>
      </c>
      <c r="DO1884" s="57"/>
      <c r="DQ1884" s="58">
        <v>0.899449035812672</v>
      </c>
      <c r="DR1884" s="55">
        <v>0.010330578512397</v>
      </c>
      <c r="DS1884" s="50">
        <v>0.754132231404958</v>
      </c>
      <c r="DT1884" s="50">
        <v>0.017217630853994</v>
      </c>
      <c r="DY1884" s="1">
        <v>0</v>
      </c>
      <c r="DZ1884" s="1">
        <v>0</v>
      </c>
      <c r="EA1884" s="52">
        <v>16.1562021439511</v>
      </c>
      <c r="ED1884" s="52">
        <v>16.1562021439511</v>
      </c>
    </row>
    <row r="1885" customHeight="1" spans="1:179">
      <c r="A1885" s="54">
        <v>70</v>
      </c>
      <c r="B1885" s="4" t="s">
        <v>1599</v>
      </c>
      <c r="C1885" s="5" t="s">
        <v>358</v>
      </c>
      <c r="D1885" s="4" t="s">
        <v>300</v>
      </c>
      <c r="E1885" s="4" t="s">
        <v>1603</v>
      </c>
      <c r="N1885" s="4" t="s">
        <v>567</v>
      </c>
      <c r="O1885" s="4" t="s">
        <v>343</v>
      </c>
      <c r="P1885" s="4">
        <v>2</v>
      </c>
      <c r="Q1885" s="4" t="s">
        <v>539</v>
      </c>
      <c r="T1885" s="4">
        <v>0.145</v>
      </c>
      <c r="U1885" s="4">
        <v>0.009</v>
      </c>
      <c r="V1885" s="4">
        <v>258.29</v>
      </c>
      <c r="AG1885" s="4" t="s">
        <v>316</v>
      </c>
      <c r="AH1885" s="4" t="s">
        <v>1601</v>
      </c>
      <c r="AI1885" s="4" t="s">
        <v>1602</v>
      </c>
      <c r="AL1885" s="4" t="s">
        <v>1556</v>
      </c>
      <c r="AM1885" s="4">
        <v>8.78</v>
      </c>
      <c r="AN1885" s="4">
        <v>4.32</v>
      </c>
      <c r="AO1885" s="4">
        <v>180.29</v>
      </c>
      <c r="AQ1885" s="4" t="s">
        <v>7</v>
      </c>
      <c r="AR1885" s="4">
        <v>1.25</v>
      </c>
      <c r="AS1885" s="4" t="s">
        <v>13</v>
      </c>
      <c r="AT1885" s="4">
        <v>138.52</v>
      </c>
      <c r="AU1885" s="4" t="s">
        <v>15</v>
      </c>
      <c r="AV1885" s="4">
        <v>27.65</v>
      </c>
      <c r="AW1885" s="4" t="s">
        <v>12</v>
      </c>
      <c r="AX1885" s="4">
        <v>2.44</v>
      </c>
      <c r="AY1885" s="4" t="s">
        <v>14</v>
      </c>
      <c r="AZ1885" s="4">
        <v>5.56</v>
      </c>
      <c r="BI1885" s="4" t="s">
        <v>321</v>
      </c>
      <c r="BP1885" s="4">
        <v>0.025</v>
      </c>
      <c r="BV1885" s="4" t="s">
        <v>522</v>
      </c>
      <c r="BW1885" s="4">
        <v>25</v>
      </c>
      <c r="BX1885" s="4">
        <v>75</v>
      </c>
      <c r="CX1885" s="4" t="s">
        <v>314</v>
      </c>
      <c r="DD1885" s="4">
        <v>23.52</v>
      </c>
      <c r="DE1885" s="4">
        <v>24.88</v>
      </c>
      <c r="DO1885" s="57"/>
      <c r="DQ1885" s="58">
        <v>1.25270964061608</v>
      </c>
      <c r="DR1885" s="55">
        <v>0.03422703936109</v>
      </c>
      <c r="DS1885" s="50">
        <v>1.17725752508361</v>
      </c>
      <c r="DT1885" s="50">
        <v>0.0142140468227498</v>
      </c>
      <c r="DY1885" s="1">
        <v>0</v>
      </c>
      <c r="DZ1885" s="1">
        <v>0</v>
      </c>
      <c r="EA1885" s="52">
        <v>6.02311286559293</v>
      </c>
      <c r="ED1885" s="52">
        <v>6.02311286559293</v>
      </c>
    </row>
    <row r="1886" customHeight="1" spans="1:179">
      <c r="A1886" s="54">
        <v>70</v>
      </c>
      <c r="B1886" s="4" t="s">
        <v>1599</v>
      </c>
      <c r="C1886" s="5" t="s">
        <v>358</v>
      </c>
      <c r="D1886" s="4" t="s">
        <v>300</v>
      </c>
      <c r="E1886" s="4" t="s">
        <v>1603</v>
      </c>
      <c r="N1886" s="4" t="s">
        <v>567</v>
      </c>
      <c r="O1886" s="4" t="s">
        <v>343</v>
      </c>
      <c r="P1886" s="4">
        <v>2</v>
      </c>
      <c r="Q1886" s="4" t="s">
        <v>539</v>
      </c>
      <c r="T1886" s="4">
        <v>0.145</v>
      </c>
      <c r="U1886" s="4">
        <v>0.009</v>
      </c>
      <c r="V1886" s="4">
        <v>258.29</v>
      </c>
      <c r="AG1886" s="4" t="s">
        <v>316</v>
      </c>
      <c r="AH1886" s="4" t="s">
        <v>346</v>
      </c>
      <c r="AI1886" s="4" t="s">
        <v>1604</v>
      </c>
      <c r="AL1886" s="4" t="s">
        <v>1556</v>
      </c>
      <c r="AM1886" s="4">
        <v>5.65</v>
      </c>
      <c r="AN1886" s="4">
        <v>7.53</v>
      </c>
      <c r="AO1886" s="4">
        <v>168.17</v>
      </c>
      <c r="AQ1886" s="4" t="s">
        <v>7</v>
      </c>
      <c r="AR1886" s="4">
        <v>0.89</v>
      </c>
      <c r="AS1886" s="4" t="s">
        <v>13</v>
      </c>
      <c r="AT1886" s="4">
        <v>380.94</v>
      </c>
      <c r="AU1886" s="4" t="s">
        <v>15</v>
      </c>
      <c r="AV1886" s="4">
        <v>58.78</v>
      </c>
      <c r="AW1886" s="4" t="s">
        <v>12</v>
      </c>
      <c r="AX1886" s="4">
        <v>5.9</v>
      </c>
      <c r="AY1886" s="4" t="s">
        <v>14</v>
      </c>
      <c r="AZ1886" s="4">
        <v>13.24</v>
      </c>
      <c r="BI1886" s="4" t="s">
        <v>321</v>
      </c>
      <c r="BP1886" s="4">
        <v>0.025</v>
      </c>
      <c r="BV1886" s="4" t="s">
        <v>522</v>
      </c>
      <c r="BW1886" s="4">
        <v>25</v>
      </c>
      <c r="BX1886" s="4">
        <v>75</v>
      </c>
      <c r="CX1886" s="4" t="s">
        <v>314</v>
      </c>
      <c r="DD1886" s="4">
        <v>23.52</v>
      </c>
      <c r="DE1886" s="4">
        <v>24.88</v>
      </c>
      <c r="DO1886" s="57"/>
      <c r="DQ1886" s="58">
        <v>0.899449035812672</v>
      </c>
      <c r="DR1886" s="55">
        <v>0.010330578512397</v>
      </c>
      <c r="DS1886" s="50">
        <v>0.803448275862069</v>
      </c>
      <c r="DT1886" s="50">
        <v>0.014482758620689</v>
      </c>
      <c r="DY1886" s="1">
        <v>0</v>
      </c>
      <c r="DZ1886" s="1">
        <v>0</v>
      </c>
      <c r="EA1886" s="52">
        <v>10.673285103237</v>
      </c>
      <c r="ED1886" s="52">
        <v>10.673285103237</v>
      </c>
    </row>
    <row r="1887" customHeight="1" spans="1:179">
      <c r="A1887" s="54">
        <v>70</v>
      </c>
      <c r="B1887" s="4" t="s">
        <v>1599</v>
      </c>
      <c r="C1887" s="5" t="s">
        <v>358</v>
      </c>
      <c r="D1887" s="4" t="s">
        <v>300</v>
      </c>
      <c r="E1887" s="4" t="s">
        <v>1603</v>
      </c>
      <c r="N1887" s="4" t="s">
        <v>567</v>
      </c>
      <c r="O1887" s="4" t="s">
        <v>343</v>
      </c>
      <c r="P1887" s="4">
        <v>2</v>
      </c>
      <c r="Q1887" s="4" t="s">
        <v>539</v>
      </c>
      <c r="T1887" s="4">
        <v>0.145</v>
      </c>
      <c r="U1887" s="4">
        <v>0.009</v>
      </c>
      <c r="V1887" s="4">
        <v>258.29</v>
      </c>
      <c r="AG1887" s="4" t="s">
        <v>316</v>
      </c>
      <c r="AH1887" s="4" t="s">
        <v>1601</v>
      </c>
      <c r="AI1887" s="4" t="s">
        <v>1605</v>
      </c>
      <c r="AL1887" s="4" t="s">
        <v>1556</v>
      </c>
      <c r="AM1887" s="4">
        <v>7.73</v>
      </c>
      <c r="AN1887" s="4">
        <v>4.28</v>
      </c>
      <c r="AO1887" s="4">
        <v>207.91</v>
      </c>
      <c r="AQ1887" s="4" t="s">
        <v>7</v>
      </c>
      <c r="AR1887" s="4">
        <v>1.12</v>
      </c>
      <c r="AS1887" s="4" t="s">
        <v>13</v>
      </c>
      <c r="AT1887" s="4">
        <v>52.39</v>
      </c>
      <c r="AU1887" s="4" t="s">
        <v>15</v>
      </c>
      <c r="AV1887" s="4">
        <v>96</v>
      </c>
      <c r="AW1887" s="4" t="s">
        <v>12</v>
      </c>
      <c r="AX1887" s="4">
        <v>3.45</v>
      </c>
      <c r="AY1887" s="4" t="s">
        <v>14</v>
      </c>
      <c r="AZ1887" s="4">
        <v>4.95</v>
      </c>
      <c r="BI1887" s="4" t="s">
        <v>321</v>
      </c>
      <c r="BP1887" s="4">
        <v>0.025</v>
      </c>
      <c r="BV1887" s="4" t="s">
        <v>1606</v>
      </c>
      <c r="BW1887" s="4">
        <v>25</v>
      </c>
      <c r="BX1887" s="4">
        <v>75</v>
      </c>
      <c r="CX1887" s="4" t="s">
        <v>314</v>
      </c>
      <c r="DD1887" s="4">
        <v>23.52</v>
      </c>
      <c r="DE1887" s="4">
        <v>24.88</v>
      </c>
      <c r="DO1887" s="57"/>
      <c r="DQ1887" s="60">
        <v>1.11958762886597</v>
      </c>
      <c r="DR1887" s="55"/>
      <c r="DS1887" s="60">
        <v>1.15051546391752</v>
      </c>
      <c r="DT1887" s="55"/>
      <c r="DY1887" s="1">
        <v>0</v>
      </c>
      <c r="DZ1887" s="1">
        <v>0</v>
      </c>
      <c r="EA1887" s="52">
        <v>-2.76243093922685</v>
      </c>
      <c r="ED1887" s="52">
        <v>-2.76243093922685</v>
      </c>
    </row>
    <row r="1888" customHeight="1" spans="1:179">
      <c r="A1888" s="54">
        <v>70</v>
      </c>
      <c r="B1888" s="4" t="s">
        <v>1599</v>
      </c>
      <c r="C1888" s="5" t="s">
        <v>358</v>
      </c>
      <c r="D1888" s="4" t="s">
        <v>300</v>
      </c>
      <c r="E1888" s="4" t="s">
        <v>1603</v>
      </c>
      <c r="N1888" s="4" t="s">
        <v>567</v>
      </c>
      <c r="O1888" s="4" t="s">
        <v>343</v>
      </c>
      <c r="P1888" s="4">
        <v>2</v>
      </c>
      <c r="Q1888" s="4" t="s">
        <v>539</v>
      </c>
      <c r="T1888" s="4">
        <v>0.145</v>
      </c>
      <c r="U1888" s="4">
        <v>0.009</v>
      </c>
      <c r="V1888" s="4">
        <v>258.29</v>
      </c>
      <c r="AG1888" s="4" t="s">
        <v>316</v>
      </c>
      <c r="AH1888" s="4" t="s">
        <v>1601</v>
      </c>
      <c r="AI1888" s="4" t="s">
        <v>1605</v>
      </c>
      <c r="AL1888" s="4" t="s">
        <v>1556</v>
      </c>
      <c r="AM1888" s="4">
        <v>7.73</v>
      </c>
      <c r="AN1888" s="4">
        <v>4.28</v>
      </c>
      <c r="AO1888" s="4">
        <v>207.91</v>
      </c>
      <c r="AQ1888" s="4" t="s">
        <v>7</v>
      </c>
      <c r="AR1888" s="4">
        <v>1.12</v>
      </c>
      <c r="AS1888" s="4" t="s">
        <v>13</v>
      </c>
      <c r="AT1888" s="4">
        <v>52.39</v>
      </c>
      <c r="AU1888" s="4" t="s">
        <v>15</v>
      </c>
      <c r="AV1888" s="4">
        <v>96</v>
      </c>
      <c r="AW1888" s="4" t="s">
        <v>12</v>
      </c>
      <c r="AX1888" s="4">
        <v>3.45</v>
      </c>
      <c r="AY1888" s="4" t="s">
        <v>14</v>
      </c>
      <c r="AZ1888" s="4">
        <v>4.95</v>
      </c>
      <c r="BI1888" s="4" t="s">
        <v>321</v>
      </c>
      <c r="BP1888" s="4">
        <v>0.025</v>
      </c>
      <c r="BV1888" s="4" t="s">
        <v>1607</v>
      </c>
      <c r="BW1888" s="4">
        <v>25</v>
      </c>
      <c r="BX1888" s="4">
        <v>75</v>
      </c>
      <c r="CX1888" s="4" t="s">
        <v>314</v>
      </c>
      <c r="DD1888" s="4">
        <v>23.52</v>
      </c>
      <c r="DE1888" s="4">
        <v>24.88</v>
      </c>
      <c r="DO1888" s="57"/>
      <c r="DQ1888" s="60">
        <v>1.2680412371134</v>
      </c>
      <c r="DR1888" s="55"/>
      <c r="DS1888" s="60">
        <v>1.27422680412371</v>
      </c>
      <c r="DT1888" s="55"/>
      <c r="DY1888" s="1">
        <v>0</v>
      </c>
      <c r="DZ1888" s="1">
        <v>0</v>
      </c>
      <c r="EA1888" s="52">
        <v>-0.487804878048832</v>
      </c>
      <c r="ED1888" s="52">
        <v>-0.487804878048832</v>
      </c>
    </row>
    <row r="1889" customHeight="1" spans="1:134">
      <c r="A1889" s="54">
        <v>70</v>
      </c>
      <c r="B1889" s="4" t="s">
        <v>1599</v>
      </c>
      <c r="C1889" s="5" t="s">
        <v>358</v>
      </c>
      <c r="D1889" s="4" t="s">
        <v>300</v>
      </c>
      <c r="E1889" s="4" t="s">
        <v>1603</v>
      </c>
      <c r="N1889" s="4" t="s">
        <v>567</v>
      </c>
      <c r="O1889" s="4" t="s">
        <v>343</v>
      </c>
      <c r="P1889" s="4">
        <v>2</v>
      </c>
      <c r="Q1889" s="4" t="s">
        <v>539</v>
      </c>
      <c r="T1889" s="4">
        <v>0.145</v>
      </c>
      <c r="U1889" s="4">
        <v>0.009</v>
      </c>
      <c r="V1889" s="4">
        <v>258.29</v>
      </c>
      <c r="AG1889" s="4" t="s">
        <v>316</v>
      </c>
      <c r="AH1889" s="4" t="s">
        <v>1601</v>
      </c>
      <c r="AI1889" s="4" t="s">
        <v>1605</v>
      </c>
      <c r="AL1889" s="4" t="s">
        <v>1556</v>
      </c>
      <c r="AM1889" s="4">
        <v>7.73</v>
      </c>
      <c r="AN1889" s="4">
        <v>4.28</v>
      </c>
      <c r="AO1889" s="4">
        <v>207.91</v>
      </c>
      <c r="AQ1889" s="4" t="s">
        <v>7</v>
      </c>
      <c r="AR1889" s="4">
        <v>1.12</v>
      </c>
      <c r="AS1889" s="4" t="s">
        <v>13</v>
      </c>
      <c r="AT1889" s="4">
        <v>52.39</v>
      </c>
      <c r="AU1889" s="4" t="s">
        <v>15</v>
      </c>
      <c r="AV1889" s="4">
        <v>96</v>
      </c>
      <c r="AW1889" s="4" t="s">
        <v>12</v>
      </c>
      <c r="AX1889" s="4">
        <v>3.45</v>
      </c>
      <c r="AY1889" s="4" t="s">
        <v>14</v>
      </c>
      <c r="AZ1889" s="4">
        <v>4.95</v>
      </c>
      <c r="BI1889" s="4" t="s">
        <v>321</v>
      </c>
      <c r="BP1889" s="4">
        <v>0.025</v>
      </c>
      <c r="BV1889" s="4" t="s">
        <v>1552</v>
      </c>
      <c r="BW1889" s="4">
        <v>25</v>
      </c>
      <c r="BX1889" s="4">
        <v>75</v>
      </c>
      <c r="CX1889" s="4" t="s">
        <v>314</v>
      </c>
      <c r="DD1889" s="4">
        <v>23.52</v>
      </c>
      <c r="DE1889" s="4">
        <v>24.88</v>
      </c>
      <c r="DO1889" s="57"/>
      <c r="DQ1889" s="60">
        <v>1.11649484536082</v>
      </c>
      <c r="DR1889" s="55"/>
      <c r="DS1889" s="60">
        <v>1.16288659793814</v>
      </c>
      <c r="DT1889" s="55"/>
      <c r="DY1889" s="1">
        <v>0</v>
      </c>
      <c r="DZ1889" s="1">
        <v>0</v>
      </c>
      <c r="EA1889" s="52">
        <v>-4.15512465373965</v>
      </c>
      <c r="ED1889" s="52">
        <v>-4.15512465373965</v>
      </c>
    </row>
    <row r="1890" customHeight="1" spans="1:134">
      <c r="A1890" s="54">
        <v>70</v>
      </c>
      <c r="B1890" s="4" t="s">
        <v>1599</v>
      </c>
      <c r="C1890" s="5" t="s">
        <v>358</v>
      </c>
      <c r="D1890" s="4" t="s">
        <v>300</v>
      </c>
      <c r="E1890" s="4" t="s">
        <v>1603</v>
      </c>
      <c r="N1890" s="4" t="s">
        <v>567</v>
      </c>
      <c r="O1890" s="4" t="s">
        <v>343</v>
      </c>
      <c r="P1890" s="4">
        <v>2</v>
      </c>
      <c r="Q1890" s="4" t="s">
        <v>539</v>
      </c>
      <c r="T1890" s="4">
        <v>0.145</v>
      </c>
      <c r="U1890" s="4">
        <v>0.009</v>
      </c>
      <c r="V1890" s="4">
        <v>258.29</v>
      </c>
      <c r="AG1890" s="4" t="s">
        <v>316</v>
      </c>
      <c r="AH1890" s="4" t="s">
        <v>1601</v>
      </c>
      <c r="AI1890" s="4" t="s">
        <v>1605</v>
      </c>
      <c r="AL1890" s="4" t="s">
        <v>1556</v>
      </c>
      <c r="AM1890" s="4">
        <v>7.73</v>
      </c>
      <c r="AN1890" s="4">
        <v>4.28</v>
      </c>
      <c r="AO1890" s="4">
        <v>207.91</v>
      </c>
      <c r="AQ1890" s="4" t="s">
        <v>7</v>
      </c>
      <c r="AR1890" s="4">
        <v>1.12</v>
      </c>
      <c r="AS1890" s="4" t="s">
        <v>13</v>
      </c>
      <c r="AT1890" s="4">
        <v>52.39</v>
      </c>
      <c r="AU1890" s="4" t="s">
        <v>15</v>
      </c>
      <c r="AV1890" s="4">
        <v>96</v>
      </c>
      <c r="AW1890" s="4" t="s">
        <v>12</v>
      </c>
      <c r="AX1890" s="4">
        <v>3.45</v>
      </c>
      <c r="AY1890" s="4" t="s">
        <v>14</v>
      </c>
      <c r="AZ1890" s="4">
        <v>4.95</v>
      </c>
      <c r="BI1890" s="4" t="s">
        <v>321</v>
      </c>
      <c r="BP1890" s="4">
        <v>0.025</v>
      </c>
      <c r="BV1890" s="4" t="s">
        <v>488</v>
      </c>
      <c r="BW1890" s="4">
        <v>25</v>
      </c>
      <c r="BX1890" s="4">
        <v>75</v>
      </c>
      <c r="CX1890" s="4" t="s">
        <v>314</v>
      </c>
      <c r="DD1890" s="4">
        <v>23.52</v>
      </c>
      <c r="DE1890" s="4">
        <v>24.88</v>
      </c>
      <c r="DO1890" s="57"/>
      <c r="DQ1890" s="60">
        <v>1.24329896907216</v>
      </c>
      <c r="DR1890" s="55"/>
      <c r="DS1890" s="60">
        <v>1.23711340206185</v>
      </c>
      <c r="DT1890" s="55"/>
      <c r="DY1890" s="1">
        <v>0</v>
      </c>
      <c r="DZ1890" s="1">
        <v>0</v>
      </c>
      <c r="EA1890" s="52">
        <v>0.497512437811017</v>
      </c>
      <c r="ED1890" s="52">
        <v>0.497512437811017</v>
      </c>
    </row>
    <row r="1891" customHeight="1" spans="1:134">
      <c r="A1891" s="54">
        <v>70</v>
      </c>
      <c r="B1891" s="4" t="s">
        <v>1599</v>
      </c>
      <c r="C1891" s="5" t="s">
        <v>358</v>
      </c>
      <c r="D1891" s="4" t="s">
        <v>300</v>
      </c>
      <c r="E1891" s="4" t="s">
        <v>1603</v>
      </c>
      <c r="N1891" s="4" t="s">
        <v>567</v>
      </c>
      <c r="O1891" s="4" t="s">
        <v>343</v>
      </c>
      <c r="P1891" s="4">
        <v>2</v>
      </c>
      <c r="Q1891" s="4" t="s">
        <v>539</v>
      </c>
      <c r="T1891" s="4">
        <v>0.145</v>
      </c>
      <c r="U1891" s="4">
        <v>0.009</v>
      </c>
      <c r="V1891" s="4">
        <v>258.29</v>
      </c>
      <c r="AG1891" s="4" t="s">
        <v>316</v>
      </c>
      <c r="AH1891" s="4" t="s">
        <v>1601</v>
      </c>
      <c r="AI1891" s="4" t="s">
        <v>1605</v>
      </c>
      <c r="AL1891" s="4" t="s">
        <v>1556</v>
      </c>
      <c r="AM1891" s="4">
        <v>7.73</v>
      </c>
      <c r="AN1891" s="4">
        <v>4.28</v>
      </c>
      <c r="AO1891" s="4">
        <v>207.91</v>
      </c>
      <c r="AQ1891" s="4" t="s">
        <v>7</v>
      </c>
      <c r="AR1891" s="4">
        <v>1.12</v>
      </c>
      <c r="AS1891" s="4" t="s">
        <v>13</v>
      </c>
      <c r="AT1891" s="4">
        <v>52.39</v>
      </c>
      <c r="AU1891" s="4" t="s">
        <v>15</v>
      </c>
      <c r="AV1891" s="4">
        <v>96</v>
      </c>
      <c r="AW1891" s="4" t="s">
        <v>12</v>
      </c>
      <c r="AX1891" s="4">
        <v>3.45</v>
      </c>
      <c r="AY1891" s="4" t="s">
        <v>14</v>
      </c>
      <c r="AZ1891" s="4">
        <v>4.95</v>
      </c>
      <c r="BI1891" s="4" t="s">
        <v>321</v>
      </c>
      <c r="BP1891" s="4">
        <v>0.05</v>
      </c>
      <c r="BV1891" s="4" t="s">
        <v>1606</v>
      </c>
      <c r="BW1891" s="4">
        <v>25</v>
      </c>
      <c r="BX1891" s="4">
        <v>75</v>
      </c>
      <c r="CX1891" s="4" t="s">
        <v>314</v>
      </c>
      <c r="DD1891" s="4">
        <v>23.52</v>
      </c>
      <c r="DE1891" s="4">
        <v>24.88</v>
      </c>
      <c r="DO1891" s="57"/>
      <c r="DQ1891" s="60">
        <v>1.11958762886597</v>
      </c>
      <c r="DR1891" s="55"/>
      <c r="DS1891" s="60">
        <v>1.24329896907216</v>
      </c>
      <c r="DT1891" s="55"/>
      <c r="DY1891" s="1">
        <v>0</v>
      </c>
      <c r="DZ1891" s="1">
        <v>0</v>
      </c>
      <c r="EA1891" s="52">
        <v>-11.0497237569066</v>
      </c>
      <c r="ED1891" s="52">
        <v>-11.0497237569066</v>
      </c>
    </row>
    <row r="1892" customHeight="1" spans="1:134">
      <c r="A1892" s="54">
        <v>70</v>
      </c>
      <c r="B1892" s="4" t="s">
        <v>1599</v>
      </c>
      <c r="C1892" s="5" t="s">
        <v>358</v>
      </c>
      <c r="D1892" s="4" t="s">
        <v>300</v>
      </c>
      <c r="E1892" s="4" t="s">
        <v>1603</v>
      </c>
      <c r="N1892" s="4" t="s">
        <v>567</v>
      </c>
      <c r="O1892" s="4" t="s">
        <v>343</v>
      </c>
      <c r="P1892" s="4">
        <v>2</v>
      </c>
      <c r="Q1892" s="4" t="s">
        <v>539</v>
      </c>
      <c r="T1892" s="4">
        <v>0.145</v>
      </c>
      <c r="U1892" s="4">
        <v>0.009</v>
      </c>
      <c r="V1892" s="4">
        <v>258.29</v>
      </c>
      <c r="AG1892" s="4" t="s">
        <v>316</v>
      </c>
      <c r="AH1892" s="4" t="s">
        <v>1601</v>
      </c>
      <c r="AI1892" s="4" t="s">
        <v>1605</v>
      </c>
      <c r="AL1892" s="4" t="s">
        <v>1556</v>
      </c>
      <c r="AM1892" s="4">
        <v>7.73</v>
      </c>
      <c r="AN1892" s="4">
        <v>4.28</v>
      </c>
      <c r="AO1892" s="4">
        <v>207.91</v>
      </c>
      <c r="AQ1892" s="4" t="s">
        <v>7</v>
      </c>
      <c r="AR1892" s="4">
        <v>1.12</v>
      </c>
      <c r="AS1892" s="4" t="s">
        <v>13</v>
      </c>
      <c r="AT1892" s="4">
        <v>52.39</v>
      </c>
      <c r="AU1892" s="4" t="s">
        <v>15</v>
      </c>
      <c r="AV1892" s="4">
        <v>96</v>
      </c>
      <c r="AW1892" s="4" t="s">
        <v>12</v>
      </c>
      <c r="AX1892" s="4">
        <v>3.45</v>
      </c>
      <c r="AY1892" s="4" t="s">
        <v>14</v>
      </c>
      <c r="AZ1892" s="4">
        <v>4.95</v>
      </c>
      <c r="BI1892" s="4" t="s">
        <v>321</v>
      </c>
      <c r="BP1892" s="4">
        <v>0.05</v>
      </c>
      <c r="BV1892" s="4" t="s">
        <v>1607</v>
      </c>
      <c r="BW1892" s="4">
        <v>25</v>
      </c>
      <c r="BX1892" s="4">
        <v>75</v>
      </c>
      <c r="CX1892" s="4" t="s">
        <v>314</v>
      </c>
      <c r="DD1892" s="4">
        <v>23.52</v>
      </c>
      <c r="DE1892" s="4">
        <v>24.88</v>
      </c>
      <c r="DO1892" s="57"/>
      <c r="DQ1892" s="60">
        <v>1.2680412371134</v>
      </c>
      <c r="DR1892" s="55"/>
      <c r="DS1892" s="60">
        <v>1.3360824742268</v>
      </c>
      <c r="DT1892" s="55"/>
      <c r="DY1892" s="1">
        <v>0</v>
      </c>
      <c r="DZ1892" s="1">
        <v>0</v>
      </c>
      <c r="EA1892" s="52">
        <v>-5.36585365853643</v>
      </c>
      <c r="ED1892" s="52">
        <v>-5.36585365853643</v>
      </c>
    </row>
    <row r="1893" customHeight="1" spans="1:134">
      <c r="A1893" s="54">
        <v>70</v>
      </c>
      <c r="B1893" s="4" t="s">
        <v>1599</v>
      </c>
      <c r="C1893" s="5" t="s">
        <v>358</v>
      </c>
      <c r="D1893" s="4" t="s">
        <v>300</v>
      </c>
      <c r="E1893" s="4" t="s">
        <v>1603</v>
      </c>
      <c r="N1893" s="4" t="s">
        <v>567</v>
      </c>
      <c r="O1893" s="4" t="s">
        <v>343</v>
      </c>
      <c r="P1893" s="4">
        <v>2</v>
      </c>
      <c r="Q1893" s="4" t="s">
        <v>539</v>
      </c>
      <c r="T1893" s="4">
        <v>0.145</v>
      </c>
      <c r="U1893" s="4">
        <v>0.009</v>
      </c>
      <c r="V1893" s="4">
        <v>258.29</v>
      </c>
      <c r="AG1893" s="4" t="s">
        <v>316</v>
      </c>
      <c r="AH1893" s="4" t="s">
        <v>1601</v>
      </c>
      <c r="AI1893" s="4" t="s">
        <v>1605</v>
      </c>
      <c r="AL1893" s="4" t="s">
        <v>1556</v>
      </c>
      <c r="AM1893" s="4">
        <v>7.73</v>
      </c>
      <c r="AN1893" s="4">
        <v>4.28</v>
      </c>
      <c r="AO1893" s="4">
        <v>207.91</v>
      </c>
      <c r="AQ1893" s="4" t="s">
        <v>7</v>
      </c>
      <c r="AR1893" s="4">
        <v>1.12</v>
      </c>
      <c r="AS1893" s="4" t="s">
        <v>13</v>
      </c>
      <c r="AT1893" s="4">
        <v>52.39</v>
      </c>
      <c r="AU1893" s="4" t="s">
        <v>15</v>
      </c>
      <c r="AV1893" s="4">
        <v>96</v>
      </c>
      <c r="AW1893" s="4" t="s">
        <v>12</v>
      </c>
      <c r="AX1893" s="4">
        <v>3.45</v>
      </c>
      <c r="AY1893" s="4" t="s">
        <v>14</v>
      </c>
      <c r="AZ1893" s="4">
        <v>4.95</v>
      </c>
      <c r="BI1893" s="4" t="s">
        <v>321</v>
      </c>
      <c r="BP1893" s="4">
        <v>0.05</v>
      </c>
      <c r="BV1893" s="4" t="s">
        <v>1552</v>
      </c>
      <c r="BW1893" s="4">
        <v>25</v>
      </c>
      <c r="BX1893" s="4">
        <v>75</v>
      </c>
      <c r="CX1893" s="4" t="s">
        <v>314</v>
      </c>
      <c r="DD1893" s="4">
        <v>23.52</v>
      </c>
      <c r="DE1893" s="4">
        <v>24.88</v>
      </c>
      <c r="DO1893" s="57"/>
      <c r="DQ1893" s="60">
        <v>1.11649484536082</v>
      </c>
      <c r="DR1893" s="55"/>
      <c r="DS1893" s="60">
        <v>1.17525773195876</v>
      </c>
      <c r="DT1893" s="55"/>
      <c r="DY1893" s="1">
        <v>0</v>
      </c>
      <c r="DZ1893" s="1">
        <v>0</v>
      </c>
      <c r="EA1893" s="52">
        <v>-5.26315789473702</v>
      </c>
      <c r="ED1893" s="52">
        <v>-5.26315789473702</v>
      </c>
    </row>
    <row r="1894" customHeight="1" spans="1:134">
      <c r="A1894" s="54">
        <v>70</v>
      </c>
      <c r="B1894" s="4" t="s">
        <v>1599</v>
      </c>
      <c r="C1894" s="5" t="s">
        <v>358</v>
      </c>
      <c r="D1894" s="4" t="s">
        <v>300</v>
      </c>
      <c r="E1894" s="4" t="s">
        <v>1603</v>
      </c>
      <c r="N1894" s="4" t="s">
        <v>567</v>
      </c>
      <c r="O1894" s="4" t="s">
        <v>343</v>
      </c>
      <c r="P1894" s="4">
        <v>2</v>
      </c>
      <c r="Q1894" s="4" t="s">
        <v>539</v>
      </c>
      <c r="T1894" s="4">
        <v>0.145</v>
      </c>
      <c r="U1894" s="4">
        <v>0.009</v>
      </c>
      <c r="V1894" s="4">
        <v>258.29</v>
      </c>
      <c r="AG1894" s="4" t="s">
        <v>316</v>
      </c>
      <c r="AH1894" s="4" t="s">
        <v>1601</v>
      </c>
      <c r="AI1894" s="4" t="s">
        <v>1605</v>
      </c>
      <c r="AL1894" s="4" t="s">
        <v>1556</v>
      </c>
      <c r="AM1894" s="4">
        <v>7.73</v>
      </c>
      <c r="AN1894" s="4">
        <v>4.28</v>
      </c>
      <c r="AO1894" s="4">
        <v>207.91</v>
      </c>
      <c r="AQ1894" s="4" t="s">
        <v>7</v>
      </c>
      <c r="AR1894" s="4">
        <v>1.12</v>
      </c>
      <c r="AS1894" s="4" t="s">
        <v>13</v>
      </c>
      <c r="AT1894" s="4">
        <v>52.39</v>
      </c>
      <c r="AU1894" s="4" t="s">
        <v>15</v>
      </c>
      <c r="AV1894" s="4">
        <v>96</v>
      </c>
      <c r="AW1894" s="4" t="s">
        <v>12</v>
      </c>
      <c r="AX1894" s="4">
        <v>3.45</v>
      </c>
      <c r="AY1894" s="4" t="s">
        <v>14</v>
      </c>
      <c r="AZ1894" s="4">
        <v>4.95</v>
      </c>
      <c r="BI1894" s="4" t="s">
        <v>321</v>
      </c>
      <c r="BP1894" s="4">
        <v>0.05</v>
      </c>
      <c r="BV1894" s="4" t="s">
        <v>488</v>
      </c>
      <c r="BW1894" s="4">
        <v>25</v>
      </c>
      <c r="BX1894" s="4">
        <v>75</v>
      </c>
      <c r="CX1894" s="4" t="s">
        <v>314</v>
      </c>
      <c r="DD1894" s="4">
        <v>23.52</v>
      </c>
      <c r="DE1894" s="4">
        <v>24.88</v>
      </c>
      <c r="DO1894" s="57"/>
      <c r="DQ1894" s="60">
        <v>1.24329896907216</v>
      </c>
      <c r="DR1894" s="55"/>
      <c r="DS1894" s="60">
        <v>1.22474226804123</v>
      </c>
      <c r="DT1894" s="55"/>
      <c r="DY1894" s="1">
        <v>0</v>
      </c>
      <c r="DZ1894" s="1">
        <v>0</v>
      </c>
      <c r="EA1894" s="52">
        <v>1.49253731343302</v>
      </c>
      <c r="ED1894" s="52">
        <v>1.49253731343302</v>
      </c>
    </row>
    <row r="1895" customHeight="1" spans="1:134">
      <c r="A1895" s="54">
        <v>70</v>
      </c>
      <c r="B1895" s="4" t="s">
        <v>1599</v>
      </c>
      <c r="C1895" s="5" t="s">
        <v>358</v>
      </c>
      <c r="D1895" s="4" t="s">
        <v>300</v>
      </c>
      <c r="E1895" s="4" t="s">
        <v>1603</v>
      </c>
      <c r="N1895" s="4" t="s">
        <v>567</v>
      </c>
      <c r="O1895" s="4" t="s">
        <v>343</v>
      </c>
      <c r="P1895" s="4">
        <v>2</v>
      </c>
      <c r="Q1895" s="4" t="s">
        <v>539</v>
      </c>
      <c r="T1895" s="4">
        <v>0.145</v>
      </c>
      <c r="U1895" s="4">
        <v>0.009</v>
      </c>
      <c r="V1895" s="4">
        <v>258.29</v>
      </c>
      <c r="AG1895" s="4" t="s">
        <v>316</v>
      </c>
      <c r="AH1895" s="4" t="s">
        <v>1601</v>
      </c>
      <c r="AI1895" s="4" t="s">
        <v>1605</v>
      </c>
      <c r="AL1895" s="4" t="s">
        <v>1556</v>
      </c>
      <c r="AM1895" s="4">
        <v>7.73</v>
      </c>
      <c r="AN1895" s="4">
        <v>4.28</v>
      </c>
      <c r="AO1895" s="4">
        <v>207.91</v>
      </c>
      <c r="AQ1895" s="4" t="s">
        <v>7</v>
      </c>
      <c r="AR1895" s="4">
        <v>1.12</v>
      </c>
      <c r="AS1895" s="4" t="s">
        <v>13</v>
      </c>
      <c r="AT1895" s="4">
        <v>52.39</v>
      </c>
      <c r="AU1895" s="4" t="s">
        <v>15</v>
      </c>
      <c r="AV1895" s="4">
        <v>96</v>
      </c>
      <c r="AW1895" s="4" t="s">
        <v>12</v>
      </c>
      <c r="AX1895" s="4">
        <v>3.45</v>
      </c>
      <c r="AY1895" s="4" t="s">
        <v>14</v>
      </c>
      <c r="AZ1895" s="4">
        <v>4.95</v>
      </c>
      <c r="BI1895" s="4" t="s">
        <v>321</v>
      </c>
      <c r="BP1895" s="4">
        <v>0.1</v>
      </c>
      <c r="BV1895" s="4" t="s">
        <v>1606</v>
      </c>
      <c r="BW1895" s="4">
        <v>25</v>
      </c>
      <c r="BX1895" s="4">
        <v>75</v>
      </c>
      <c r="CX1895" s="4" t="s">
        <v>314</v>
      </c>
      <c r="DD1895" s="4">
        <v>23.52</v>
      </c>
      <c r="DE1895" s="4">
        <v>24.88</v>
      </c>
      <c r="DO1895" s="57"/>
      <c r="DQ1895" s="60">
        <v>1.11958762886597</v>
      </c>
      <c r="DR1895" s="55"/>
      <c r="DS1895" s="60">
        <v>1.19381443298969</v>
      </c>
      <c r="DT1895" s="55"/>
      <c r="DY1895" s="1">
        <v>0</v>
      </c>
      <c r="DZ1895" s="1">
        <v>0</v>
      </c>
      <c r="EA1895" s="52">
        <v>-6.62983425414447</v>
      </c>
      <c r="ED1895" s="52">
        <v>-6.62983425414447</v>
      </c>
    </row>
    <row r="1896" customHeight="1" spans="1:134">
      <c r="A1896" s="54">
        <v>70</v>
      </c>
      <c r="B1896" s="4" t="s">
        <v>1599</v>
      </c>
      <c r="C1896" s="5" t="s">
        <v>358</v>
      </c>
      <c r="D1896" s="4" t="s">
        <v>300</v>
      </c>
      <c r="E1896" s="4" t="s">
        <v>1603</v>
      </c>
      <c r="N1896" s="4" t="s">
        <v>567</v>
      </c>
      <c r="O1896" s="4" t="s">
        <v>343</v>
      </c>
      <c r="P1896" s="4">
        <v>2</v>
      </c>
      <c r="Q1896" s="4" t="s">
        <v>539</v>
      </c>
      <c r="T1896" s="4">
        <v>0.145</v>
      </c>
      <c r="U1896" s="4">
        <v>0.009</v>
      </c>
      <c r="V1896" s="4">
        <v>258.29</v>
      </c>
      <c r="AG1896" s="4" t="s">
        <v>316</v>
      </c>
      <c r="AH1896" s="4" t="s">
        <v>1601</v>
      </c>
      <c r="AI1896" s="4" t="s">
        <v>1605</v>
      </c>
      <c r="AL1896" s="4" t="s">
        <v>1556</v>
      </c>
      <c r="AM1896" s="4">
        <v>7.73</v>
      </c>
      <c r="AN1896" s="4">
        <v>4.28</v>
      </c>
      <c r="AO1896" s="4">
        <v>207.91</v>
      </c>
      <c r="AQ1896" s="4" t="s">
        <v>7</v>
      </c>
      <c r="AR1896" s="4">
        <v>1.12</v>
      </c>
      <c r="AS1896" s="4" t="s">
        <v>13</v>
      </c>
      <c r="AT1896" s="4">
        <v>52.39</v>
      </c>
      <c r="AU1896" s="4" t="s">
        <v>15</v>
      </c>
      <c r="AV1896" s="4">
        <v>96</v>
      </c>
      <c r="AW1896" s="4" t="s">
        <v>12</v>
      </c>
      <c r="AX1896" s="4">
        <v>3.45</v>
      </c>
      <c r="AY1896" s="4" t="s">
        <v>14</v>
      </c>
      <c r="AZ1896" s="4">
        <v>4.95</v>
      </c>
      <c r="BI1896" s="4" t="s">
        <v>321</v>
      </c>
      <c r="BP1896" s="4">
        <v>0.1</v>
      </c>
      <c r="BV1896" s="4" t="s">
        <v>1607</v>
      </c>
      <c r="BW1896" s="4">
        <v>25</v>
      </c>
      <c r="BX1896" s="4">
        <v>75</v>
      </c>
      <c r="CX1896" s="4" t="s">
        <v>314</v>
      </c>
      <c r="DD1896" s="4">
        <v>23.52</v>
      </c>
      <c r="DE1896" s="4">
        <v>24.88</v>
      </c>
      <c r="DO1896" s="57"/>
      <c r="DQ1896" s="60">
        <v>1.2680412371134</v>
      </c>
      <c r="DR1896" s="55"/>
      <c r="DS1896" s="60">
        <v>1.27422680412371</v>
      </c>
      <c r="DT1896" s="55"/>
      <c r="DY1896" s="1">
        <v>0</v>
      </c>
      <c r="DZ1896" s="1">
        <v>0</v>
      </c>
      <c r="EA1896" s="52">
        <v>-0.487804878048832</v>
      </c>
      <c r="ED1896" s="52">
        <v>-0.487804878048832</v>
      </c>
    </row>
    <row r="1897" customHeight="1" spans="1:134">
      <c r="A1897" s="54">
        <v>70</v>
      </c>
      <c r="B1897" s="4" t="s">
        <v>1599</v>
      </c>
      <c r="C1897" s="5" t="s">
        <v>358</v>
      </c>
      <c r="D1897" s="4" t="s">
        <v>300</v>
      </c>
      <c r="E1897" s="4" t="s">
        <v>1603</v>
      </c>
      <c r="N1897" s="4" t="s">
        <v>567</v>
      </c>
      <c r="O1897" s="4" t="s">
        <v>343</v>
      </c>
      <c r="P1897" s="4">
        <v>2</v>
      </c>
      <c r="Q1897" s="4" t="s">
        <v>539</v>
      </c>
      <c r="T1897" s="4">
        <v>0.145</v>
      </c>
      <c r="U1897" s="4">
        <v>0.009</v>
      </c>
      <c r="V1897" s="4">
        <v>258.29</v>
      </c>
      <c r="AG1897" s="4" t="s">
        <v>316</v>
      </c>
      <c r="AH1897" s="4" t="s">
        <v>1601</v>
      </c>
      <c r="AI1897" s="4" t="s">
        <v>1605</v>
      </c>
      <c r="AL1897" s="4" t="s">
        <v>1556</v>
      </c>
      <c r="AM1897" s="4">
        <v>7.73</v>
      </c>
      <c r="AN1897" s="4">
        <v>4.28</v>
      </c>
      <c r="AO1897" s="4">
        <v>207.91</v>
      </c>
      <c r="AQ1897" s="4" t="s">
        <v>7</v>
      </c>
      <c r="AR1897" s="4">
        <v>1.12</v>
      </c>
      <c r="AS1897" s="4" t="s">
        <v>13</v>
      </c>
      <c r="AT1897" s="4">
        <v>52.39</v>
      </c>
      <c r="AU1897" s="4" t="s">
        <v>15</v>
      </c>
      <c r="AV1897" s="4">
        <v>96</v>
      </c>
      <c r="AW1897" s="4" t="s">
        <v>12</v>
      </c>
      <c r="AX1897" s="4">
        <v>3.45</v>
      </c>
      <c r="AY1897" s="4" t="s">
        <v>14</v>
      </c>
      <c r="AZ1897" s="4">
        <v>4.95</v>
      </c>
      <c r="BI1897" s="4" t="s">
        <v>321</v>
      </c>
      <c r="BP1897" s="4">
        <v>0.1</v>
      </c>
      <c r="BV1897" s="4" t="s">
        <v>1552</v>
      </c>
      <c r="BW1897" s="4">
        <v>25</v>
      </c>
      <c r="BX1897" s="4">
        <v>75</v>
      </c>
      <c r="CX1897" s="4" t="s">
        <v>314</v>
      </c>
      <c r="DD1897" s="4">
        <v>23.52</v>
      </c>
      <c r="DE1897" s="4">
        <v>24.88</v>
      </c>
      <c r="DO1897" s="57"/>
      <c r="DQ1897" s="60">
        <v>1.11649484536082</v>
      </c>
      <c r="DR1897" s="55"/>
      <c r="DS1897" s="60">
        <v>1.12577319587628</v>
      </c>
      <c r="DT1897" s="55"/>
      <c r="DY1897" s="1">
        <v>0</v>
      </c>
      <c r="DZ1897" s="1">
        <v>0</v>
      </c>
      <c r="EA1897" s="52">
        <v>-0.831024930747565</v>
      </c>
      <c r="ED1897" s="52">
        <v>-0.831024930747565</v>
      </c>
    </row>
    <row r="1898" customHeight="1" spans="1:134">
      <c r="A1898" s="54">
        <v>70</v>
      </c>
      <c r="B1898" s="4" t="s">
        <v>1599</v>
      </c>
      <c r="C1898" s="5" t="s">
        <v>358</v>
      </c>
      <c r="D1898" s="4" t="s">
        <v>300</v>
      </c>
      <c r="E1898" s="4" t="s">
        <v>1603</v>
      </c>
      <c r="N1898" s="4" t="s">
        <v>567</v>
      </c>
      <c r="O1898" s="4" t="s">
        <v>343</v>
      </c>
      <c r="P1898" s="4">
        <v>2</v>
      </c>
      <c r="Q1898" s="4" t="s">
        <v>539</v>
      </c>
      <c r="T1898" s="4">
        <v>0.145</v>
      </c>
      <c r="U1898" s="4">
        <v>0.009</v>
      </c>
      <c r="V1898" s="4">
        <v>258.29</v>
      </c>
      <c r="AG1898" s="4" t="s">
        <v>316</v>
      </c>
      <c r="AH1898" s="4" t="s">
        <v>1601</v>
      </c>
      <c r="AI1898" s="4" t="s">
        <v>1605</v>
      </c>
      <c r="AL1898" s="4" t="s">
        <v>1556</v>
      </c>
      <c r="AM1898" s="4">
        <v>7.73</v>
      </c>
      <c r="AN1898" s="4">
        <v>4.28</v>
      </c>
      <c r="AO1898" s="4">
        <v>207.91</v>
      </c>
      <c r="AQ1898" s="4" t="s">
        <v>7</v>
      </c>
      <c r="AR1898" s="4">
        <v>1.12</v>
      </c>
      <c r="AS1898" s="4" t="s">
        <v>13</v>
      </c>
      <c r="AT1898" s="4">
        <v>52.39</v>
      </c>
      <c r="AU1898" s="4" t="s">
        <v>15</v>
      </c>
      <c r="AV1898" s="4">
        <v>96</v>
      </c>
      <c r="AW1898" s="4" t="s">
        <v>12</v>
      </c>
      <c r="AX1898" s="4">
        <v>3.45</v>
      </c>
      <c r="AY1898" s="4" t="s">
        <v>14</v>
      </c>
      <c r="AZ1898" s="4">
        <v>4.95</v>
      </c>
      <c r="BI1898" s="4" t="s">
        <v>321</v>
      </c>
      <c r="BP1898" s="4">
        <v>0.1</v>
      </c>
      <c r="BV1898" s="4" t="s">
        <v>488</v>
      </c>
      <c r="BW1898" s="4">
        <v>25</v>
      </c>
      <c r="BX1898" s="4">
        <v>75</v>
      </c>
      <c r="CX1898" s="4" t="s">
        <v>314</v>
      </c>
      <c r="DD1898" s="4">
        <v>23.52</v>
      </c>
      <c r="DE1898" s="4">
        <v>24.88</v>
      </c>
      <c r="DO1898" s="57"/>
      <c r="DQ1898" s="60">
        <v>1.24329896907216</v>
      </c>
      <c r="DR1898" s="55"/>
      <c r="DS1898" s="60">
        <v>1.24329896907216</v>
      </c>
      <c r="DT1898" s="55"/>
      <c r="DY1898" s="1">
        <v>0</v>
      </c>
      <c r="DZ1898" s="1">
        <v>0</v>
      </c>
      <c r="EA1898" s="52">
        <v>0</v>
      </c>
      <c r="ED1898" s="52">
        <v>0</v>
      </c>
    </row>
    <row r="1899" customHeight="1" spans="1:134">
      <c r="A1899" s="54">
        <v>70</v>
      </c>
      <c r="B1899" s="4" t="s">
        <v>1599</v>
      </c>
      <c r="C1899" s="5" t="s">
        <v>358</v>
      </c>
      <c r="D1899" s="4" t="s">
        <v>300</v>
      </c>
      <c r="E1899" s="4" t="s">
        <v>1603</v>
      </c>
      <c r="N1899" s="4" t="s">
        <v>567</v>
      </c>
      <c r="O1899" s="4" t="s">
        <v>343</v>
      </c>
      <c r="P1899" s="4">
        <v>2</v>
      </c>
      <c r="Q1899" s="4" t="s">
        <v>539</v>
      </c>
      <c r="T1899" s="4">
        <v>0.145</v>
      </c>
      <c r="U1899" s="4">
        <v>0.009</v>
      </c>
      <c r="V1899" s="4">
        <v>258.29</v>
      </c>
      <c r="AG1899" s="4" t="s">
        <v>316</v>
      </c>
      <c r="AH1899" s="4" t="s">
        <v>1608</v>
      </c>
      <c r="AI1899" s="4" t="s">
        <v>1609</v>
      </c>
      <c r="AL1899" s="4" t="s">
        <v>1556</v>
      </c>
      <c r="AM1899" s="4">
        <v>6.56</v>
      </c>
      <c r="AN1899" s="4">
        <v>8.1</v>
      </c>
      <c r="AO1899" s="4">
        <v>168.17</v>
      </c>
      <c r="AQ1899" s="4" t="s">
        <v>7</v>
      </c>
      <c r="AR1899" s="4">
        <v>0.42</v>
      </c>
      <c r="AS1899" s="4" t="s">
        <v>13</v>
      </c>
      <c r="AT1899" s="4">
        <v>253.22</v>
      </c>
      <c r="AU1899" s="4" t="s">
        <v>15</v>
      </c>
      <c r="AV1899" s="4">
        <v>23.62</v>
      </c>
      <c r="AW1899" s="4" t="s">
        <v>12</v>
      </c>
      <c r="AX1899" s="4">
        <v>3.35</v>
      </c>
      <c r="AY1899" s="4" t="s">
        <v>14</v>
      </c>
      <c r="AZ1899" s="4">
        <v>9.55</v>
      </c>
      <c r="BI1899" s="4" t="s">
        <v>321</v>
      </c>
      <c r="BP1899" s="4">
        <v>0.025</v>
      </c>
      <c r="BV1899" s="4" t="s">
        <v>1606</v>
      </c>
      <c r="BW1899" s="4">
        <v>25</v>
      </c>
      <c r="BX1899" s="4">
        <v>75</v>
      </c>
      <c r="CX1899" s="4" t="s">
        <v>314</v>
      </c>
      <c r="DD1899" s="4">
        <v>23.52</v>
      </c>
      <c r="DE1899" s="4">
        <v>24.88</v>
      </c>
      <c r="DO1899" s="57"/>
      <c r="DQ1899" s="58">
        <v>0.303910614525139</v>
      </c>
      <c r="DR1899" s="55"/>
      <c r="DS1899" s="58">
        <v>0.366480446927374</v>
      </c>
      <c r="DT1899" s="55"/>
      <c r="DY1899" s="1">
        <v>0</v>
      </c>
      <c r="DZ1899" s="1">
        <v>0</v>
      </c>
      <c r="EA1899" s="52">
        <v>-20.5882352941178</v>
      </c>
      <c r="ED1899" s="52">
        <v>-20.5882352941178</v>
      </c>
    </row>
    <row r="1900" customHeight="1" spans="1:134">
      <c r="A1900" s="54">
        <v>70</v>
      </c>
      <c r="B1900" s="4" t="s">
        <v>1599</v>
      </c>
      <c r="C1900" s="5" t="s">
        <v>358</v>
      </c>
      <c r="D1900" s="4" t="s">
        <v>300</v>
      </c>
      <c r="E1900" s="4" t="s">
        <v>1603</v>
      </c>
      <c r="N1900" s="4" t="s">
        <v>567</v>
      </c>
      <c r="O1900" s="4" t="s">
        <v>343</v>
      </c>
      <c r="P1900" s="4">
        <v>2</v>
      </c>
      <c r="Q1900" s="4" t="s">
        <v>539</v>
      </c>
      <c r="T1900" s="4">
        <v>0.145</v>
      </c>
      <c r="U1900" s="4">
        <v>0.009</v>
      </c>
      <c r="V1900" s="4">
        <v>258.29</v>
      </c>
      <c r="AG1900" s="4" t="s">
        <v>316</v>
      </c>
      <c r="AH1900" s="4" t="s">
        <v>1608</v>
      </c>
      <c r="AI1900" s="4" t="s">
        <v>1609</v>
      </c>
      <c r="AL1900" s="4" t="s">
        <v>1556</v>
      </c>
      <c r="AM1900" s="4">
        <v>6.56</v>
      </c>
      <c r="AN1900" s="4">
        <v>8.1</v>
      </c>
      <c r="AO1900" s="4">
        <v>168.17</v>
      </c>
      <c r="AQ1900" s="4" t="s">
        <v>7</v>
      </c>
      <c r="AR1900" s="4">
        <v>0.42</v>
      </c>
      <c r="AS1900" s="4" t="s">
        <v>13</v>
      </c>
      <c r="AT1900" s="4">
        <v>253.22</v>
      </c>
      <c r="AU1900" s="4" t="s">
        <v>15</v>
      </c>
      <c r="AV1900" s="4">
        <v>23.62</v>
      </c>
      <c r="AW1900" s="4" t="s">
        <v>12</v>
      </c>
      <c r="AX1900" s="4">
        <v>3.35</v>
      </c>
      <c r="AY1900" s="4" t="s">
        <v>14</v>
      </c>
      <c r="AZ1900" s="4">
        <v>9.55</v>
      </c>
      <c r="BI1900" s="4" t="s">
        <v>321</v>
      </c>
      <c r="BP1900" s="4">
        <v>0.025</v>
      </c>
      <c r="BV1900" s="4" t="s">
        <v>1607</v>
      </c>
      <c r="BW1900" s="4">
        <v>25</v>
      </c>
      <c r="BX1900" s="4">
        <v>75</v>
      </c>
      <c r="CX1900" s="4" t="s">
        <v>314</v>
      </c>
      <c r="DD1900" s="4">
        <v>23.52</v>
      </c>
      <c r="DE1900" s="4">
        <v>24.88</v>
      </c>
      <c r="DO1900" s="57"/>
      <c r="DQ1900" s="58">
        <v>0.40558659217877</v>
      </c>
      <c r="DR1900" s="55"/>
      <c r="DS1900" s="58">
        <v>0.391061452513966</v>
      </c>
      <c r="DT1900" s="55"/>
      <c r="DY1900" s="1">
        <v>0</v>
      </c>
      <c r="DZ1900" s="1">
        <v>0</v>
      </c>
      <c r="EA1900" s="52">
        <v>3.58126721763075</v>
      </c>
      <c r="ED1900" s="52">
        <v>3.58126721763075</v>
      </c>
    </row>
    <row r="1901" customHeight="1" spans="1:134">
      <c r="A1901" s="54">
        <v>70</v>
      </c>
      <c r="B1901" s="4" t="s">
        <v>1599</v>
      </c>
      <c r="C1901" s="5" t="s">
        <v>358</v>
      </c>
      <c r="D1901" s="4" t="s">
        <v>300</v>
      </c>
      <c r="E1901" s="4" t="s">
        <v>1603</v>
      </c>
      <c r="N1901" s="4" t="s">
        <v>567</v>
      </c>
      <c r="O1901" s="4" t="s">
        <v>343</v>
      </c>
      <c r="P1901" s="4">
        <v>2</v>
      </c>
      <c r="Q1901" s="4" t="s">
        <v>539</v>
      </c>
      <c r="T1901" s="4">
        <v>0.145</v>
      </c>
      <c r="U1901" s="4">
        <v>0.009</v>
      </c>
      <c r="V1901" s="4">
        <v>258.29</v>
      </c>
      <c r="AG1901" s="4" t="s">
        <v>316</v>
      </c>
      <c r="AH1901" s="4" t="s">
        <v>1608</v>
      </c>
      <c r="AI1901" s="4" t="s">
        <v>1609</v>
      </c>
      <c r="AL1901" s="4" t="s">
        <v>1556</v>
      </c>
      <c r="AM1901" s="4">
        <v>6.56</v>
      </c>
      <c r="AN1901" s="4">
        <v>8.1</v>
      </c>
      <c r="AO1901" s="4">
        <v>168.17</v>
      </c>
      <c r="AQ1901" s="4" t="s">
        <v>7</v>
      </c>
      <c r="AR1901" s="4">
        <v>0.42</v>
      </c>
      <c r="AS1901" s="4" t="s">
        <v>13</v>
      </c>
      <c r="AT1901" s="4">
        <v>253.22</v>
      </c>
      <c r="AU1901" s="4" t="s">
        <v>15</v>
      </c>
      <c r="AV1901" s="4">
        <v>23.62</v>
      </c>
      <c r="AW1901" s="4" t="s">
        <v>12</v>
      </c>
      <c r="AX1901" s="4">
        <v>3.35</v>
      </c>
      <c r="AY1901" s="4" t="s">
        <v>14</v>
      </c>
      <c r="AZ1901" s="4">
        <v>9.55</v>
      </c>
      <c r="BI1901" s="4" t="s">
        <v>321</v>
      </c>
      <c r="BP1901" s="4">
        <v>0.025</v>
      </c>
      <c r="BV1901" s="4" t="s">
        <v>1552</v>
      </c>
      <c r="BW1901" s="4">
        <v>25</v>
      </c>
      <c r="BX1901" s="4">
        <v>75</v>
      </c>
      <c r="CX1901" s="4" t="s">
        <v>314</v>
      </c>
      <c r="DD1901" s="4">
        <v>23.52</v>
      </c>
      <c r="DE1901" s="4">
        <v>24.88</v>
      </c>
      <c r="DO1901" s="57"/>
      <c r="DQ1901" s="58">
        <v>0.353072625698323</v>
      </c>
      <c r="DR1901" s="55"/>
      <c r="DS1901" s="58">
        <v>0.305027932960893</v>
      </c>
      <c r="DT1901" s="55"/>
      <c r="DY1901" s="1">
        <v>0</v>
      </c>
      <c r="DZ1901" s="1">
        <v>0</v>
      </c>
      <c r="EA1901" s="52">
        <v>13.6075949367089</v>
      </c>
      <c r="ED1901" s="52">
        <v>13.6075949367089</v>
      </c>
    </row>
    <row r="1902" customHeight="1" spans="1:134">
      <c r="A1902" s="54">
        <v>70</v>
      </c>
      <c r="B1902" s="4" t="s">
        <v>1599</v>
      </c>
      <c r="C1902" s="5" t="s">
        <v>358</v>
      </c>
      <c r="D1902" s="4" t="s">
        <v>300</v>
      </c>
      <c r="E1902" s="4" t="s">
        <v>1603</v>
      </c>
      <c r="N1902" s="4" t="s">
        <v>567</v>
      </c>
      <c r="O1902" s="4" t="s">
        <v>343</v>
      </c>
      <c r="P1902" s="4">
        <v>2</v>
      </c>
      <c r="Q1902" s="4" t="s">
        <v>539</v>
      </c>
      <c r="T1902" s="4">
        <v>0.145</v>
      </c>
      <c r="U1902" s="4">
        <v>0.009</v>
      </c>
      <c r="V1902" s="4">
        <v>258.29</v>
      </c>
      <c r="AG1902" s="4" t="s">
        <v>316</v>
      </c>
      <c r="AH1902" s="4" t="s">
        <v>1608</v>
      </c>
      <c r="AI1902" s="4" t="s">
        <v>1609</v>
      </c>
      <c r="AL1902" s="4" t="s">
        <v>1556</v>
      </c>
      <c r="AM1902" s="4">
        <v>6.56</v>
      </c>
      <c r="AN1902" s="4">
        <v>8.1</v>
      </c>
      <c r="AO1902" s="4">
        <v>168.17</v>
      </c>
      <c r="AQ1902" s="4" t="s">
        <v>7</v>
      </c>
      <c r="AR1902" s="4">
        <v>0.42</v>
      </c>
      <c r="AS1902" s="4" t="s">
        <v>13</v>
      </c>
      <c r="AT1902" s="4">
        <v>253.22</v>
      </c>
      <c r="AU1902" s="4" t="s">
        <v>15</v>
      </c>
      <c r="AV1902" s="4">
        <v>23.62</v>
      </c>
      <c r="AW1902" s="4" t="s">
        <v>12</v>
      </c>
      <c r="AX1902" s="4">
        <v>3.35</v>
      </c>
      <c r="AY1902" s="4" t="s">
        <v>14</v>
      </c>
      <c r="AZ1902" s="4">
        <v>9.55</v>
      </c>
      <c r="BI1902" s="4" t="s">
        <v>321</v>
      </c>
      <c r="BP1902" s="4">
        <v>0.025</v>
      </c>
      <c r="BV1902" s="4" t="s">
        <v>488</v>
      </c>
      <c r="BW1902" s="4">
        <v>25</v>
      </c>
      <c r="BX1902" s="4">
        <v>75</v>
      </c>
      <c r="CX1902" s="4" t="s">
        <v>314</v>
      </c>
      <c r="DD1902" s="4">
        <v>23.52</v>
      </c>
      <c r="DE1902" s="4">
        <v>24.88</v>
      </c>
      <c r="DO1902" s="57"/>
      <c r="DQ1902" s="58">
        <v>0.4</v>
      </c>
      <c r="DR1902" s="55"/>
      <c r="DS1902" s="58">
        <v>0.4268156424581</v>
      </c>
      <c r="DT1902" s="55"/>
      <c r="DY1902" s="1">
        <v>0</v>
      </c>
      <c r="DZ1902" s="1">
        <v>0</v>
      </c>
      <c r="EA1902" s="52">
        <v>-6.70391061452499</v>
      </c>
      <c r="ED1902" s="52">
        <v>-6.70391061452499</v>
      </c>
    </row>
    <row r="1903" customHeight="1" spans="1:134">
      <c r="A1903" s="54">
        <v>70</v>
      </c>
      <c r="B1903" s="4" t="s">
        <v>1599</v>
      </c>
      <c r="C1903" s="5" t="s">
        <v>358</v>
      </c>
      <c r="D1903" s="4" t="s">
        <v>300</v>
      </c>
      <c r="E1903" s="4" t="s">
        <v>1603</v>
      </c>
      <c r="N1903" s="4" t="s">
        <v>567</v>
      </c>
      <c r="O1903" s="4" t="s">
        <v>343</v>
      </c>
      <c r="P1903" s="4">
        <v>2</v>
      </c>
      <c r="Q1903" s="4" t="s">
        <v>539</v>
      </c>
      <c r="T1903" s="4">
        <v>0.145</v>
      </c>
      <c r="U1903" s="4">
        <v>0.009</v>
      </c>
      <c r="V1903" s="4">
        <v>258.29</v>
      </c>
      <c r="AG1903" s="4" t="s">
        <v>316</v>
      </c>
      <c r="AH1903" s="4" t="s">
        <v>1608</v>
      </c>
      <c r="AI1903" s="4" t="s">
        <v>1609</v>
      </c>
      <c r="AL1903" s="4" t="s">
        <v>1556</v>
      </c>
      <c r="AM1903" s="4">
        <v>6.56</v>
      </c>
      <c r="AN1903" s="4">
        <v>8.1</v>
      </c>
      <c r="AO1903" s="4">
        <v>168.17</v>
      </c>
      <c r="AQ1903" s="4" t="s">
        <v>7</v>
      </c>
      <c r="AR1903" s="4">
        <v>0.42</v>
      </c>
      <c r="AS1903" s="4" t="s">
        <v>13</v>
      </c>
      <c r="AT1903" s="4">
        <v>253.22</v>
      </c>
      <c r="AU1903" s="4" t="s">
        <v>15</v>
      </c>
      <c r="AV1903" s="4">
        <v>23.62</v>
      </c>
      <c r="AW1903" s="4" t="s">
        <v>12</v>
      </c>
      <c r="AX1903" s="4">
        <v>3.35</v>
      </c>
      <c r="AY1903" s="4" t="s">
        <v>14</v>
      </c>
      <c r="AZ1903" s="4">
        <v>9.55</v>
      </c>
      <c r="BI1903" s="4" t="s">
        <v>321</v>
      </c>
      <c r="BP1903" s="4">
        <v>0.05</v>
      </c>
      <c r="BV1903" s="4" t="s">
        <v>1606</v>
      </c>
      <c r="BW1903" s="4">
        <v>25</v>
      </c>
      <c r="BX1903" s="4">
        <v>75</v>
      </c>
      <c r="CX1903" s="4" t="s">
        <v>314</v>
      </c>
      <c r="DD1903" s="4">
        <v>23.52</v>
      </c>
      <c r="DE1903" s="4">
        <v>24.88</v>
      </c>
      <c r="DO1903" s="57"/>
      <c r="DQ1903" s="58">
        <v>0.303910614525139</v>
      </c>
      <c r="DR1903" s="55"/>
      <c r="DS1903" s="58">
        <v>0.322905027932961</v>
      </c>
      <c r="DT1903" s="55"/>
      <c r="DY1903" s="1">
        <v>0</v>
      </c>
      <c r="DZ1903" s="1">
        <v>0</v>
      </c>
      <c r="EA1903" s="52">
        <v>-6.25000000000026</v>
      </c>
      <c r="ED1903" s="52">
        <v>-6.25000000000026</v>
      </c>
    </row>
    <row r="1904" customHeight="1" spans="1:134">
      <c r="A1904" s="54">
        <v>70</v>
      </c>
      <c r="B1904" s="4" t="s">
        <v>1599</v>
      </c>
      <c r="C1904" s="5" t="s">
        <v>358</v>
      </c>
      <c r="D1904" s="4" t="s">
        <v>300</v>
      </c>
      <c r="E1904" s="4" t="s">
        <v>1603</v>
      </c>
      <c r="N1904" s="4" t="s">
        <v>567</v>
      </c>
      <c r="O1904" s="4" t="s">
        <v>343</v>
      </c>
      <c r="P1904" s="4">
        <v>2</v>
      </c>
      <c r="Q1904" s="4" t="s">
        <v>539</v>
      </c>
      <c r="T1904" s="4">
        <v>0.145</v>
      </c>
      <c r="U1904" s="4">
        <v>0.009</v>
      </c>
      <c r="V1904" s="4">
        <v>258.29</v>
      </c>
      <c r="AG1904" s="4" t="s">
        <v>316</v>
      </c>
      <c r="AH1904" s="4" t="s">
        <v>1608</v>
      </c>
      <c r="AI1904" s="4" t="s">
        <v>1609</v>
      </c>
      <c r="AL1904" s="4" t="s">
        <v>1556</v>
      </c>
      <c r="AM1904" s="4">
        <v>6.56</v>
      </c>
      <c r="AN1904" s="4">
        <v>8.1</v>
      </c>
      <c r="AO1904" s="4">
        <v>168.17</v>
      </c>
      <c r="AQ1904" s="4" t="s">
        <v>7</v>
      </c>
      <c r="AR1904" s="4">
        <v>0.42</v>
      </c>
      <c r="AS1904" s="4" t="s">
        <v>13</v>
      </c>
      <c r="AT1904" s="4">
        <v>253.22</v>
      </c>
      <c r="AU1904" s="4" t="s">
        <v>15</v>
      </c>
      <c r="AV1904" s="4">
        <v>23.62</v>
      </c>
      <c r="AW1904" s="4" t="s">
        <v>12</v>
      </c>
      <c r="AX1904" s="4">
        <v>3.35</v>
      </c>
      <c r="AY1904" s="4" t="s">
        <v>14</v>
      </c>
      <c r="AZ1904" s="4">
        <v>9.55</v>
      </c>
      <c r="BI1904" s="4" t="s">
        <v>321</v>
      </c>
      <c r="BP1904" s="4">
        <v>0.05</v>
      </c>
      <c r="BV1904" s="4" t="s">
        <v>1607</v>
      </c>
      <c r="BW1904" s="4">
        <v>25</v>
      </c>
      <c r="BX1904" s="4">
        <v>75</v>
      </c>
      <c r="CX1904" s="4" t="s">
        <v>314</v>
      </c>
      <c r="DD1904" s="4">
        <v>23.52</v>
      </c>
      <c r="DE1904" s="4">
        <v>24.88</v>
      </c>
      <c r="DO1904" s="57"/>
      <c r="DQ1904" s="58">
        <v>0.40558659217877</v>
      </c>
      <c r="DR1904" s="55"/>
      <c r="DS1904" s="58">
        <v>0.370949720670391</v>
      </c>
      <c r="DT1904" s="55"/>
      <c r="DY1904" s="1">
        <v>0</v>
      </c>
      <c r="DZ1904" s="1">
        <v>0</v>
      </c>
      <c r="EA1904" s="52">
        <v>8.53994490358107</v>
      </c>
      <c r="ED1904" s="52">
        <v>8.53994490358107</v>
      </c>
    </row>
    <row r="1905" customHeight="1" spans="1:134">
      <c r="A1905" s="54">
        <v>70</v>
      </c>
      <c r="B1905" s="4" t="s">
        <v>1599</v>
      </c>
      <c r="C1905" s="5" t="s">
        <v>358</v>
      </c>
      <c r="D1905" s="4" t="s">
        <v>300</v>
      </c>
      <c r="E1905" s="4" t="s">
        <v>1603</v>
      </c>
      <c r="N1905" s="4" t="s">
        <v>567</v>
      </c>
      <c r="O1905" s="4" t="s">
        <v>343</v>
      </c>
      <c r="P1905" s="4">
        <v>2</v>
      </c>
      <c r="Q1905" s="4" t="s">
        <v>539</v>
      </c>
      <c r="T1905" s="4">
        <v>0.145</v>
      </c>
      <c r="U1905" s="4">
        <v>0.009</v>
      </c>
      <c r="V1905" s="4">
        <v>258.29</v>
      </c>
      <c r="AG1905" s="4" t="s">
        <v>316</v>
      </c>
      <c r="AH1905" s="4" t="s">
        <v>1608</v>
      </c>
      <c r="AI1905" s="4" t="s">
        <v>1609</v>
      </c>
      <c r="AL1905" s="4" t="s">
        <v>1556</v>
      </c>
      <c r="AM1905" s="4">
        <v>6.56</v>
      </c>
      <c r="AN1905" s="4">
        <v>8.1</v>
      </c>
      <c r="AO1905" s="4">
        <v>168.17</v>
      </c>
      <c r="AQ1905" s="4" t="s">
        <v>7</v>
      </c>
      <c r="AR1905" s="4">
        <v>0.42</v>
      </c>
      <c r="AS1905" s="4" t="s">
        <v>13</v>
      </c>
      <c r="AT1905" s="4">
        <v>253.22</v>
      </c>
      <c r="AU1905" s="4" t="s">
        <v>15</v>
      </c>
      <c r="AV1905" s="4">
        <v>23.62</v>
      </c>
      <c r="AW1905" s="4" t="s">
        <v>12</v>
      </c>
      <c r="AX1905" s="4">
        <v>3.35</v>
      </c>
      <c r="AY1905" s="4" t="s">
        <v>14</v>
      </c>
      <c r="AZ1905" s="4">
        <v>9.55</v>
      </c>
      <c r="BI1905" s="4" t="s">
        <v>321</v>
      </c>
      <c r="BP1905" s="4">
        <v>0.05</v>
      </c>
      <c r="BV1905" s="4" t="s">
        <v>1552</v>
      </c>
      <c r="BW1905" s="4">
        <v>25</v>
      </c>
      <c r="BX1905" s="4">
        <v>75</v>
      </c>
      <c r="CX1905" s="4" t="s">
        <v>314</v>
      </c>
      <c r="DD1905" s="4">
        <v>23.52</v>
      </c>
      <c r="DE1905" s="4">
        <v>24.88</v>
      </c>
      <c r="DO1905" s="57"/>
      <c r="DQ1905" s="58">
        <v>0.353072625698323</v>
      </c>
      <c r="DR1905" s="55"/>
      <c r="DS1905" s="58">
        <v>0.312849162011173</v>
      </c>
      <c r="DT1905" s="55"/>
      <c r="DY1905" s="1">
        <v>0</v>
      </c>
      <c r="DZ1905" s="1">
        <v>0</v>
      </c>
      <c r="EA1905" s="52">
        <v>11.3924050632909</v>
      </c>
      <c r="ED1905" s="52">
        <v>11.3924050632909</v>
      </c>
    </row>
    <row r="1906" customHeight="1" spans="1:134">
      <c r="A1906" s="54">
        <v>70</v>
      </c>
      <c r="B1906" s="4" t="s">
        <v>1599</v>
      </c>
      <c r="C1906" s="5" t="s">
        <v>358</v>
      </c>
      <c r="D1906" s="4" t="s">
        <v>300</v>
      </c>
      <c r="E1906" s="4" t="s">
        <v>1603</v>
      </c>
      <c r="N1906" s="4" t="s">
        <v>567</v>
      </c>
      <c r="O1906" s="4" t="s">
        <v>343</v>
      </c>
      <c r="P1906" s="4">
        <v>2</v>
      </c>
      <c r="Q1906" s="4" t="s">
        <v>539</v>
      </c>
      <c r="T1906" s="4">
        <v>0.145</v>
      </c>
      <c r="U1906" s="4">
        <v>0.009</v>
      </c>
      <c r="V1906" s="4">
        <v>258.29</v>
      </c>
      <c r="AG1906" s="4" t="s">
        <v>316</v>
      </c>
      <c r="AH1906" s="4" t="s">
        <v>1608</v>
      </c>
      <c r="AI1906" s="4" t="s">
        <v>1609</v>
      </c>
      <c r="AL1906" s="4" t="s">
        <v>1556</v>
      </c>
      <c r="AM1906" s="4">
        <v>6.56</v>
      </c>
      <c r="AN1906" s="4">
        <v>8.1</v>
      </c>
      <c r="AO1906" s="4">
        <v>168.17</v>
      </c>
      <c r="AQ1906" s="4" t="s">
        <v>7</v>
      </c>
      <c r="AR1906" s="4">
        <v>0.42</v>
      </c>
      <c r="AS1906" s="4" t="s">
        <v>13</v>
      </c>
      <c r="AT1906" s="4">
        <v>253.22</v>
      </c>
      <c r="AU1906" s="4" t="s">
        <v>15</v>
      </c>
      <c r="AV1906" s="4">
        <v>23.62</v>
      </c>
      <c r="AW1906" s="4" t="s">
        <v>12</v>
      </c>
      <c r="AX1906" s="4">
        <v>3.35</v>
      </c>
      <c r="AY1906" s="4" t="s">
        <v>14</v>
      </c>
      <c r="AZ1906" s="4">
        <v>9.55</v>
      </c>
      <c r="BI1906" s="4" t="s">
        <v>321</v>
      </c>
      <c r="BP1906" s="4">
        <v>0.05</v>
      </c>
      <c r="BV1906" s="4" t="s">
        <v>488</v>
      </c>
      <c r="BW1906" s="4">
        <v>25</v>
      </c>
      <c r="BX1906" s="4">
        <v>75</v>
      </c>
      <c r="CX1906" s="4" t="s">
        <v>314</v>
      </c>
      <c r="DD1906" s="4">
        <v>23.52</v>
      </c>
      <c r="DE1906" s="4">
        <v>24.88</v>
      </c>
      <c r="DO1906" s="57"/>
      <c r="DQ1906" s="58">
        <v>0.4</v>
      </c>
      <c r="DR1906" s="55"/>
      <c r="DS1906" s="58">
        <v>0.408938547486033</v>
      </c>
      <c r="DT1906" s="55"/>
      <c r="DY1906" s="1">
        <v>0</v>
      </c>
      <c r="DZ1906" s="1">
        <v>0</v>
      </c>
      <c r="EA1906" s="52">
        <v>-2.23463687150824</v>
      </c>
      <c r="ED1906" s="52">
        <v>-2.23463687150824</v>
      </c>
    </row>
    <row r="1907" customHeight="1" spans="1:134">
      <c r="A1907" s="54">
        <v>70</v>
      </c>
      <c r="B1907" s="4" t="s">
        <v>1599</v>
      </c>
      <c r="C1907" s="5" t="s">
        <v>358</v>
      </c>
      <c r="D1907" s="4" t="s">
        <v>300</v>
      </c>
      <c r="E1907" s="4" t="s">
        <v>1603</v>
      </c>
      <c r="N1907" s="4" t="s">
        <v>567</v>
      </c>
      <c r="O1907" s="4" t="s">
        <v>343</v>
      </c>
      <c r="P1907" s="4">
        <v>2</v>
      </c>
      <c r="Q1907" s="4" t="s">
        <v>539</v>
      </c>
      <c r="T1907" s="4">
        <v>0.145</v>
      </c>
      <c r="U1907" s="4">
        <v>0.009</v>
      </c>
      <c r="V1907" s="4">
        <v>258.29</v>
      </c>
      <c r="AG1907" s="4" t="s">
        <v>316</v>
      </c>
      <c r="AH1907" s="4" t="s">
        <v>1608</v>
      </c>
      <c r="AI1907" s="4" t="s">
        <v>1609</v>
      </c>
      <c r="AL1907" s="4" t="s">
        <v>1556</v>
      </c>
      <c r="AM1907" s="4">
        <v>6.56</v>
      </c>
      <c r="AN1907" s="4">
        <v>8.1</v>
      </c>
      <c r="AO1907" s="4">
        <v>168.17</v>
      </c>
      <c r="AQ1907" s="4" t="s">
        <v>7</v>
      </c>
      <c r="AR1907" s="4">
        <v>0.42</v>
      </c>
      <c r="AS1907" s="4" t="s">
        <v>13</v>
      </c>
      <c r="AT1907" s="4">
        <v>253.22</v>
      </c>
      <c r="AU1907" s="4" t="s">
        <v>15</v>
      </c>
      <c r="AV1907" s="4">
        <v>23.62</v>
      </c>
      <c r="AW1907" s="4" t="s">
        <v>12</v>
      </c>
      <c r="AX1907" s="4">
        <v>3.35</v>
      </c>
      <c r="AY1907" s="4" t="s">
        <v>14</v>
      </c>
      <c r="AZ1907" s="4">
        <v>9.55</v>
      </c>
      <c r="BI1907" s="4" t="s">
        <v>321</v>
      </c>
      <c r="BP1907" s="4">
        <v>0.1</v>
      </c>
      <c r="BV1907" s="4" t="s">
        <v>1606</v>
      </c>
      <c r="BW1907" s="4">
        <v>25</v>
      </c>
      <c r="BX1907" s="4">
        <v>75</v>
      </c>
      <c r="CX1907" s="4" t="s">
        <v>314</v>
      </c>
      <c r="DD1907" s="4">
        <v>23.52</v>
      </c>
      <c r="DE1907" s="4">
        <v>24.88</v>
      </c>
      <c r="DO1907" s="57"/>
      <c r="DQ1907" s="58">
        <v>0.303910614525139</v>
      </c>
      <c r="DR1907" s="55"/>
      <c r="DS1907" s="58">
        <v>0.259217877094972</v>
      </c>
      <c r="DT1907" s="55"/>
      <c r="DY1907" s="1">
        <v>0</v>
      </c>
      <c r="DZ1907" s="1">
        <v>0</v>
      </c>
      <c r="EA1907" s="52">
        <v>14.705882352941</v>
      </c>
      <c r="ED1907" s="52">
        <v>14.705882352941</v>
      </c>
    </row>
    <row r="1908" customHeight="1" spans="1:134">
      <c r="A1908" s="54">
        <v>70</v>
      </c>
      <c r="B1908" s="4" t="s">
        <v>1599</v>
      </c>
      <c r="C1908" s="5" t="s">
        <v>358</v>
      </c>
      <c r="D1908" s="4" t="s">
        <v>300</v>
      </c>
      <c r="E1908" s="4" t="s">
        <v>1603</v>
      </c>
      <c r="N1908" s="4" t="s">
        <v>567</v>
      </c>
      <c r="O1908" s="4" t="s">
        <v>343</v>
      </c>
      <c r="P1908" s="4">
        <v>2</v>
      </c>
      <c r="Q1908" s="4" t="s">
        <v>539</v>
      </c>
      <c r="T1908" s="4">
        <v>0.145</v>
      </c>
      <c r="U1908" s="4">
        <v>0.009</v>
      </c>
      <c r="V1908" s="4">
        <v>258.29</v>
      </c>
      <c r="AG1908" s="4" t="s">
        <v>316</v>
      </c>
      <c r="AH1908" s="4" t="s">
        <v>1608</v>
      </c>
      <c r="AI1908" s="4" t="s">
        <v>1609</v>
      </c>
      <c r="AL1908" s="4" t="s">
        <v>1556</v>
      </c>
      <c r="AM1908" s="4">
        <v>6.56</v>
      </c>
      <c r="AN1908" s="4">
        <v>8.1</v>
      </c>
      <c r="AO1908" s="4">
        <v>168.17</v>
      </c>
      <c r="AQ1908" s="4" t="s">
        <v>7</v>
      </c>
      <c r="AR1908" s="4">
        <v>0.42</v>
      </c>
      <c r="AS1908" s="4" t="s">
        <v>13</v>
      </c>
      <c r="AT1908" s="4">
        <v>253.22</v>
      </c>
      <c r="AU1908" s="4" t="s">
        <v>15</v>
      </c>
      <c r="AV1908" s="4">
        <v>23.62</v>
      </c>
      <c r="AW1908" s="4" t="s">
        <v>12</v>
      </c>
      <c r="AX1908" s="4">
        <v>3.35</v>
      </c>
      <c r="AY1908" s="4" t="s">
        <v>14</v>
      </c>
      <c r="AZ1908" s="4">
        <v>9.55</v>
      </c>
      <c r="BI1908" s="4" t="s">
        <v>321</v>
      </c>
      <c r="BP1908" s="4">
        <v>0.1</v>
      </c>
      <c r="BV1908" s="4" t="s">
        <v>1607</v>
      </c>
      <c r="BW1908" s="4">
        <v>25</v>
      </c>
      <c r="BX1908" s="4">
        <v>75</v>
      </c>
      <c r="CX1908" s="4" t="s">
        <v>314</v>
      </c>
      <c r="DD1908" s="4">
        <v>23.52</v>
      </c>
      <c r="DE1908" s="4">
        <v>24.88</v>
      </c>
      <c r="DO1908" s="57"/>
      <c r="DQ1908" s="58">
        <v>0.40558659217877</v>
      </c>
      <c r="DR1908" s="55"/>
      <c r="DS1908" s="58">
        <v>0.35195530726257</v>
      </c>
      <c r="DT1908" s="55"/>
      <c r="DY1908" s="1">
        <v>0</v>
      </c>
      <c r="DZ1908" s="1">
        <v>0</v>
      </c>
      <c r="EA1908" s="52">
        <v>13.2231404958675</v>
      </c>
      <c r="ED1908" s="52">
        <v>13.2231404958675</v>
      </c>
    </row>
    <row r="1909" customHeight="1" spans="1:134">
      <c r="A1909" s="54">
        <v>70</v>
      </c>
      <c r="B1909" s="4" t="s">
        <v>1599</v>
      </c>
      <c r="C1909" s="5" t="s">
        <v>358</v>
      </c>
      <c r="D1909" s="4" t="s">
        <v>300</v>
      </c>
      <c r="E1909" s="4" t="s">
        <v>1603</v>
      </c>
      <c r="N1909" s="4" t="s">
        <v>567</v>
      </c>
      <c r="O1909" s="4" t="s">
        <v>343</v>
      </c>
      <c r="P1909" s="4">
        <v>2</v>
      </c>
      <c r="Q1909" s="4" t="s">
        <v>539</v>
      </c>
      <c r="T1909" s="4">
        <v>0.145</v>
      </c>
      <c r="U1909" s="4">
        <v>0.009</v>
      </c>
      <c r="V1909" s="4">
        <v>258.29</v>
      </c>
      <c r="AG1909" s="4" t="s">
        <v>316</v>
      </c>
      <c r="AH1909" s="4" t="s">
        <v>1608</v>
      </c>
      <c r="AI1909" s="4" t="s">
        <v>1609</v>
      </c>
      <c r="AL1909" s="4" t="s">
        <v>1556</v>
      </c>
      <c r="AM1909" s="4">
        <v>6.56</v>
      </c>
      <c r="AN1909" s="4">
        <v>8.1</v>
      </c>
      <c r="AO1909" s="4">
        <v>168.17</v>
      </c>
      <c r="AQ1909" s="4" t="s">
        <v>7</v>
      </c>
      <c r="AR1909" s="4">
        <v>0.42</v>
      </c>
      <c r="AS1909" s="4" t="s">
        <v>13</v>
      </c>
      <c r="AT1909" s="4">
        <v>253.22</v>
      </c>
      <c r="AU1909" s="4" t="s">
        <v>15</v>
      </c>
      <c r="AV1909" s="4">
        <v>23.62</v>
      </c>
      <c r="AW1909" s="4" t="s">
        <v>12</v>
      </c>
      <c r="AX1909" s="4">
        <v>3.35</v>
      </c>
      <c r="AY1909" s="4" t="s">
        <v>14</v>
      </c>
      <c r="AZ1909" s="4">
        <v>9.55</v>
      </c>
      <c r="BI1909" s="4" t="s">
        <v>321</v>
      </c>
      <c r="BP1909" s="4">
        <v>0.1</v>
      </c>
      <c r="BV1909" s="4" t="s">
        <v>1552</v>
      </c>
      <c r="BW1909" s="4">
        <v>25</v>
      </c>
      <c r="BX1909" s="4">
        <v>75</v>
      </c>
      <c r="CX1909" s="4" t="s">
        <v>314</v>
      </c>
      <c r="DD1909" s="4">
        <v>23.52</v>
      </c>
      <c r="DE1909" s="4">
        <v>24.88</v>
      </c>
      <c r="DO1909" s="57"/>
      <c r="DQ1909" s="58">
        <v>0.353072625698323</v>
      </c>
      <c r="DR1909" s="55"/>
      <c r="DS1909" s="58">
        <v>0.308379888268156</v>
      </c>
      <c r="DT1909" s="55"/>
      <c r="DY1909" s="1">
        <v>0</v>
      </c>
      <c r="DZ1909" s="1">
        <v>0</v>
      </c>
      <c r="EA1909" s="52">
        <v>12.6582278481011</v>
      </c>
      <c r="ED1909" s="52">
        <v>12.6582278481011</v>
      </c>
    </row>
    <row r="1910" customHeight="1" spans="1:134">
      <c r="A1910" s="54">
        <v>70</v>
      </c>
      <c r="B1910" s="4" t="s">
        <v>1599</v>
      </c>
      <c r="C1910" s="5" t="s">
        <v>358</v>
      </c>
      <c r="D1910" s="4" t="s">
        <v>300</v>
      </c>
      <c r="E1910" s="4" t="s">
        <v>1603</v>
      </c>
      <c r="N1910" s="4" t="s">
        <v>567</v>
      </c>
      <c r="O1910" s="4" t="s">
        <v>343</v>
      </c>
      <c r="P1910" s="4">
        <v>2</v>
      </c>
      <c r="Q1910" s="4" t="s">
        <v>539</v>
      </c>
      <c r="T1910" s="4">
        <v>0.145</v>
      </c>
      <c r="U1910" s="4">
        <v>0.009</v>
      </c>
      <c r="V1910" s="4">
        <v>258.29</v>
      </c>
      <c r="AG1910" s="4" t="s">
        <v>316</v>
      </c>
      <c r="AH1910" s="4" t="s">
        <v>1608</v>
      </c>
      <c r="AI1910" s="4" t="s">
        <v>1609</v>
      </c>
      <c r="AL1910" s="4" t="s">
        <v>1556</v>
      </c>
      <c r="AM1910" s="4">
        <v>6.56</v>
      </c>
      <c r="AN1910" s="4">
        <v>8.1</v>
      </c>
      <c r="AO1910" s="4">
        <v>168.17</v>
      </c>
      <c r="AQ1910" s="4" t="s">
        <v>7</v>
      </c>
      <c r="AR1910" s="4">
        <v>0.42</v>
      </c>
      <c r="AS1910" s="4" t="s">
        <v>13</v>
      </c>
      <c r="AT1910" s="4">
        <v>253.22</v>
      </c>
      <c r="AU1910" s="4" t="s">
        <v>15</v>
      </c>
      <c r="AV1910" s="4">
        <v>23.62</v>
      </c>
      <c r="AW1910" s="4" t="s">
        <v>12</v>
      </c>
      <c r="AX1910" s="4">
        <v>3.35</v>
      </c>
      <c r="AY1910" s="4" t="s">
        <v>14</v>
      </c>
      <c r="AZ1910" s="4">
        <v>9.55</v>
      </c>
      <c r="BI1910" s="4" t="s">
        <v>321</v>
      </c>
      <c r="BP1910" s="4">
        <v>0.1</v>
      </c>
      <c r="BV1910" s="4" t="s">
        <v>488</v>
      </c>
      <c r="BW1910" s="4">
        <v>25</v>
      </c>
      <c r="BX1910" s="4">
        <v>75</v>
      </c>
      <c r="CX1910" s="4" t="s">
        <v>314</v>
      </c>
      <c r="DD1910" s="4">
        <v>23.52</v>
      </c>
      <c r="DE1910" s="4">
        <v>24.88</v>
      </c>
      <c r="DO1910" s="57"/>
      <c r="DQ1910" s="58">
        <v>0.4</v>
      </c>
      <c r="DR1910" s="55"/>
      <c r="DS1910" s="58">
        <v>0.435754189944133</v>
      </c>
      <c r="DT1910" s="55"/>
      <c r="DY1910" s="1">
        <v>0</v>
      </c>
      <c r="DZ1910" s="1">
        <v>0</v>
      </c>
      <c r="EA1910" s="52">
        <v>-8.93854748603325</v>
      </c>
      <c r="ED1910" s="52">
        <v>-8.93854748603325</v>
      </c>
    </row>
    <row r="1911" customHeight="1" spans="1:134">
      <c r="A1911" s="54">
        <v>70</v>
      </c>
      <c r="B1911" s="4" t="s">
        <v>1599</v>
      </c>
      <c r="C1911" s="5" t="s">
        <v>1610</v>
      </c>
      <c r="D1911" s="4" t="s">
        <v>300</v>
      </c>
      <c r="E1911" s="4" t="s">
        <v>1603</v>
      </c>
      <c r="F1911" s="4" t="s">
        <v>328</v>
      </c>
      <c r="G1911" s="4" t="s">
        <v>1611</v>
      </c>
      <c r="N1911" s="4" t="s">
        <v>567</v>
      </c>
      <c r="O1911" s="4" t="s">
        <v>343</v>
      </c>
      <c r="P1911" s="4">
        <v>2</v>
      </c>
      <c r="Q1911" s="4" t="s">
        <v>539</v>
      </c>
      <c r="T1911" s="4">
        <v>27.68</v>
      </c>
      <c r="U1911" s="4">
        <v>0.209</v>
      </c>
      <c r="V1911" s="4">
        <v>29.59</v>
      </c>
      <c r="AG1911" s="4" t="s">
        <v>316</v>
      </c>
      <c r="AH1911" s="4" t="s">
        <v>1601</v>
      </c>
      <c r="AI1911" s="4" t="s">
        <v>1602</v>
      </c>
      <c r="AL1911" s="4" t="s">
        <v>1556</v>
      </c>
      <c r="AM1911" s="4">
        <v>8.78</v>
      </c>
      <c r="AN1911" s="4">
        <v>4.32</v>
      </c>
      <c r="AO1911" s="4">
        <v>180.29</v>
      </c>
      <c r="AQ1911" s="4" t="s">
        <v>7</v>
      </c>
      <c r="AR1911" s="4">
        <v>1.25</v>
      </c>
      <c r="AS1911" s="4" t="s">
        <v>13</v>
      </c>
      <c r="AT1911" s="4">
        <v>138.52</v>
      </c>
      <c r="AU1911" s="4" t="s">
        <v>15</v>
      </c>
      <c r="AV1911" s="4">
        <v>27.65</v>
      </c>
      <c r="AW1911" s="4" t="s">
        <v>12</v>
      </c>
      <c r="AX1911" s="4">
        <v>2.44</v>
      </c>
      <c r="AY1911" s="4" t="s">
        <v>14</v>
      </c>
      <c r="AZ1911" s="4">
        <v>5.56</v>
      </c>
      <c r="BI1911" s="4" t="s">
        <v>321</v>
      </c>
      <c r="BP1911" s="4">
        <v>0.1</v>
      </c>
      <c r="BV1911" s="4" t="s">
        <v>522</v>
      </c>
      <c r="BW1911" s="4">
        <v>25</v>
      </c>
      <c r="BX1911" s="4">
        <v>75</v>
      </c>
      <c r="CX1911" s="4" t="s">
        <v>314</v>
      </c>
      <c r="DD1911" s="4">
        <v>38.91</v>
      </c>
      <c r="DE1911" s="4">
        <v>48.54</v>
      </c>
      <c r="DO1911" s="57"/>
      <c r="DQ1911" s="58">
        <v>1.25270964061608</v>
      </c>
      <c r="DR1911" s="55">
        <v>0.03422703936109</v>
      </c>
      <c r="DS1911" s="58">
        <v>0.212207644038792</v>
      </c>
      <c r="DT1911" s="55">
        <v>0.023103251568741</v>
      </c>
      <c r="DY1911" s="1">
        <v>0</v>
      </c>
      <c r="DZ1911" s="1">
        <v>0</v>
      </c>
      <c r="EA1911" s="52">
        <v>83.0601092896173</v>
      </c>
      <c r="ED1911" s="52">
        <v>83.0601092896173</v>
      </c>
    </row>
    <row r="1912" customHeight="1" spans="1:134">
      <c r="A1912" s="54">
        <v>70</v>
      </c>
      <c r="B1912" s="4" t="s">
        <v>1599</v>
      </c>
      <c r="C1912" s="5" t="s">
        <v>1610</v>
      </c>
      <c r="D1912" s="4" t="s">
        <v>300</v>
      </c>
      <c r="E1912" s="4" t="s">
        <v>1603</v>
      </c>
      <c r="F1912" s="4" t="s">
        <v>328</v>
      </c>
      <c r="G1912" s="4" t="s">
        <v>1611</v>
      </c>
      <c r="N1912" s="4" t="s">
        <v>567</v>
      </c>
      <c r="O1912" s="4" t="s">
        <v>343</v>
      </c>
      <c r="P1912" s="4">
        <v>2</v>
      </c>
      <c r="Q1912" s="4" t="s">
        <v>539</v>
      </c>
      <c r="T1912" s="4">
        <v>27.68</v>
      </c>
      <c r="U1912" s="4">
        <v>0.209</v>
      </c>
      <c r="V1912" s="4">
        <v>29.59</v>
      </c>
      <c r="AG1912" s="4" t="s">
        <v>316</v>
      </c>
      <c r="AH1912" s="4" t="s">
        <v>346</v>
      </c>
      <c r="AI1912" s="4" t="s">
        <v>1604</v>
      </c>
      <c r="AL1912" s="4" t="s">
        <v>1556</v>
      </c>
      <c r="AM1912" s="4">
        <v>5.65</v>
      </c>
      <c r="AN1912" s="4">
        <v>7.53</v>
      </c>
      <c r="AO1912" s="4">
        <v>168.17</v>
      </c>
      <c r="AQ1912" s="4" t="s">
        <v>7</v>
      </c>
      <c r="AR1912" s="4">
        <v>0.89</v>
      </c>
      <c r="AS1912" s="4" t="s">
        <v>13</v>
      </c>
      <c r="AT1912" s="4">
        <v>380.94</v>
      </c>
      <c r="AU1912" s="4" t="s">
        <v>15</v>
      </c>
      <c r="AV1912" s="4">
        <v>58.78</v>
      </c>
      <c r="AW1912" s="4" t="s">
        <v>12</v>
      </c>
      <c r="AX1912" s="4">
        <v>5.9</v>
      </c>
      <c r="AY1912" s="4" t="s">
        <v>14</v>
      </c>
      <c r="AZ1912" s="4">
        <v>13.24</v>
      </c>
      <c r="BI1912" s="4" t="s">
        <v>321</v>
      </c>
      <c r="BP1912" s="4">
        <v>0.1</v>
      </c>
      <c r="BV1912" s="4" t="s">
        <v>522</v>
      </c>
      <c r="BW1912" s="4">
        <v>25</v>
      </c>
      <c r="BX1912" s="4">
        <v>75</v>
      </c>
      <c r="CX1912" s="4" t="s">
        <v>314</v>
      </c>
      <c r="DD1912" s="4">
        <v>38.91</v>
      </c>
      <c r="DE1912" s="4">
        <v>48.54</v>
      </c>
      <c r="DO1912" s="57"/>
      <c r="DQ1912" s="58">
        <v>0.899449035812672</v>
      </c>
      <c r="DR1912" s="55">
        <v>0.010330578512397</v>
      </c>
      <c r="DS1912" s="58">
        <v>0.199724517906336</v>
      </c>
      <c r="DT1912" s="50">
        <v>0.015151515151516</v>
      </c>
      <c r="DY1912" s="1">
        <v>0</v>
      </c>
      <c r="DZ1912" s="1">
        <v>0</v>
      </c>
      <c r="EA1912" s="52">
        <v>77.7947932618683</v>
      </c>
      <c r="ED1912" s="52">
        <v>77.7947932618683</v>
      </c>
    </row>
    <row r="1913" customHeight="1" spans="1:134">
      <c r="A1913" s="54">
        <v>70</v>
      </c>
      <c r="B1913" s="4" t="s">
        <v>1599</v>
      </c>
      <c r="C1913" s="5" t="s">
        <v>1610</v>
      </c>
      <c r="D1913" s="4" t="s">
        <v>300</v>
      </c>
      <c r="E1913" s="4" t="s">
        <v>1603</v>
      </c>
      <c r="F1913" s="4" t="s">
        <v>328</v>
      </c>
      <c r="G1913" s="4" t="s">
        <v>1611</v>
      </c>
      <c r="N1913" s="4" t="s">
        <v>567</v>
      </c>
      <c r="O1913" s="4" t="s">
        <v>343</v>
      </c>
      <c r="P1913" s="4">
        <v>2</v>
      </c>
      <c r="Q1913" s="4" t="s">
        <v>539</v>
      </c>
      <c r="T1913" s="4">
        <v>27.68</v>
      </c>
      <c r="U1913" s="4">
        <v>0.209</v>
      </c>
      <c r="V1913" s="4">
        <v>29.59</v>
      </c>
      <c r="AG1913" s="4" t="s">
        <v>316</v>
      </c>
      <c r="AH1913" s="4" t="s">
        <v>1601</v>
      </c>
      <c r="AI1913" s="4" t="s">
        <v>1602</v>
      </c>
      <c r="AL1913" s="4" t="s">
        <v>1556</v>
      </c>
      <c r="AM1913" s="4">
        <v>8.78</v>
      </c>
      <c r="AN1913" s="4">
        <v>4.32</v>
      </c>
      <c r="AO1913" s="4">
        <v>180.29</v>
      </c>
      <c r="AQ1913" s="4" t="s">
        <v>7</v>
      </c>
      <c r="AR1913" s="4">
        <v>1.25</v>
      </c>
      <c r="AS1913" s="4" t="s">
        <v>13</v>
      </c>
      <c r="AT1913" s="4">
        <v>138.52</v>
      </c>
      <c r="AU1913" s="4" t="s">
        <v>15</v>
      </c>
      <c r="AV1913" s="4">
        <v>27.65</v>
      </c>
      <c r="AW1913" s="4" t="s">
        <v>12</v>
      </c>
      <c r="AX1913" s="4">
        <v>2.44</v>
      </c>
      <c r="AY1913" s="4" t="s">
        <v>14</v>
      </c>
      <c r="AZ1913" s="4">
        <v>5.56</v>
      </c>
      <c r="BI1913" s="4" t="s">
        <v>321</v>
      </c>
      <c r="BP1913" s="4">
        <v>0.05</v>
      </c>
      <c r="BV1913" s="4" t="s">
        <v>522</v>
      </c>
      <c r="BW1913" s="4">
        <v>25</v>
      </c>
      <c r="BX1913" s="4">
        <v>75</v>
      </c>
      <c r="CX1913" s="4" t="s">
        <v>314</v>
      </c>
      <c r="DD1913" s="4">
        <v>38.91</v>
      </c>
      <c r="DE1913" s="4">
        <v>48.54</v>
      </c>
      <c r="DO1913" s="57"/>
      <c r="DQ1913" s="58">
        <v>1.25270964061608</v>
      </c>
      <c r="DR1913" s="55">
        <v>0.03422703936109</v>
      </c>
      <c r="DS1913" s="59">
        <v>0.363712374581939</v>
      </c>
      <c r="DT1913" s="50">
        <v>0.020903010033444</v>
      </c>
      <c r="DY1913" s="1">
        <v>0</v>
      </c>
      <c r="DZ1913" s="1">
        <v>0</v>
      </c>
      <c r="EA1913" s="52">
        <v>70.9659475117421</v>
      </c>
      <c r="ED1913" s="52">
        <v>70.9659475117421</v>
      </c>
    </row>
    <row r="1914" customHeight="1" spans="1:134">
      <c r="A1914" s="54">
        <v>70</v>
      </c>
      <c r="B1914" s="4" t="s">
        <v>1599</v>
      </c>
      <c r="C1914" s="5" t="s">
        <v>1610</v>
      </c>
      <c r="D1914" s="4" t="s">
        <v>300</v>
      </c>
      <c r="E1914" s="4" t="s">
        <v>1603</v>
      </c>
      <c r="F1914" s="4" t="s">
        <v>328</v>
      </c>
      <c r="G1914" s="4" t="s">
        <v>1611</v>
      </c>
      <c r="N1914" s="4" t="s">
        <v>567</v>
      </c>
      <c r="O1914" s="4" t="s">
        <v>343</v>
      </c>
      <c r="P1914" s="4">
        <v>2</v>
      </c>
      <c r="Q1914" s="4" t="s">
        <v>539</v>
      </c>
      <c r="T1914" s="4">
        <v>27.68</v>
      </c>
      <c r="U1914" s="4">
        <v>0.209</v>
      </c>
      <c r="V1914" s="4">
        <v>29.59</v>
      </c>
      <c r="AG1914" s="4" t="s">
        <v>316</v>
      </c>
      <c r="AH1914" s="4" t="s">
        <v>346</v>
      </c>
      <c r="AI1914" s="4" t="s">
        <v>1604</v>
      </c>
      <c r="AL1914" s="4" t="s">
        <v>1556</v>
      </c>
      <c r="AM1914" s="4">
        <v>5.65</v>
      </c>
      <c r="AN1914" s="4">
        <v>7.53</v>
      </c>
      <c r="AO1914" s="4">
        <v>168.17</v>
      </c>
      <c r="AQ1914" s="4" t="s">
        <v>7</v>
      </c>
      <c r="AR1914" s="4">
        <v>0.89</v>
      </c>
      <c r="AS1914" s="4" t="s">
        <v>13</v>
      </c>
      <c r="AT1914" s="4">
        <v>380.94</v>
      </c>
      <c r="AU1914" s="4" t="s">
        <v>15</v>
      </c>
      <c r="AV1914" s="4">
        <v>58.78</v>
      </c>
      <c r="AW1914" s="4" t="s">
        <v>12</v>
      </c>
      <c r="AX1914" s="4">
        <v>5.9</v>
      </c>
      <c r="AY1914" s="4" t="s">
        <v>14</v>
      </c>
      <c r="AZ1914" s="4">
        <v>13.24</v>
      </c>
      <c r="BI1914" s="4" t="s">
        <v>321</v>
      </c>
      <c r="BP1914" s="4">
        <v>0.05</v>
      </c>
      <c r="BV1914" s="4" t="s">
        <v>522</v>
      </c>
      <c r="BW1914" s="4">
        <v>25</v>
      </c>
      <c r="BX1914" s="4">
        <v>75</v>
      </c>
      <c r="CX1914" s="4" t="s">
        <v>314</v>
      </c>
      <c r="DD1914" s="4">
        <v>38.91</v>
      </c>
      <c r="DE1914" s="4">
        <v>48.54</v>
      </c>
      <c r="DO1914" s="57"/>
      <c r="DQ1914" s="58">
        <v>0.899449035812672</v>
      </c>
      <c r="DR1914" s="55">
        <v>0.010330578512397</v>
      </c>
      <c r="DS1914" s="50">
        <v>0.290633608815427</v>
      </c>
      <c r="DT1914" s="50">
        <v>0.012396694214877</v>
      </c>
      <c r="DY1914" s="1">
        <v>0</v>
      </c>
      <c r="DZ1914" s="1">
        <v>0</v>
      </c>
      <c r="EA1914" s="52">
        <v>67.687595712098</v>
      </c>
      <c r="ED1914" s="52">
        <v>67.687595712098</v>
      </c>
    </row>
    <row r="1915" customHeight="1" spans="1:134">
      <c r="A1915" s="54">
        <v>70</v>
      </c>
      <c r="B1915" s="4" t="s">
        <v>1599</v>
      </c>
      <c r="C1915" s="5" t="s">
        <v>1610</v>
      </c>
      <c r="D1915" s="4" t="s">
        <v>300</v>
      </c>
      <c r="E1915" s="4" t="s">
        <v>1603</v>
      </c>
      <c r="F1915" s="4" t="s">
        <v>328</v>
      </c>
      <c r="G1915" s="4" t="s">
        <v>1611</v>
      </c>
      <c r="N1915" s="4" t="s">
        <v>567</v>
      </c>
      <c r="O1915" s="4" t="s">
        <v>343</v>
      </c>
      <c r="P1915" s="4">
        <v>2</v>
      </c>
      <c r="Q1915" s="4" t="s">
        <v>539</v>
      </c>
      <c r="T1915" s="4">
        <v>27.68</v>
      </c>
      <c r="U1915" s="4">
        <v>0.209</v>
      </c>
      <c r="V1915" s="4">
        <v>29.59</v>
      </c>
      <c r="AG1915" s="4" t="s">
        <v>316</v>
      </c>
      <c r="AH1915" s="4" t="s">
        <v>1601</v>
      </c>
      <c r="AI1915" s="4" t="s">
        <v>1602</v>
      </c>
      <c r="AL1915" s="4" t="s">
        <v>1556</v>
      </c>
      <c r="AM1915" s="4">
        <v>8.78</v>
      </c>
      <c r="AN1915" s="4">
        <v>4.32</v>
      </c>
      <c r="AO1915" s="4">
        <v>180.29</v>
      </c>
      <c r="AQ1915" s="4" t="s">
        <v>7</v>
      </c>
      <c r="AR1915" s="4">
        <v>1.25</v>
      </c>
      <c r="AS1915" s="4" t="s">
        <v>13</v>
      </c>
      <c r="AT1915" s="4">
        <v>138.52</v>
      </c>
      <c r="AU1915" s="4" t="s">
        <v>15</v>
      </c>
      <c r="AV1915" s="4">
        <v>27.65</v>
      </c>
      <c r="AW1915" s="4" t="s">
        <v>12</v>
      </c>
      <c r="AX1915" s="4">
        <v>2.44</v>
      </c>
      <c r="AY1915" s="4" t="s">
        <v>14</v>
      </c>
      <c r="AZ1915" s="4">
        <v>5.56</v>
      </c>
      <c r="BI1915" s="4" t="s">
        <v>321</v>
      </c>
      <c r="BP1915" s="4">
        <v>0.025</v>
      </c>
      <c r="BV1915" s="4" t="s">
        <v>522</v>
      </c>
      <c r="BW1915" s="4">
        <v>25</v>
      </c>
      <c r="BX1915" s="4">
        <v>75</v>
      </c>
      <c r="CX1915" s="4" t="s">
        <v>314</v>
      </c>
      <c r="DD1915" s="4">
        <v>38.91</v>
      </c>
      <c r="DE1915" s="4">
        <v>48.54</v>
      </c>
      <c r="DO1915" s="57"/>
      <c r="DQ1915" s="58">
        <v>1.25270964061608</v>
      </c>
      <c r="DR1915" s="55">
        <v>0.03422703936109</v>
      </c>
      <c r="DS1915" s="50">
        <v>0.586120401337792</v>
      </c>
      <c r="DT1915" s="50">
        <v>0.00501672240802598</v>
      </c>
      <c r="DY1915" s="1">
        <v>0</v>
      </c>
      <c r="DZ1915" s="1">
        <v>0</v>
      </c>
      <c r="EA1915" s="52">
        <v>53.211791277543</v>
      </c>
      <c r="ED1915" s="52">
        <v>53.211791277543</v>
      </c>
    </row>
    <row r="1916" customHeight="1" spans="1:134">
      <c r="A1916" s="54">
        <v>70</v>
      </c>
      <c r="B1916" s="4" t="s">
        <v>1599</v>
      </c>
      <c r="C1916" s="5" t="s">
        <v>1610</v>
      </c>
      <c r="D1916" s="4" t="s">
        <v>300</v>
      </c>
      <c r="E1916" s="4" t="s">
        <v>1603</v>
      </c>
      <c r="F1916" s="4" t="s">
        <v>328</v>
      </c>
      <c r="G1916" s="4" t="s">
        <v>1611</v>
      </c>
      <c r="N1916" s="4" t="s">
        <v>567</v>
      </c>
      <c r="O1916" s="4" t="s">
        <v>343</v>
      </c>
      <c r="P1916" s="4">
        <v>2</v>
      </c>
      <c r="Q1916" s="4" t="s">
        <v>539</v>
      </c>
      <c r="T1916" s="4">
        <v>27.68</v>
      </c>
      <c r="U1916" s="4">
        <v>0.209</v>
      </c>
      <c r="V1916" s="4">
        <v>29.59</v>
      </c>
      <c r="AG1916" s="4" t="s">
        <v>316</v>
      </c>
      <c r="AH1916" s="4" t="s">
        <v>346</v>
      </c>
      <c r="AI1916" s="4" t="s">
        <v>1604</v>
      </c>
      <c r="AL1916" s="4" t="s">
        <v>1556</v>
      </c>
      <c r="AM1916" s="4">
        <v>5.65</v>
      </c>
      <c r="AN1916" s="4">
        <v>7.53</v>
      </c>
      <c r="AO1916" s="4">
        <v>168.17</v>
      </c>
      <c r="AQ1916" s="4" t="s">
        <v>7</v>
      </c>
      <c r="AR1916" s="4">
        <v>0.89</v>
      </c>
      <c r="AS1916" s="4" t="s">
        <v>13</v>
      </c>
      <c r="AT1916" s="4">
        <v>380.94</v>
      </c>
      <c r="AU1916" s="4" t="s">
        <v>15</v>
      </c>
      <c r="AV1916" s="4">
        <v>58.78</v>
      </c>
      <c r="AW1916" s="4" t="s">
        <v>12</v>
      </c>
      <c r="AX1916" s="4">
        <v>5.9</v>
      </c>
      <c r="AY1916" s="4" t="s">
        <v>14</v>
      </c>
      <c r="AZ1916" s="4">
        <v>13.24</v>
      </c>
      <c r="BI1916" s="4" t="s">
        <v>321</v>
      </c>
      <c r="BP1916" s="4">
        <v>0.025</v>
      </c>
      <c r="BV1916" s="4" t="s">
        <v>522</v>
      </c>
      <c r="BW1916" s="4">
        <v>25</v>
      </c>
      <c r="BX1916" s="4">
        <v>75</v>
      </c>
      <c r="CX1916" s="4" t="s">
        <v>314</v>
      </c>
      <c r="DD1916" s="4">
        <v>38.91</v>
      </c>
      <c r="DE1916" s="4">
        <v>48.54</v>
      </c>
      <c r="DO1916" s="57"/>
      <c r="DQ1916" s="58">
        <v>0.899449035812672</v>
      </c>
      <c r="DR1916" s="55">
        <v>0.010330578512397</v>
      </c>
      <c r="DS1916" s="50">
        <v>0.401379310344828</v>
      </c>
      <c r="DT1916" s="50">
        <v>0.013103448275863</v>
      </c>
      <c r="DY1916" s="1">
        <v>0</v>
      </c>
      <c r="DZ1916" s="1">
        <v>0</v>
      </c>
      <c r="EA1916" s="52">
        <v>55.3749801974969</v>
      </c>
      <c r="ED1916" s="52">
        <v>55.3749801974969</v>
      </c>
    </row>
    <row r="1917" customHeight="1" spans="1:134">
      <c r="A1917" s="54">
        <v>70</v>
      </c>
      <c r="B1917" s="4" t="s">
        <v>1599</v>
      </c>
      <c r="C1917" s="5" t="s">
        <v>1610</v>
      </c>
      <c r="D1917" s="4" t="s">
        <v>300</v>
      </c>
      <c r="E1917" s="4" t="s">
        <v>1603</v>
      </c>
      <c r="F1917" s="4" t="s">
        <v>328</v>
      </c>
      <c r="G1917" s="4" t="s">
        <v>1611</v>
      </c>
      <c r="N1917" s="4" t="s">
        <v>567</v>
      </c>
      <c r="O1917" s="4" t="s">
        <v>343</v>
      </c>
      <c r="P1917" s="4">
        <v>2</v>
      </c>
      <c r="Q1917" s="4" t="s">
        <v>539</v>
      </c>
      <c r="T1917" s="4">
        <v>27.68</v>
      </c>
      <c r="U1917" s="4">
        <v>0.209</v>
      </c>
      <c r="V1917" s="4">
        <v>29.59</v>
      </c>
      <c r="AG1917" s="4" t="s">
        <v>316</v>
      </c>
      <c r="AH1917" s="4" t="s">
        <v>1601</v>
      </c>
      <c r="AI1917" s="4" t="s">
        <v>1605</v>
      </c>
      <c r="AL1917" s="4" t="s">
        <v>1556</v>
      </c>
      <c r="AM1917" s="4">
        <v>7.73</v>
      </c>
      <c r="AN1917" s="4">
        <v>4.28</v>
      </c>
      <c r="AO1917" s="4">
        <v>207.91</v>
      </c>
      <c r="AQ1917" s="4" t="s">
        <v>7</v>
      </c>
      <c r="AR1917" s="4">
        <v>1.12</v>
      </c>
      <c r="AS1917" s="4" t="s">
        <v>13</v>
      </c>
      <c r="AT1917" s="4">
        <v>52.39</v>
      </c>
      <c r="AU1917" s="4" t="s">
        <v>15</v>
      </c>
      <c r="AV1917" s="4">
        <v>96</v>
      </c>
      <c r="AW1917" s="4" t="s">
        <v>12</v>
      </c>
      <c r="AX1917" s="4">
        <v>3.45</v>
      </c>
      <c r="AY1917" s="4" t="s">
        <v>14</v>
      </c>
      <c r="AZ1917" s="4">
        <v>4.95</v>
      </c>
      <c r="BI1917" s="4" t="s">
        <v>321</v>
      </c>
      <c r="BP1917" s="4">
        <v>0.025</v>
      </c>
      <c r="BV1917" s="4" t="s">
        <v>1606</v>
      </c>
      <c r="BW1917" s="4">
        <v>25</v>
      </c>
      <c r="BX1917" s="4">
        <v>75</v>
      </c>
      <c r="CX1917" s="4" t="s">
        <v>314</v>
      </c>
      <c r="DD1917" s="4">
        <v>38.91</v>
      </c>
      <c r="DE1917" s="4">
        <v>48.54</v>
      </c>
      <c r="DO1917" s="57"/>
      <c r="DQ1917" s="60">
        <v>1.11958762886597</v>
      </c>
      <c r="DR1917" s="55"/>
      <c r="DS1917" s="58">
        <v>0.545454545454545</v>
      </c>
      <c r="DT1917" s="55"/>
      <c r="DY1917" s="1">
        <v>0</v>
      </c>
      <c r="DZ1917" s="1">
        <v>0</v>
      </c>
      <c r="EA1917" s="52">
        <v>51.2807634354592</v>
      </c>
      <c r="ED1917" s="52">
        <v>51.2807634354592</v>
      </c>
    </row>
    <row r="1918" customHeight="1" spans="1:134">
      <c r="A1918" s="54">
        <v>70</v>
      </c>
      <c r="B1918" s="4" t="s">
        <v>1599</v>
      </c>
      <c r="C1918" s="5" t="s">
        <v>1610</v>
      </c>
      <c r="D1918" s="4" t="s">
        <v>300</v>
      </c>
      <c r="E1918" s="4" t="s">
        <v>1603</v>
      </c>
      <c r="F1918" s="4" t="s">
        <v>328</v>
      </c>
      <c r="G1918" s="4" t="s">
        <v>1611</v>
      </c>
      <c r="N1918" s="4" t="s">
        <v>567</v>
      </c>
      <c r="O1918" s="4" t="s">
        <v>343</v>
      </c>
      <c r="P1918" s="4">
        <v>2</v>
      </c>
      <c r="Q1918" s="4" t="s">
        <v>539</v>
      </c>
      <c r="T1918" s="4">
        <v>27.68</v>
      </c>
      <c r="U1918" s="4">
        <v>0.209</v>
      </c>
      <c r="V1918" s="4">
        <v>29.59</v>
      </c>
      <c r="AG1918" s="4" t="s">
        <v>316</v>
      </c>
      <c r="AH1918" s="4" t="s">
        <v>1601</v>
      </c>
      <c r="AI1918" s="4" t="s">
        <v>1605</v>
      </c>
      <c r="AL1918" s="4" t="s">
        <v>1556</v>
      </c>
      <c r="AM1918" s="4">
        <v>7.73</v>
      </c>
      <c r="AN1918" s="4">
        <v>4.28</v>
      </c>
      <c r="AO1918" s="4">
        <v>207.91</v>
      </c>
      <c r="AQ1918" s="4" t="s">
        <v>7</v>
      </c>
      <c r="AR1918" s="4">
        <v>1.12</v>
      </c>
      <c r="AS1918" s="4" t="s">
        <v>13</v>
      </c>
      <c r="AT1918" s="4">
        <v>52.39</v>
      </c>
      <c r="AU1918" s="4" t="s">
        <v>15</v>
      </c>
      <c r="AV1918" s="4">
        <v>96</v>
      </c>
      <c r="AW1918" s="4" t="s">
        <v>12</v>
      </c>
      <c r="AX1918" s="4">
        <v>3.45</v>
      </c>
      <c r="AY1918" s="4" t="s">
        <v>14</v>
      </c>
      <c r="AZ1918" s="4">
        <v>4.95</v>
      </c>
      <c r="BI1918" s="4" t="s">
        <v>321</v>
      </c>
      <c r="BP1918" s="4">
        <v>0.025</v>
      </c>
      <c r="BV1918" s="4" t="s">
        <v>1607</v>
      </c>
      <c r="BW1918" s="4">
        <v>25</v>
      </c>
      <c r="BX1918" s="4">
        <v>75</v>
      </c>
      <c r="CX1918" s="4" t="s">
        <v>314</v>
      </c>
      <c r="DD1918" s="4">
        <v>38.91</v>
      </c>
      <c r="DE1918" s="4">
        <v>48.54</v>
      </c>
      <c r="DO1918" s="57"/>
      <c r="DQ1918" s="60">
        <v>1.2680412371134</v>
      </c>
      <c r="DR1918" s="55"/>
      <c r="DS1918" s="58">
        <v>0.685714285714285</v>
      </c>
      <c r="DT1918" s="55"/>
      <c r="DY1918" s="1">
        <v>0</v>
      </c>
      <c r="DZ1918" s="1">
        <v>0</v>
      </c>
      <c r="EA1918" s="52">
        <v>45.9233449477352</v>
      </c>
      <c r="ED1918" s="52">
        <v>45.9233449477352</v>
      </c>
    </row>
    <row r="1919" customHeight="1" spans="1:134">
      <c r="A1919" s="54">
        <v>70</v>
      </c>
      <c r="B1919" s="4" t="s">
        <v>1599</v>
      </c>
      <c r="C1919" s="5" t="s">
        <v>1610</v>
      </c>
      <c r="D1919" s="4" t="s">
        <v>300</v>
      </c>
      <c r="E1919" s="4" t="s">
        <v>1603</v>
      </c>
      <c r="F1919" s="4" t="s">
        <v>328</v>
      </c>
      <c r="G1919" s="4" t="s">
        <v>1611</v>
      </c>
      <c r="N1919" s="4" t="s">
        <v>567</v>
      </c>
      <c r="O1919" s="4" t="s">
        <v>343</v>
      </c>
      <c r="P1919" s="4">
        <v>2</v>
      </c>
      <c r="Q1919" s="4" t="s">
        <v>539</v>
      </c>
      <c r="T1919" s="4">
        <v>27.68</v>
      </c>
      <c r="U1919" s="4">
        <v>0.209</v>
      </c>
      <c r="V1919" s="4">
        <v>29.59</v>
      </c>
      <c r="AG1919" s="4" t="s">
        <v>316</v>
      </c>
      <c r="AH1919" s="4" t="s">
        <v>1601</v>
      </c>
      <c r="AI1919" s="4" t="s">
        <v>1605</v>
      </c>
      <c r="AL1919" s="4" t="s">
        <v>1556</v>
      </c>
      <c r="AM1919" s="4">
        <v>7.73</v>
      </c>
      <c r="AN1919" s="4">
        <v>4.28</v>
      </c>
      <c r="AO1919" s="4">
        <v>207.91</v>
      </c>
      <c r="AQ1919" s="4" t="s">
        <v>7</v>
      </c>
      <c r="AR1919" s="4">
        <v>1.12</v>
      </c>
      <c r="AS1919" s="4" t="s">
        <v>13</v>
      </c>
      <c r="AT1919" s="4">
        <v>52.39</v>
      </c>
      <c r="AU1919" s="4" t="s">
        <v>15</v>
      </c>
      <c r="AV1919" s="4">
        <v>96</v>
      </c>
      <c r="AW1919" s="4" t="s">
        <v>12</v>
      </c>
      <c r="AX1919" s="4">
        <v>3.45</v>
      </c>
      <c r="AY1919" s="4" t="s">
        <v>14</v>
      </c>
      <c r="AZ1919" s="4">
        <v>4.95</v>
      </c>
      <c r="BI1919" s="4" t="s">
        <v>321</v>
      </c>
      <c r="BP1919" s="4">
        <v>0.025</v>
      </c>
      <c r="BV1919" s="4" t="s">
        <v>1552</v>
      </c>
      <c r="BW1919" s="4">
        <v>25</v>
      </c>
      <c r="BX1919" s="4">
        <v>75</v>
      </c>
      <c r="CX1919" s="4" t="s">
        <v>314</v>
      </c>
      <c r="DD1919" s="4">
        <v>38.91</v>
      </c>
      <c r="DE1919" s="4">
        <v>48.54</v>
      </c>
      <c r="DO1919" s="57"/>
      <c r="DQ1919" s="60">
        <v>1.11649484536082</v>
      </c>
      <c r="DR1919" s="55"/>
      <c r="DS1919" s="58">
        <v>0.601558441558441</v>
      </c>
      <c r="DT1919" s="55"/>
      <c r="DY1919" s="1">
        <v>0</v>
      </c>
      <c r="DZ1919" s="1">
        <v>0</v>
      </c>
      <c r="EA1919" s="52">
        <v>46.1208044033527</v>
      </c>
      <c r="ED1919" s="52">
        <v>46.1208044033527</v>
      </c>
    </row>
    <row r="1920" customHeight="1" spans="1:134">
      <c r="A1920" s="54">
        <v>70</v>
      </c>
      <c r="B1920" s="4" t="s">
        <v>1599</v>
      </c>
      <c r="C1920" s="5" t="s">
        <v>1610</v>
      </c>
      <c r="D1920" s="4" t="s">
        <v>300</v>
      </c>
      <c r="E1920" s="4" t="s">
        <v>1603</v>
      </c>
      <c r="F1920" s="4" t="s">
        <v>328</v>
      </c>
      <c r="G1920" s="4" t="s">
        <v>1611</v>
      </c>
      <c r="N1920" s="4" t="s">
        <v>567</v>
      </c>
      <c r="O1920" s="4" t="s">
        <v>343</v>
      </c>
      <c r="P1920" s="4">
        <v>2</v>
      </c>
      <c r="Q1920" s="4" t="s">
        <v>539</v>
      </c>
      <c r="T1920" s="4">
        <v>27.68</v>
      </c>
      <c r="U1920" s="4">
        <v>0.209</v>
      </c>
      <c r="V1920" s="4">
        <v>29.59</v>
      </c>
      <c r="AG1920" s="4" t="s">
        <v>316</v>
      </c>
      <c r="AH1920" s="4" t="s">
        <v>1601</v>
      </c>
      <c r="AI1920" s="4" t="s">
        <v>1605</v>
      </c>
      <c r="AL1920" s="4" t="s">
        <v>1556</v>
      </c>
      <c r="AM1920" s="4">
        <v>7.73</v>
      </c>
      <c r="AN1920" s="4">
        <v>4.28</v>
      </c>
      <c r="AO1920" s="4">
        <v>207.91</v>
      </c>
      <c r="AQ1920" s="4" t="s">
        <v>7</v>
      </c>
      <c r="AR1920" s="4">
        <v>1.12</v>
      </c>
      <c r="AS1920" s="4" t="s">
        <v>13</v>
      </c>
      <c r="AT1920" s="4">
        <v>52.39</v>
      </c>
      <c r="AU1920" s="4" t="s">
        <v>15</v>
      </c>
      <c r="AV1920" s="4">
        <v>96</v>
      </c>
      <c r="AW1920" s="4" t="s">
        <v>12</v>
      </c>
      <c r="AX1920" s="4">
        <v>3.45</v>
      </c>
      <c r="AY1920" s="4" t="s">
        <v>14</v>
      </c>
      <c r="AZ1920" s="4">
        <v>4.95</v>
      </c>
      <c r="BI1920" s="4" t="s">
        <v>321</v>
      </c>
      <c r="BP1920" s="4">
        <v>0.025</v>
      </c>
      <c r="BV1920" s="4" t="s">
        <v>488</v>
      </c>
      <c r="BW1920" s="4">
        <v>25</v>
      </c>
      <c r="BX1920" s="4">
        <v>75</v>
      </c>
      <c r="CX1920" s="4" t="s">
        <v>314</v>
      </c>
      <c r="DD1920" s="4">
        <v>38.91</v>
      </c>
      <c r="DE1920" s="4">
        <v>48.54</v>
      </c>
      <c r="DO1920" s="57"/>
      <c r="DQ1920" s="60">
        <v>1.24329896907216</v>
      </c>
      <c r="DR1920" s="55"/>
      <c r="DS1920" s="58">
        <v>0.336623376623376</v>
      </c>
      <c r="DT1920" s="55"/>
      <c r="DY1920" s="1">
        <v>0</v>
      </c>
      <c r="DZ1920" s="1">
        <v>0</v>
      </c>
      <c r="EA1920" s="52">
        <v>72.9249854622988</v>
      </c>
      <c r="ED1920" s="52">
        <v>72.9249854622988</v>
      </c>
    </row>
    <row r="1921" customHeight="1" spans="1:134">
      <c r="A1921" s="54">
        <v>70</v>
      </c>
      <c r="B1921" s="4" t="s">
        <v>1599</v>
      </c>
      <c r="C1921" s="5" t="s">
        <v>1610</v>
      </c>
      <c r="D1921" s="4" t="s">
        <v>300</v>
      </c>
      <c r="E1921" s="4" t="s">
        <v>1603</v>
      </c>
      <c r="F1921" s="4" t="s">
        <v>328</v>
      </c>
      <c r="G1921" s="4" t="s">
        <v>1611</v>
      </c>
      <c r="N1921" s="4" t="s">
        <v>567</v>
      </c>
      <c r="O1921" s="4" t="s">
        <v>343</v>
      </c>
      <c r="P1921" s="4">
        <v>2</v>
      </c>
      <c r="Q1921" s="4" t="s">
        <v>539</v>
      </c>
      <c r="T1921" s="4">
        <v>27.68</v>
      </c>
      <c r="U1921" s="4">
        <v>0.209</v>
      </c>
      <c r="V1921" s="4">
        <v>29.59</v>
      </c>
      <c r="AG1921" s="4" t="s">
        <v>316</v>
      </c>
      <c r="AH1921" s="4" t="s">
        <v>1601</v>
      </c>
      <c r="AI1921" s="4" t="s">
        <v>1605</v>
      </c>
      <c r="AL1921" s="4" t="s">
        <v>1556</v>
      </c>
      <c r="AM1921" s="4">
        <v>7.73</v>
      </c>
      <c r="AN1921" s="4">
        <v>4.28</v>
      </c>
      <c r="AO1921" s="4">
        <v>207.91</v>
      </c>
      <c r="AQ1921" s="4" t="s">
        <v>7</v>
      </c>
      <c r="AR1921" s="4">
        <v>1.12</v>
      </c>
      <c r="AS1921" s="4" t="s">
        <v>13</v>
      </c>
      <c r="AT1921" s="4">
        <v>52.39</v>
      </c>
      <c r="AU1921" s="4" t="s">
        <v>15</v>
      </c>
      <c r="AV1921" s="4">
        <v>96</v>
      </c>
      <c r="AW1921" s="4" t="s">
        <v>12</v>
      </c>
      <c r="AX1921" s="4">
        <v>3.45</v>
      </c>
      <c r="AY1921" s="4" t="s">
        <v>14</v>
      </c>
      <c r="AZ1921" s="4">
        <v>4.95</v>
      </c>
      <c r="BI1921" s="4" t="s">
        <v>321</v>
      </c>
      <c r="BP1921" s="4">
        <v>0.05</v>
      </c>
      <c r="BV1921" s="4" t="s">
        <v>1606</v>
      </c>
      <c r="BW1921" s="4">
        <v>25</v>
      </c>
      <c r="BX1921" s="4">
        <v>75</v>
      </c>
      <c r="CX1921" s="4" t="s">
        <v>314</v>
      </c>
      <c r="DD1921" s="4">
        <v>38.91</v>
      </c>
      <c r="DE1921" s="4">
        <v>48.54</v>
      </c>
      <c r="DO1921" s="57"/>
      <c r="DQ1921" s="60">
        <v>1.11958762886597</v>
      </c>
      <c r="DR1921" s="55"/>
      <c r="DS1921" s="58">
        <v>0.451948051948051</v>
      </c>
      <c r="DT1921" s="55"/>
      <c r="DY1921" s="1">
        <v>0</v>
      </c>
      <c r="DZ1921" s="1">
        <v>0</v>
      </c>
      <c r="EA1921" s="52">
        <v>59.6326325608091</v>
      </c>
      <c r="ED1921" s="52">
        <v>59.6326325608091</v>
      </c>
    </row>
    <row r="1922" customHeight="1" spans="1:134">
      <c r="A1922" s="54">
        <v>70</v>
      </c>
      <c r="B1922" s="4" t="s">
        <v>1599</v>
      </c>
      <c r="C1922" s="5" t="s">
        <v>1610</v>
      </c>
      <c r="D1922" s="4" t="s">
        <v>300</v>
      </c>
      <c r="E1922" s="4" t="s">
        <v>1603</v>
      </c>
      <c r="F1922" s="4" t="s">
        <v>328</v>
      </c>
      <c r="G1922" s="4" t="s">
        <v>1611</v>
      </c>
      <c r="N1922" s="4" t="s">
        <v>567</v>
      </c>
      <c r="O1922" s="4" t="s">
        <v>343</v>
      </c>
      <c r="P1922" s="4">
        <v>2</v>
      </c>
      <c r="Q1922" s="4" t="s">
        <v>539</v>
      </c>
      <c r="T1922" s="4">
        <v>27.68</v>
      </c>
      <c r="U1922" s="4">
        <v>0.209</v>
      </c>
      <c r="V1922" s="4">
        <v>29.59</v>
      </c>
      <c r="AG1922" s="4" t="s">
        <v>316</v>
      </c>
      <c r="AH1922" s="4" t="s">
        <v>1601</v>
      </c>
      <c r="AI1922" s="4" t="s">
        <v>1605</v>
      </c>
      <c r="AL1922" s="4" t="s">
        <v>1556</v>
      </c>
      <c r="AM1922" s="4">
        <v>7.73</v>
      </c>
      <c r="AN1922" s="4">
        <v>4.28</v>
      </c>
      <c r="AO1922" s="4">
        <v>207.91</v>
      </c>
      <c r="AQ1922" s="4" t="s">
        <v>7</v>
      </c>
      <c r="AR1922" s="4">
        <v>1.12</v>
      </c>
      <c r="AS1922" s="4" t="s">
        <v>13</v>
      </c>
      <c r="AT1922" s="4">
        <v>52.39</v>
      </c>
      <c r="AU1922" s="4" t="s">
        <v>15</v>
      </c>
      <c r="AV1922" s="4">
        <v>96</v>
      </c>
      <c r="AW1922" s="4" t="s">
        <v>12</v>
      </c>
      <c r="AX1922" s="4">
        <v>3.45</v>
      </c>
      <c r="AY1922" s="4" t="s">
        <v>14</v>
      </c>
      <c r="AZ1922" s="4">
        <v>4.95</v>
      </c>
      <c r="BI1922" s="4" t="s">
        <v>321</v>
      </c>
      <c r="BP1922" s="4">
        <v>0.05</v>
      </c>
      <c r="BV1922" s="4" t="s">
        <v>1607</v>
      </c>
      <c r="BW1922" s="4">
        <v>25</v>
      </c>
      <c r="BX1922" s="4">
        <v>75</v>
      </c>
      <c r="CX1922" s="4" t="s">
        <v>314</v>
      </c>
      <c r="DD1922" s="4">
        <v>38.91</v>
      </c>
      <c r="DE1922" s="4">
        <v>48.54</v>
      </c>
      <c r="DO1922" s="57"/>
      <c r="DQ1922" s="60">
        <v>1.2680412371134</v>
      </c>
      <c r="DR1922" s="55"/>
      <c r="DS1922" s="58">
        <v>0.604675324675324</v>
      </c>
      <c r="DT1922" s="55"/>
      <c r="DY1922" s="1">
        <v>0</v>
      </c>
      <c r="DZ1922" s="1">
        <v>0</v>
      </c>
      <c r="EA1922" s="52">
        <v>52.3142223630028</v>
      </c>
      <c r="ED1922" s="52">
        <v>52.3142223630028</v>
      </c>
    </row>
    <row r="1923" customHeight="1" spans="1:134">
      <c r="A1923" s="54">
        <v>70</v>
      </c>
      <c r="B1923" s="4" t="s">
        <v>1599</v>
      </c>
      <c r="C1923" s="5" t="s">
        <v>1610</v>
      </c>
      <c r="D1923" s="4" t="s">
        <v>300</v>
      </c>
      <c r="E1923" s="4" t="s">
        <v>1603</v>
      </c>
      <c r="F1923" s="4" t="s">
        <v>328</v>
      </c>
      <c r="G1923" s="4" t="s">
        <v>1611</v>
      </c>
      <c r="N1923" s="4" t="s">
        <v>567</v>
      </c>
      <c r="O1923" s="4" t="s">
        <v>343</v>
      </c>
      <c r="P1923" s="4">
        <v>2</v>
      </c>
      <c r="Q1923" s="4" t="s">
        <v>539</v>
      </c>
      <c r="T1923" s="4">
        <v>27.68</v>
      </c>
      <c r="U1923" s="4">
        <v>0.209</v>
      </c>
      <c r="V1923" s="4">
        <v>29.59</v>
      </c>
      <c r="AG1923" s="4" t="s">
        <v>316</v>
      </c>
      <c r="AH1923" s="4" t="s">
        <v>1601</v>
      </c>
      <c r="AI1923" s="4" t="s">
        <v>1605</v>
      </c>
      <c r="AL1923" s="4" t="s">
        <v>1556</v>
      </c>
      <c r="AM1923" s="4">
        <v>7.73</v>
      </c>
      <c r="AN1923" s="4">
        <v>4.28</v>
      </c>
      <c r="AO1923" s="4">
        <v>207.91</v>
      </c>
      <c r="AQ1923" s="4" t="s">
        <v>7</v>
      </c>
      <c r="AR1923" s="4">
        <v>1.12</v>
      </c>
      <c r="AS1923" s="4" t="s">
        <v>13</v>
      </c>
      <c r="AT1923" s="4">
        <v>52.39</v>
      </c>
      <c r="AU1923" s="4" t="s">
        <v>15</v>
      </c>
      <c r="AV1923" s="4">
        <v>96</v>
      </c>
      <c r="AW1923" s="4" t="s">
        <v>12</v>
      </c>
      <c r="AX1923" s="4">
        <v>3.45</v>
      </c>
      <c r="AY1923" s="4" t="s">
        <v>14</v>
      </c>
      <c r="AZ1923" s="4">
        <v>4.95</v>
      </c>
      <c r="BI1923" s="4" t="s">
        <v>321</v>
      </c>
      <c r="BP1923" s="4">
        <v>0.05</v>
      </c>
      <c r="BV1923" s="4" t="s">
        <v>1552</v>
      </c>
      <c r="BW1923" s="4">
        <v>25</v>
      </c>
      <c r="BX1923" s="4">
        <v>75</v>
      </c>
      <c r="CX1923" s="4" t="s">
        <v>314</v>
      </c>
      <c r="DD1923" s="4">
        <v>38.91</v>
      </c>
      <c r="DE1923" s="4">
        <v>48.54</v>
      </c>
      <c r="DO1923" s="57"/>
      <c r="DQ1923" s="60">
        <v>1.11649484536082</v>
      </c>
      <c r="DR1923" s="55"/>
      <c r="DS1923" s="58">
        <v>0.551688311688311</v>
      </c>
      <c r="DT1923" s="55"/>
      <c r="DY1923" s="1">
        <v>0</v>
      </c>
      <c r="DZ1923" s="1">
        <v>0</v>
      </c>
      <c r="EA1923" s="52">
        <v>50.5874734683598</v>
      </c>
      <c r="ED1923" s="52">
        <v>50.5874734683598</v>
      </c>
    </row>
    <row r="1924" customHeight="1" spans="1:134">
      <c r="A1924" s="54">
        <v>70</v>
      </c>
      <c r="B1924" s="4" t="s">
        <v>1599</v>
      </c>
      <c r="C1924" s="5" t="s">
        <v>1610</v>
      </c>
      <c r="D1924" s="4" t="s">
        <v>300</v>
      </c>
      <c r="E1924" s="4" t="s">
        <v>1603</v>
      </c>
      <c r="F1924" s="4" t="s">
        <v>328</v>
      </c>
      <c r="G1924" s="4" t="s">
        <v>1611</v>
      </c>
      <c r="N1924" s="4" t="s">
        <v>567</v>
      </c>
      <c r="O1924" s="4" t="s">
        <v>343</v>
      </c>
      <c r="P1924" s="4">
        <v>2</v>
      </c>
      <c r="Q1924" s="4" t="s">
        <v>539</v>
      </c>
      <c r="T1924" s="4">
        <v>27.68</v>
      </c>
      <c r="U1924" s="4">
        <v>0.209</v>
      </c>
      <c r="V1924" s="4">
        <v>29.59</v>
      </c>
      <c r="AG1924" s="4" t="s">
        <v>316</v>
      </c>
      <c r="AH1924" s="4" t="s">
        <v>1601</v>
      </c>
      <c r="AI1924" s="4" t="s">
        <v>1605</v>
      </c>
      <c r="AL1924" s="4" t="s">
        <v>1556</v>
      </c>
      <c r="AM1924" s="4">
        <v>7.73</v>
      </c>
      <c r="AN1924" s="4">
        <v>4.28</v>
      </c>
      <c r="AO1924" s="4">
        <v>207.91</v>
      </c>
      <c r="AQ1924" s="4" t="s">
        <v>7</v>
      </c>
      <c r="AR1924" s="4">
        <v>1.12</v>
      </c>
      <c r="AS1924" s="4" t="s">
        <v>13</v>
      </c>
      <c r="AT1924" s="4">
        <v>52.39</v>
      </c>
      <c r="AU1924" s="4" t="s">
        <v>15</v>
      </c>
      <c r="AV1924" s="4">
        <v>96</v>
      </c>
      <c r="AW1924" s="4" t="s">
        <v>12</v>
      </c>
      <c r="AX1924" s="4">
        <v>3.45</v>
      </c>
      <c r="AY1924" s="4" t="s">
        <v>14</v>
      </c>
      <c r="AZ1924" s="4">
        <v>4.95</v>
      </c>
      <c r="BI1924" s="4" t="s">
        <v>321</v>
      </c>
      <c r="BP1924" s="4">
        <v>0.05</v>
      </c>
      <c r="BV1924" s="4" t="s">
        <v>488</v>
      </c>
      <c r="BW1924" s="4">
        <v>25</v>
      </c>
      <c r="BX1924" s="4">
        <v>75</v>
      </c>
      <c r="CX1924" s="4" t="s">
        <v>314</v>
      </c>
      <c r="DD1924" s="4">
        <v>38.91</v>
      </c>
      <c r="DE1924" s="4">
        <v>48.54</v>
      </c>
      <c r="DO1924" s="57"/>
      <c r="DQ1924" s="60">
        <v>1.24329896907216</v>
      </c>
      <c r="DR1924" s="55"/>
      <c r="DS1924" s="58">
        <v>0.336623376623376</v>
      </c>
      <c r="DT1924" s="55"/>
      <c r="DY1924" s="1">
        <v>0</v>
      </c>
      <c r="DZ1924" s="1">
        <v>0</v>
      </c>
      <c r="EA1924" s="52">
        <v>72.9249854622988</v>
      </c>
      <c r="ED1924" s="52">
        <v>72.9249854622988</v>
      </c>
    </row>
    <row r="1925" customHeight="1" spans="1:134">
      <c r="A1925" s="54">
        <v>70</v>
      </c>
      <c r="B1925" s="4" t="s">
        <v>1599</v>
      </c>
      <c r="C1925" s="5" t="s">
        <v>1610</v>
      </c>
      <c r="D1925" s="4" t="s">
        <v>300</v>
      </c>
      <c r="E1925" s="4" t="s">
        <v>1603</v>
      </c>
      <c r="F1925" s="4" t="s">
        <v>328</v>
      </c>
      <c r="G1925" s="4" t="s">
        <v>1611</v>
      </c>
      <c r="N1925" s="4" t="s">
        <v>567</v>
      </c>
      <c r="O1925" s="4" t="s">
        <v>343</v>
      </c>
      <c r="P1925" s="4">
        <v>2</v>
      </c>
      <c r="Q1925" s="4" t="s">
        <v>539</v>
      </c>
      <c r="T1925" s="4">
        <v>27.68</v>
      </c>
      <c r="U1925" s="4">
        <v>0.209</v>
      </c>
      <c r="V1925" s="4">
        <v>29.59</v>
      </c>
      <c r="AG1925" s="4" t="s">
        <v>316</v>
      </c>
      <c r="AH1925" s="4" t="s">
        <v>1601</v>
      </c>
      <c r="AI1925" s="4" t="s">
        <v>1605</v>
      </c>
      <c r="AL1925" s="4" t="s">
        <v>1556</v>
      </c>
      <c r="AM1925" s="4">
        <v>7.73</v>
      </c>
      <c r="AN1925" s="4">
        <v>4.28</v>
      </c>
      <c r="AO1925" s="4">
        <v>207.91</v>
      </c>
      <c r="AQ1925" s="4" t="s">
        <v>7</v>
      </c>
      <c r="AR1925" s="4">
        <v>1.12</v>
      </c>
      <c r="AS1925" s="4" t="s">
        <v>13</v>
      </c>
      <c r="AT1925" s="4">
        <v>52.39</v>
      </c>
      <c r="AU1925" s="4" t="s">
        <v>15</v>
      </c>
      <c r="AV1925" s="4">
        <v>96</v>
      </c>
      <c r="AW1925" s="4" t="s">
        <v>12</v>
      </c>
      <c r="AX1925" s="4">
        <v>3.45</v>
      </c>
      <c r="AY1925" s="4" t="s">
        <v>14</v>
      </c>
      <c r="AZ1925" s="4">
        <v>4.95</v>
      </c>
      <c r="BI1925" s="4" t="s">
        <v>321</v>
      </c>
      <c r="BP1925" s="4">
        <v>0.1</v>
      </c>
      <c r="BV1925" s="4" t="s">
        <v>1606</v>
      </c>
      <c r="BW1925" s="4">
        <v>25</v>
      </c>
      <c r="BX1925" s="4">
        <v>75</v>
      </c>
      <c r="CX1925" s="4" t="s">
        <v>314</v>
      </c>
      <c r="DD1925" s="4">
        <v>38.91</v>
      </c>
      <c r="DE1925" s="4">
        <v>48.54</v>
      </c>
      <c r="DO1925" s="57"/>
      <c r="DQ1925" s="60">
        <v>1.11958762886597</v>
      </c>
      <c r="DR1925" s="55"/>
      <c r="DS1925" s="58">
        <v>0.38025974025974</v>
      </c>
      <c r="DT1925" s="55"/>
      <c r="DY1925" s="1">
        <v>0</v>
      </c>
      <c r="DZ1925" s="1">
        <v>0</v>
      </c>
      <c r="EA1925" s="52">
        <v>66.0357322235773</v>
      </c>
      <c r="ED1925" s="52">
        <v>66.0357322235773</v>
      </c>
    </row>
    <row r="1926" customHeight="1" spans="1:134">
      <c r="A1926" s="54">
        <v>70</v>
      </c>
      <c r="B1926" s="4" t="s">
        <v>1599</v>
      </c>
      <c r="C1926" s="5" t="s">
        <v>1610</v>
      </c>
      <c r="D1926" s="4" t="s">
        <v>300</v>
      </c>
      <c r="E1926" s="4" t="s">
        <v>1603</v>
      </c>
      <c r="F1926" s="4" t="s">
        <v>328</v>
      </c>
      <c r="G1926" s="4" t="s">
        <v>1611</v>
      </c>
      <c r="N1926" s="4" t="s">
        <v>567</v>
      </c>
      <c r="O1926" s="4" t="s">
        <v>343</v>
      </c>
      <c r="P1926" s="4">
        <v>2</v>
      </c>
      <c r="Q1926" s="4" t="s">
        <v>539</v>
      </c>
      <c r="T1926" s="4">
        <v>27.68</v>
      </c>
      <c r="U1926" s="4">
        <v>0.209</v>
      </c>
      <c r="V1926" s="4">
        <v>29.59</v>
      </c>
      <c r="AG1926" s="4" t="s">
        <v>316</v>
      </c>
      <c r="AH1926" s="4" t="s">
        <v>1601</v>
      </c>
      <c r="AI1926" s="4" t="s">
        <v>1605</v>
      </c>
      <c r="AL1926" s="4" t="s">
        <v>1556</v>
      </c>
      <c r="AM1926" s="4">
        <v>7.73</v>
      </c>
      <c r="AN1926" s="4">
        <v>4.28</v>
      </c>
      <c r="AO1926" s="4">
        <v>207.91</v>
      </c>
      <c r="AQ1926" s="4" t="s">
        <v>7</v>
      </c>
      <c r="AR1926" s="4">
        <v>1.12</v>
      </c>
      <c r="AS1926" s="4" t="s">
        <v>13</v>
      </c>
      <c r="AT1926" s="4">
        <v>52.39</v>
      </c>
      <c r="AU1926" s="4" t="s">
        <v>15</v>
      </c>
      <c r="AV1926" s="4">
        <v>96</v>
      </c>
      <c r="AW1926" s="4" t="s">
        <v>12</v>
      </c>
      <c r="AX1926" s="4">
        <v>3.45</v>
      </c>
      <c r="AY1926" s="4" t="s">
        <v>14</v>
      </c>
      <c r="AZ1926" s="4">
        <v>4.95</v>
      </c>
      <c r="BI1926" s="4" t="s">
        <v>321</v>
      </c>
      <c r="BP1926" s="4">
        <v>0.1</v>
      </c>
      <c r="BV1926" s="4" t="s">
        <v>1607</v>
      </c>
      <c r="BW1926" s="4">
        <v>25</v>
      </c>
      <c r="BX1926" s="4">
        <v>75</v>
      </c>
      <c r="CX1926" s="4" t="s">
        <v>314</v>
      </c>
      <c r="DD1926" s="4">
        <v>38.91</v>
      </c>
      <c r="DE1926" s="4">
        <v>48.54</v>
      </c>
      <c r="DO1926" s="57"/>
      <c r="DQ1926" s="60">
        <v>1.2680412371134</v>
      </c>
      <c r="DR1926" s="55"/>
      <c r="DS1926" s="58">
        <v>0.451948051948051</v>
      </c>
      <c r="DT1926" s="55"/>
      <c r="DY1926" s="1">
        <v>0</v>
      </c>
      <c r="DZ1926" s="1">
        <v>0</v>
      </c>
      <c r="EA1926" s="52">
        <v>64.3585682610073</v>
      </c>
      <c r="ED1926" s="52">
        <v>64.3585682610073</v>
      </c>
    </row>
    <row r="1927" customHeight="1" spans="1:134">
      <c r="A1927" s="54">
        <v>70</v>
      </c>
      <c r="B1927" s="4" t="s">
        <v>1599</v>
      </c>
      <c r="C1927" s="5" t="s">
        <v>1610</v>
      </c>
      <c r="D1927" s="4" t="s">
        <v>300</v>
      </c>
      <c r="E1927" s="4" t="s">
        <v>1603</v>
      </c>
      <c r="F1927" s="4" t="s">
        <v>328</v>
      </c>
      <c r="G1927" s="4" t="s">
        <v>1611</v>
      </c>
      <c r="N1927" s="4" t="s">
        <v>567</v>
      </c>
      <c r="O1927" s="4" t="s">
        <v>343</v>
      </c>
      <c r="P1927" s="4">
        <v>2</v>
      </c>
      <c r="Q1927" s="4" t="s">
        <v>539</v>
      </c>
      <c r="T1927" s="4">
        <v>27.68</v>
      </c>
      <c r="U1927" s="4">
        <v>0.209</v>
      </c>
      <c r="V1927" s="4">
        <v>29.59</v>
      </c>
      <c r="AG1927" s="4" t="s">
        <v>316</v>
      </c>
      <c r="AH1927" s="4" t="s">
        <v>1601</v>
      </c>
      <c r="AI1927" s="4" t="s">
        <v>1605</v>
      </c>
      <c r="AL1927" s="4" t="s">
        <v>1556</v>
      </c>
      <c r="AM1927" s="4">
        <v>7.73</v>
      </c>
      <c r="AN1927" s="4">
        <v>4.28</v>
      </c>
      <c r="AO1927" s="4">
        <v>207.91</v>
      </c>
      <c r="AQ1927" s="4" t="s">
        <v>7</v>
      </c>
      <c r="AR1927" s="4">
        <v>1.12</v>
      </c>
      <c r="AS1927" s="4" t="s">
        <v>13</v>
      </c>
      <c r="AT1927" s="4">
        <v>52.39</v>
      </c>
      <c r="AU1927" s="4" t="s">
        <v>15</v>
      </c>
      <c r="AV1927" s="4">
        <v>96</v>
      </c>
      <c r="AW1927" s="4" t="s">
        <v>12</v>
      </c>
      <c r="AX1927" s="4">
        <v>3.45</v>
      </c>
      <c r="AY1927" s="4" t="s">
        <v>14</v>
      </c>
      <c r="AZ1927" s="4">
        <v>4.95</v>
      </c>
      <c r="BI1927" s="4" t="s">
        <v>321</v>
      </c>
      <c r="BP1927" s="4">
        <v>0.1</v>
      </c>
      <c r="BV1927" s="4" t="s">
        <v>1552</v>
      </c>
      <c r="BW1927" s="4">
        <v>25</v>
      </c>
      <c r="BX1927" s="4">
        <v>75</v>
      </c>
      <c r="CX1927" s="4" t="s">
        <v>314</v>
      </c>
      <c r="DD1927" s="4">
        <v>38.91</v>
      </c>
      <c r="DE1927" s="4">
        <v>48.54</v>
      </c>
      <c r="DO1927" s="57"/>
      <c r="DQ1927" s="60">
        <v>1.11649484536082</v>
      </c>
      <c r="DR1927" s="55"/>
      <c r="DS1927" s="58">
        <v>0.464415584415584</v>
      </c>
      <c r="DT1927" s="55"/>
      <c r="DY1927" s="1">
        <v>0</v>
      </c>
      <c r="DZ1927" s="1">
        <v>0</v>
      </c>
      <c r="EA1927" s="52">
        <v>58.404144332122</v>
      </c>
      <c r="ED1927" s="52">
        <v>58.404144332122</v>
      </c>
    </row>
    <row r="1928" customHeight="1" spans="1:134">
      <c r="A1928" s="54">
        <v>70</v>
      </c>
      <c r="B1928" s="4" t="s">
        <v>1599</v>
      </c>
      <c r="C1928" s="5" t="s">
        <v>1610</v>
      </c>
      <c r="D1928" s="4" t="s">
        <v>300</v>
      </c>
      <c r="E1928" s="4" t="s">
        <v>1603</v>
      </c>
      <c r="F1928" s="4" t="s">
        <v>328</v>
      </c>
      <c r="G1928" s="4" t="s">
        <v>1611</v>
      </c>
      <c r="N1928" s="4" t="s">
        <v>567</v>
      </c>
      <c r="O1928" s="4" t="s">
        <v>343</v>
      </c>
      <c r="P1928" s="4">
        <v>2</v>
      </c>
      <c r="Q1928" s="4" t="s">
        <v>539</v>
      </c>
      <c r="T1928" s="4">
        <v>27.68</v>
      </c>
      <c r="U1928" s="4">
        <v>0.209</v>
      </c>
      <c r="V1928" s="4">
        <v>29.59</v>
      </c>
      <c r="AG1928" s="4" t="s">
        <v>316</v>
      </c>
      <c r="AH1928" s="4" t="s">
        <v>1601</v>
      </c>
      <c r="AI1928" s="4" t="s">
        <v>1605</v>
      </c>
      <c r="AL1928" s="4" t="s">
        <v>1556</v>
      </c>
      <c r="AM1928" s="4">
        <v>7.73</v>
      </c>
      <c r="AN1928" s="4">
        <v>4.28</v>
      </c>
      <c r="AO1928" s="4">
        <v>207.91</v>
      </c>
      <c r="AQ1928" s="4" t="s">
        <v>7</v>
      </c>
      <c r="AR1928" s="4">
        <v>1.12</v>
      </c>
      <c r="AS1928" s="4" t="s">
        <v>13</v>
      </c>
      <c r="AT1928" s="4">
        <v>52.39</v>
      </c>
      <c r="AU1928" s="4" t="s">
        <v>15</v>
      </c>
      <c r="AV1928" s="4">
        <v>96</v>
      </c>
      <c r="AW1928" s="4" t="s">
        <v>12</v>
      </c>
      <c r="AX1928" s="4">
        <v>3.45</v>
      </c>
      <c r="AY1928" s="4" t="s">
        <v>14</v>
      </c>
      <c r="AZ1928" s="4">
        <v>4.95</v>
      </c>
      <c r="BI1928" s="4" t="s">
        <v>321</v>
      </c>
      <c r="BP1928" s="4">
        <v>0.1</v>
      </c>
      <c r="BV1928" s="4" t="s">
        <v>488</v>
      </c>
      <c r="BW1928" s="4">
        <v>25</v>
      </c>
      <c r="BX1928" s="4">
        <v>75</v>
      </c>
      <c r="CX1928" s="4" t="s">
        <v>314</v>
      </c>
      <c r="DD1928" s="4">
        <v>38.91</v>
      </c>
      <c r="DE1928" s="4">
        <v>48.54</v>
      </c>
      <c r="DO1928" s="57"/>
      <c r="DQ1928" s="60">
        <v>1.24329896907216</v>
      </c>
      <c r="DR1928" s="55"/>
      <c r="DS1928" s="58">
        <v>0.239999999999999</v>
      </c>
      <c r="DT1928" s="55"/>
      <c r="DY1928" s="1">
        <v>0</v>
      </c>
      <c r="DZ1928" s="1">
        <v>0</v>
      </c>
      <c r="EA1928" s="52">
        <v>80.6965174129353</v>
      </c>
      <c r="ED1928" s="52">
        <v>80.6965174129353</v>
      </c>
    </row>
    <row r="1929" customHeight="1" spans="1:134">
      <c r="A1929" s="54">
        <v>70</v>
      </c>
      <c r="B1929" s="4" t="s">
        <v>1599</v>
      </c>
      <c r="C1929" s="5" t="s">
        <v>1610</v>
      </c>
      <c r="D1929" s="4" t="s">
        <v>300</v>
      </c>
      <c r="E1929" s="4" t="s">
        <v>1603</v>
      </c>
      <c r="F1929" s="4" t="s">
        <v>328</v>
      </c>
      <c r="G1929" s="4" t="s">
        <v>1611</v>
      </c>
      <c r="N1929" s="4" t="s">
        <v>567</v>
      </c>
      <c r="O1929" s="4" t="s">
        <v>343</v>
      </c>
      <c r="P1929" s="4">
        <v>2</v>
      </c>
      <c r="Q1929" s="4" t="s">
        <v>539</v>
      </c>
      <c r="T1929" s="4">
        <v>27.68</v>
      </c>
      <c r="U1929" s="4">
        <v>0.209</v>
      </c>
      <c r="V1929" s="4">
        <v>29.59</v>
      </c>
      <c r="AG1929" s="4" t="s">
        <v>316</v>
      </c>
      <c r="AH1929" s="4" t="s">
        <v>1608</v>
      </c>
      <c r="AI1929" s="4" t="s">
        <v>1609</v>
      </c>
      <c r="AL1929" s="4" t="s">
        <v>1556</v>
      </c>
      <c r="AM1929" s="4">
        <v>6.56</v>
      </c>
      <c r="AN1929" s="4">
        <v>8.1</v>
      </c>
      <c r="AO1929" s="4">
        <v>168.17</v>
      </c>
      <c r="AQ1929" s="4" t="s">
        <v>7</v>
      </c>
      <c r="AR1929" s="4">
        <v>0.42</v>
      </c>
      <c r="AS1929" s="4" t="s">
        <v>13</v>
      </c>
      <c r="AT1929" s="4">
        <v>253.22</v>
      </c>
      <c r="AU1929" s="4" t="s">
        <v>15</v>
      </c>
      <c r="AV1929" s="4">
        <v>23.62</v>
      </c>
      <c r="AW1929" s="4" t="s">
        <v>12</v>
      </c>
      <c r="AX1929" s="4">
        <v>3.35</v>
      </c>
      <c r="AY1929" s="4" t="s">
        <v>14</v>
      </c>
      <c r="AZ1929" s="4">
        <v>9.55</v>
      </c>
      <c r="BI1929" s="4" t="s">
        <v>321</v>
      </c>
      <c r="BP1929" s="4">
        <v>0.025</v>
      </c>
      <c r="BV1929" s="4" t="s">
        <v>1606</v>
      </c>
      <c r="BW1929" s="4">
        <v>25</v>
      </c>
      <c r="BX1929" s="4">
        <v>75</v>
      </c>
      <c r="CX1929" s="4" t="s">
        <v>314</v>
      </c>
      <c r="DD1929" s="4">
        <v>38.91</v>
      </c>
      <c r="DE1929" s="4">
        <v>48.54</v>
      </c>
      <c r="DO1929" s="57"/>
      <c r="DQ1929" s="58">
        <v>0.303910614525139</v>
      </c>
      <c r="DR1929" s="55"/>
      <c r="DS1929" s="58">
        <v>0.043454038997214</v>
      </c>
      <c r="DT1929" s="55"/>
      <c r="DY1929" s="1">
        <v>0</v>
      </c>
      <c r="DZ1929" s="1">
        <v>0</v>
      </c>
      <c r="EA1929" s="52">
        <v>85.7017040799608</v>
      </c>
      <c r="ED1929" s="52">
        <v>85.7017040799608</v>
      </c>
    </row>
    <row r="1930" customHeight="1" spans="1:134">
      <c r="A1930" s="54">
        <v>70</v>
      </c>
      <c r="B1930" s="4" t="s">
        <v>1599</v>
      </c>
      <c r="C1930" s="5" t="s">
        <v>1610</v>
      </c>
      <c r="D1930" s="4" t="s">
        <v>300</v>
      </c>
      <c r="E1930" s="4" t="s">
        <v>1603</v>
      </c>
      <c r="F1930" s="4" t="s">
        <v>328</v>
      </c>
      <c r="G1930" s="4" t="s">
        <v>1611</v>
      </c>
      <c r="N1930" s="4" t="s">
        <v>567</v>
      </c>
      <c r="O1930" s="4" t="s">
        <v>343</v>
      </c>
      <c r="P1930" s="4">
        <v>2</v>
      </c>
      <c r="Q1930" s="4" t="s">
        <v>539</v>
      </c>
      <c r="T1930" s="4">
        <v>27.68</v>
      </c>
      <c r="U1930" s="4">
        <v>0.209</v>
      </c>
      <c r="V1930" s="4">
        <v>29.59</v>
      </c>
      <c r="AG1930" s="4" t="s">
        <v>316</v>
      </c>
      <c r="AH1930" s="4" t="s">
        <v>1608</v>
      </c>
      <c r="AI1930" s="4" t="s">
        <v>1609</v>
      </c>
      <c r="AL1930" s="4" t="s">
        <v>1556</v>
      </c>
      <c r="AM1930" s="4">
        <v>6.56</v>
      </c>
      <c r="AN1930" s="4">
        <v>8.1</v>
      </c>
      <c r="AO1930" s="4">
        <v>168.17</v>
      </c>
      <c r="AQ1930" s="4" t="s">
        <v>7</v>
      </c>
      <c r="AR1930" s="4">
        <v>0.42</v>
      </c>
      <c r="AS1930" s="4" t="s">
        <v>13</v>
      </c>
      <c r="AT1930" s="4">
        <v>253.22</v>
      </c>
      <c r="AU1930" s="4" t="s">
        <v>15</v>
      </c>
      <c r="AV1930" s="4">
        <v>23.62</v>
      </c>
      <c r="AW1930" s="4" t="s">
        <v>12</v>
      </c>
      <c r="AX1930" s="4">
        <v>3.35</v>
      </c>
      <c r="AY1930" s="4" t="s">
        <v>14</v>
      </c>
      <c r="AZ1930" s="4">
        <v>9.55</v>
      </c>
      <c r="BI1930" s="4" t="s">
        <v>321</v>
      </c>
      <c r="BP1930" s="4">
        <v>0.025</v>
      </c>
      <c r="BV1930" s="4" t="s">
        <v>1607</v>
      </c>
      <c r="BW1930" s="4">
        <v>25</v>
      </c>
      <c r="BX1930" s="4">
        <v>75</v>
      </c>
      <c r="CX1930" s="4" t="s">
        <v>314</v>
      </c>
      <c r="DD1930" s="4">
        <v>38.91</v>
      </c>
      <c r="DE1930" s="4">
        <v>48.54</v>
      </c>
      <c r="DO1930" s="57"/>
      <c r="DQ1930" s="58">
        <v>0.40558659217877</v>
      </c>
      <c r="DR1930" s="55"/>
      <c r="DS1930" s="58">
        <v>0.0724233983286905</v>
      </c>
      <c r="DT1930" s="55"/>
      <c r="DY1930" s="1">
        <v>0</v>
      </c>
      <c r="DZ1930" s="1">
        <v>0</v>
      </c>
      <c r="EA1930" s="52">
        <v>82.1435422853504</v>
      </c>
      <c r="ED1930" s="52">
        <v>82.1435422853504</v>
      </c>
    </row>
    <row r="1931" customHeight="1" spans="1:134">
      <c r="A1931" s="54">
        <v>70</v>
      </c>
      <c r="B1931" s="4" t="s">
        <v>1599</v>
      </c>
      <c r="C1931" s="5" t="s">
        <v>1610</v>
      </c>
      <c r="D1931" s="4" t="s">
        <v>300</v>
      </c>
      <c r="E1931" s="4" t="s">
        <v>1603</v>
      </c>
      <c r="F1931" s="4" t="s">
        <v>328</v>
      </c>
      <c r="G1931" s="4" t="s">
        <v>1611</v>
      </c>
      <c r="N1931" s="4" t="s">
        <v>567</v>
      </c>
      <c r="O1931" s="4" t="s">
        <v>343</v>
      </c>
      <c r="P1931" s="4">
        <v>2</v>
      </c>
      <c r="Q1931" s="4" t="s">
        <v>539</v>
      </c>
      <c r="T1931" s="4">
        <v>27.68</v>
      </c>
      <c r="U1931" s="4">
        <v>0.209</v>
      </c>
      <c r="V1931" s="4">
        <v>29.59</v>
      </c>
      <c r="AG1931" s="4" t="s">
        <v>316</v>
      </c>
      <c r="AH1931" s="4" t="s">
        <v>1608</v>
      </c>
      <c r="AI1931" s="4" t="s">
        <v>1609</v>
      </c>
      <c r="AL1931" s="4" t="s">
        <v>1556</v>
      </c>
      <c r="AM1931" s="4">
        <v>6.56</v>
      </c>
      <c r="AN1931" s="4">
        <v>8.1</v>
      </c>
      <c r="AO1931" s="4">
        <v>168.17</v>
      </c>
      <c r="AQ1931" s="4" t="s">
        <v>7</v>
      </c>
      <c r="AR1931" s="4">
        <v>0.42</v>
      </c>
      <c r="AS1931" s="4" t="s">
        <v>13</v>
      </c>
      <c r="AT1931" s="4">
        <v>253.22</v>
      </c>
      <c r="AU1931" s="4" t="s">
        <v>15</v>
      </c>
      <c r="AV1931" s="4">
        <v>23.62</v>
      </c>
      <c r="AW1931" s="4" t="s">
        <v>12</v>
      </c>
      <c r="AX1931" s="4">
        <v>3.35</v>
      </c>
      <c r="AY1931" s="4" t="s">
        <v>14</v>
      </c>
      <c r="AZ1931" s="4">
        <v>9.55</v>
      </c>
      <c r="BI1931" s="4" t="s">
        <v>321</v>
      </c>
      <c r="BP1931" s="4">
        <v>0.025</v>
      </c>
      <c r="BV1931" s="4" t="s">
        <v>1552</v>
      </c>
      <c r="BW1931" s="4">
        <v>25</v>
      </c>
      <c r="BX1931" s="4">
        <v>75</v>
      </c>
      <c r="CX1931" s="4" t="s">
        <v>314</v>
      </c>
      <c r="DD1931" s="4">
        <v>38.91</v>
      </c>
      <c r="DE1931" s="4">
        <v>48.54</v>
      </c>
      <c r="DO1931" s="57"/>
      <c r="DQ1931" s="58">
        <v>0.353072625698323</v>
      </c>
      <c r="DR1931" s="55"/>
      <c r="DS1931" s="58">
        <v>0.0412256267409465</v>
      </c>
      <c r="DT1931" s="55"/>
      <c r="DY1931" s="1">
        <v>0</v>
      </c>
      <c r="DZ1931" s="1">
        <v>0</v>
      </c>
      <c r="EA1931" s="52">
        <v>88.3237544515357</v>
      </c>
      <c r="ED1931" s="52">
        <v>88.3237544515357</v>
      </c>
    </row>
    <row r="1932" customHeight="1" spans="1:134">
      <c r="A1932" s="54">
        <v>70</v>
      </c>
      <c r="B1932" s="4" t="s">
        <v>1599</v>
      </c>
      <c r="C1932" s="5" t="s">
        <v>1610</v>
      </c>
      <c r="D1932" s="4" t="s">
        <v>300</v>
      </c>
      <c r="E1932" s="4" t="s">
        <v>1603</v>
      </c>
      <c r="F1932" s="4" t="s">
        <v>328</v>
      </c>
      <c r="G1932" s="4" t="s">
        <v>1611</v>
      </c>
      <c r="N1932" s="4" t="s">
        <v>567</v>
      </c>
      <c r="O1932" s="4" t="s">
        <v>343</v>
      </c>
      <c r="P1932" s="4">
        <v>2</v>
      </c>
      <c r="Q1932" s="4" t="s">
        <v>539</v>
      </c>
      <c r="T1932" s="4">
        <v>27.68</v>
      </c>
      <c r="U1932" s="4">
        <v>0.209</v>
      </c>
      <c r="V1932" s="4">
        <v>29.59</v>
      </c>
      <c r="AG1932" s="4" t="s">
        <v>316</v>
      </c>
      <c r="AH1932" s="4" t="s">
        <v>1608</v>
      </c>
      <c r="AI1932" s="4" t="s">
        <v>1609</v>
      </c>
      <c r="AL1932" s="4" t="s">
        <v>1556</v>
      </c>
      <c r="AM1932" s="4">
        <v>6.56</v>
      </c>
      <c r="AN1932" s="4">
        <v>8.1</v>
      </c>
      <c r="AO1932" s="4">
        <v>168.17</v>
      </c>
      <c r="AQ1932" s="4" t="s">
        <v>7</v>
      </c>
      <c r="AR1932" s="4">
        <v>0.42</v>
      </c>
      <c r="AS1932" s="4" t="s">
        <v>13</v>
      </c>
      <c r="AT1932" s="4">
        <v>253.22</v>
      </c>
      <c r="AU1932" s="4" t="s">
        <v>15</v>
      </c>
      <c r="AV1932" s="4">
        <v>23.62</v>
      </c>
      <c r="AW1932" s="4" t="s">
        <v>12</v>
      </c>
      <c r="AX1932" s="4">
        <v>3.35</v>
      </c>
      <c r="AY1932" s="4" t="s">
        <v>14</v>
      </c>
      <c r="AZ1932" s="4">
        <v>9.55</v>
      </c>
      <c r="BI1932" s="4" t="s">
        <v>321</v>
      </c>
      <c r="BP1932" s="4">
        <v>0.025</v>
      </c>
      <c r="BV1932" s="4" t="s">
        <v>488</v>
      </c>
      <c r="BW1932" s="4">
        <v>25</v>
      </c>
      <c r="BX1932" s="4">
        <v>75</v>
      </c>
      <c r="CX1932" s="4" t="s">
        <v>314</v>
      </c>
      <c r="DD1932" s="4">
        <v>38.91</v>
      </c>
      <c r="DE1932" s="4">
        <v>48.54</v>
      </c>
      <c r="DO1932" s="57"/>
      <c r="DQ1932" s="58">
        <v>0.4</v>
      </c>
      <c r="DR1932" s="55"/>
      <c r="DS1932" s="58">
        <v>0.0412256267409465</v>
      </c>
      <c r="DT1932" s="55"/>
      <c r="DY1932" s="1">
        <v>0</v>
      </c>
      <c r="DZ1932" s="1">
        <v>0</v>
      </c>
      <c r="EA1932" s="52">
        <v>89.6935933147634</v>
      </c>
      <c r="ED1932" s="52">
        <v>89.6935933147634</v>
      </c>
    </row>
    <row r="1933" customHeight="1" spans="1:134">
      <c r="A1933" s="54">
        <v>70</v>
      </c>
      <c r="B1933" s="4" t="s">
        <v>1599</v>
      </c>
      <c r="C1933" s="5" t="s">
        <v>1610</v>
      </c>
      <c r="D1933" s="4" t="s">
        <v>300</v>
      </c>
      <c r="E1933" s="4" t="s">
        <v>1603</v>
      </c>
      <c r="F1933" s="4" t="s">
        <v>328</v>
      </c>
      <c r="G1933" s="4" t="s">
        <v>1611</v>
      </c>
      <c r="N1933" s="4" t="s">
        <v>567</v>
      </c>
      <c r="O1933" s="4" t="s">
        <v>343</v>
      </c>
      <c r="P1933" s="4">
        <v>2</v>
      </c>
      <c r="Q1933" s="4" t="s">
        <v>539</v>
      </c>
      <c r="T1933" s="4">
        <v>27.68</v>
      </c>
      <c r="U1933" s="4">
        <v>0.209</v>
      </c>
      <c r="V1933" s="4">
        <v>29.59</v>
      </c>
      <c r="AG1933" s="4" t="s">
        <v>316</v>
      </c>
      <c r="AH1933" s="4" t="s">
        <v>1608</v>
      </c>
      <c r="AI1933" s="4" t="s">
        <v>1609</v>
      </c>
      <c r="AL1933" s="4" t="s">
        <v>1556</v>
      </c>
      <c r="AM1933" s="4">
        <v>6.56</v>
      </c>
      <c r="AN1933" s="4">
        <v>8.1</v>
      </c>
      <c r="AO1933" s="4">
        <v>168.17</v>
      </c>
      <c r="AQ1933" s="4" t="s">
        <v>7</v>
      </c>
      <c r="AR1933" s="4">
        <v>0.42</v>
      </c>
      <c r="AS1933" s="4" t="s">
        <v>13</v>
      </c>
      <c r="AT1933" s="4">
        <v>253.22</v>
      </c>
      <c r="AU1933" s="4" t="s">
        <v>15</v>
      </c>
      <c r="AV1933" s="4">
        <v>23.62</v>
      </c>
      <c r="AW1933" s="4" t="s">
        <v>12</v>
      </c>
      <c r="AX1933" s="4">
        <v>3.35</v>
      </c>
      <c r="AY1933" s="4" t="s">
        <v>14</v>
      </c>
      <c r="AZ1933" s="4">
        <v>9.55</v>
      </c>
      <c r="BI1933" s="4" t="s">
        <v>321</v>
      </c>
      <c r="BP1933" s="4">
        <v>0.05</v>
      </c>
      <c r="BV1933" s="4" t="s">
        <v>1606</v>
      </c>
      <c r="BW1933" s="4">
        <v>25</v>
      </c>
      <c r="BX1933" s="4">
        <v>75</v>
      </c>
      <c r="CX1933" s="4" t="s">
        <v>314</v>
      </c>
      <c r="DD1933" s="4">
        <v>38.91</v>
      </c>
      <c r="DE1933" s="4">
        <v>48.54</v>
      </c>
      <c r="DO1933" s="57"/>
      <c r="DQ1933" s="58">
        <v>0.303910614525139</v>
      </c>
      <c r="DR1933" s="55"/>
      <c r="DS1933" s="58">
        <v>0.0434540389972136</v>
      </c>
      <c r="DT1933" s="55"/>
      <c r="DY1933" s="1">
        <v>0</v>
      </c>
      <c r="DZ1933" s="1">
        <v>0</v>
      </c>
      <c r="EA1933" s="52">
        <v>85.7017040799609</v>
      </c>
      <c r="ED1933" s="52">
        <v>85.7017040799609</v>
      </c>
    </row>
    <row r="1934" customHeight="1" spans="1:134">
      <c r="A1934" s="54">
        <v>70</v>
      </c>
      <c r="B1934" s="4" t="s">
        <v>1599</v>
      </c>
      <c r="C1934" s="5" t="s">
        <v>1610</v>
      </c>
      <c r="D1934" s="4" t="s">
        <v>300</v>
      </c>
      <c r="E1934" s="4" t="s">
        <v>1603</v>
      </c>
      <c r="F1934" s="4" t="s">
        <v>328</v>
      </c>
      <c r="G1934" s="4" t="s">
        <v>1611</v>
      </c>
      <c r="N1934" s="4" t="s">
        <v>567</v>
      </c>
      <c r="O1934" s="4" t="s">
        <v>343</v>
      </c>
      <c r="P1934" s="4">
        <v>2</v>
      </c>
      <c r="Q1934" s="4" t="s">
        <v>539</v>
      </c>
      <c r="T1934" s="4">
        <v>27.68</v>
      </c>
      <c r="U1934" s="4">
        <v>0.209</v>
      </c>
      <c r="V1934" s="4">
        <v>29.59</v>
      </c>
      <c r="AG1934" s="4" t="s">
        <v>316</v>
      </c>
      <c r="AH1934" s="4" t="s">
        <v>1608</v>
      </c>
      <c r="AI1934" s="4" t="s">
        <v>1609</v>
      </c>
      <c r="AL1934" s="4" t="s">
        <v>1556</v>
      </c>
      <c r="AM1934" s="4">
        <v>6.56</v>
      </c>
      <c r="AN1934" s="4">
        <v>8.1</v>
      </c>
      <c r="AO1934" s="4">
        <v>168.17</v>
      </c>
      <c r="AQ1934" s="4" t="s">
        <v>7</v>
      </c>
      <c r="AR1934" s="4">
        <v>0.42</v>
      </c>
      <c r="AS1934" s="4" t="s">
        <v>13</v>
      </c>
      <c r="AT1934" s="4">
        <v>253.22</v>
      </c>
      <c r="AU1934" s="4" t="s">
        <v>15</v>
      </c>
      <c r="AV1934" s="4">
        <v>23.62</v>
      </c>
      <c r="AW1934" s="4" t="s">
        <v>12</v>
      </c>
      <c r="AX1934" s="4">
        <v>3.35</v>
      </c>
      <c r="AY1934" s="4" t="s">
        <v>14</v>
      </c>
      <c r="AZ1934" s="4">
        <v>9.55</v>
      </c>
      <c r="BI1934" s="4" t="s">
        <v>321</v>
      </c>
      <c r="BP1934" s="4">
        <v>0.05</v>
      </c>
      <c r="BV1934" s="4" t="s">
        <v>1607</v>
      </c>
      <c r="BW1934" s="4">
        <v>25</v>
      </c>
      <c r="BX1934" s="4">
        <v>75</v>
      </c>
      <c r="CX1934" s="4" t="s">
        <v>314</v>
      </c>
      <c r="DD1934" s="4">
        <v>38.91</v>
      </c>
      <c r="DE1934" s="4">
        <v>48.54</v>
      </c>
      <c r="DO1934" s="57"/>
      <c r="DQ1934" s="58">
        <v>0.40558659217877</v>
      </c>
      <c r="DR1934" s="55"/>
      <c r="DS1934" s="58">
        <v>0.0713091922005568</v>
      </c>
      <c r="DT1934" s="55"/>
      <c r="DY1934" s="1">
        <v>0</v>
      </c>
      <c r="DZ1934" s="1">
        <v>0</v>
      </c>
      <c r="EA1934" s="52">
        <v>82.4182570194219</v>
      </c>
      <c r="ED1934" s="52">
        <v>82.4182570194219</v>
      </c>
    </row>
    <row r="1935" customHeight="1" spans="1:134">
      <c r="A1935" s="54">
        <v>70</v>
      </c>
      <c r="B1935" s="4" t="s">
        <v>1599</v>
      </c>
      <c r="C1935" s="5" t="s">
        <v>1610</v>
      </c>
      <c r="D1935" s="4" t="s">
        <v>300</v>
      </c>
      <c r="E1935" s="4" t="s">
        <v>1603</v>
      </c>
      <c r="F1935" s="4" t="s">
        <v>328</v>
      </c>
      <c r="G1935" s="4" t="s">
        <v>1611</v>
      </c>
      <c r="N1935" s="4" t="s">
        <v>567</v>
      </c>
      <c r="O1935" s="4" t="s">
        <v>343</v>
      </c>
      <c r="P1935" s="4">
        <v>2</v>
      </c>
      <c r="Q1935" s="4" t="s">
        <v>539</v>
      </c>
      <c r="T1935" s="4">
        <v>27.68</v>
      </c>
      <c r="U1935" s="4">
        <v>0.209</v>
      </c>
      <c r="V1935" s="4">
        <v>29.59</v>
      </c>
      <c r="AG1935" s="4" t="s">
        <v>316</v>
      </c>
      <c r="AH1935" s="4" t="s">
        <v>1608</v>
      </c>
      <c r="AI1935" s="4" t="s">
        <v>1609</v>
      </c>
      <c r="AL1935" s="4" t="s">
        <v>1556</v>
      </c>
      <c r="AM1935" s="4">
        <v>6.56</v>
      </c>
      <c r="AN1935" s="4">
        <v>8.1</v>
      </c>
      <c r="AO1935" s="4">
        <v>168.17</v>
      </c>
      <c r="AQ1935" s="4" t="s">
        <v>7</v>
      </c>
      <c r="AR1935" s="4">
        <v>0.42</v>
      </c>
      <c r="AS1935" s="4" t="s">
        <v>13</v>
      </c>
      <c r="AT1935" s="4">
        <v>253.22</v>
      </c>
      <c r="AU1935" s="4" t="s">
        <v>15</v>
      </c>
      <c r="AV1935" s="4">
        <v>23.62</v>
      </c>
      <c r="AW1935" s="4" t="s">
        <v>12</v>
      </c>
      <c r="AX1935" s="4">
        <v>3.35</v>
      </c>
      <c r="AY1935" s="4" t="s">
        <v>14</v>
      </c>
      <c r="AZ1935" s="4">
        <v>9.55</v>
      </c>
      <c r="BI1935" s="4" t="s">
        <v>321</v>
      </c>
      <c r="BP1935" s="4">
        <v>0.05</v>
      </c>
      <c r="BV1935" s="4" t="s">
        <v>1552</v>
      </c>
      <c r="BW1935" s="4">
        <v>25</v>
      </c>
      <c r="BX1935" s="4">
        <v>75</v>
      </c>
      <c r="CX1935" s="4" t="s">
        <v>314</v>
      </c>
      <c r="DD1935" s="4">
        <v>38.91</v>
      </c>
      <c r="DE1935" s="4">
        <v>48.54</v>
      </c>
      <c r="DO1935" s="57"/>
      <c r="DQ1935" s="58">
        <v>0.353072625698323</v>
      </c>
      <c r="DR1935" s="55"/>
      <c r="DS1935" s="58">
        <v>0.0345403899721445</v>
      </c>
      <c r="DT1935" s="55"/>
      <c r="DY1935" s="1">
        <v>0</v>
      </c>
      <c r="DZ1935" s="1">
        <v>0</v>
      </c>
      <c r="EA1935" s="52">
        <v>90.2171996756109</v>
      </c>
      <c r="ED1935" s="52">
        <v>90.2171996756109</v>
      </c>
    </row>
    <row r="1936" customHeight="1" spans="1:134">
      <c r="A1936" s="54">
        <v>70</v>
      </c>
      <c r="B1936" s="4" t="s">
        <v>1599</v>
      </c>
      <c r="C1936" s="5" t="s">
        <v>1610</v>
      </c>
      <c r="D1936" s="4" t="s">
        <v>300</v>
      </c>
      <c r="E1936" s="4" t="s">
        <v>1603</v>
      </c>
      <c r="F1936" s="4" t="s">
        <v>328</v>
      </c>
      <c r="G1936" s="4" t="s">
        <v>1611</v>
      </c>
      <c r="N1936" s="4" t="s">
        <v>567</v>
      </c>
      <c r="O1936" s="4" t="s">
        <v>343</v>
      </c>
      <c r="P1936" s="4">
        <v>2</v>
      </c>
      <c r="Q1936" s="4" t="s">
        <v>539</v>
      </c>
      <c r="T1936" s="4">
        <v>27.68</v>
      </c>
      <c r="U1936" s="4">
        <v>0.209</v>
      </c>
      <c r="V1936" s="4">
        <v>29.59</v>
      </c>
      <c r="AG1936" s="4" t="s">
        <v>316</v>
      </c>
      <c r="AH1936" s="4" t="s">
        <v>1608</v>
      </c>
      <c r="AI1936" s="4" t="s">
        <v>1609</v>
      </c>
      <c r="AL1936" s="4" t="s">
        <v>1556</v>
      </c>
      <c r="AM1936" s="4">
        <v>6.56</v>
      </c>
      <c r="AN1936" s="4">
        <v>8.1</v>
      </c>
      <c r="AO1936" s="4">
        <v>168.17</v>
      </c>
      <c r="AQ1936" s="4" t="s">
        <v>7</v>
      </c>
      <c r="AR1936" s="4">
        <v>0.42</v>
      </c>
      <c r="AS1936" s="4" t="s">
        <v>13</v>
      </c>
      <c r="AT1936" s="4">
        <v>253.22</v>
      </c>
      <c r="AU1936" s="4" t="s">
        <v>15</v>
      </c>
      <c r="AV1936" s="4">
        <v>23.62</v>
      </c>
      <c r="AW1936" s="4" t="s">
        <v>12</v>
      </c>
      <c r="AX1936" s="4">
        <v>3.35</v>
      </c>
      <c r="AY1936" s="4" t="s">
        <v>14</v>
      </c>
      <c r="AZ1936" s="4">
        <v>9.55</v>
      </c>
      <c r="BI1936" s="4" t="s">
        <v>321</v>
      </c>
      <c r="BP1936" s="4">
        <v>0.05</v>
      </c>
      <c r="BV1936" s="4" t="s">
        <v>488</v>
      </c>
      <c r="BW1936" s="4">
        <v>25</v>
      </c>
      <c r="BX1936" s="4">
        <v>75</v>
      </c>
      <c r="CX1936" s="4" t="s">
        <v>314</v>
      </c>
      <c r="DD1936" s="4">
        <v>38.91</v>
      </c>
      <c r="DE1936" s="4">
        <v>48.54</v>
      </c>
      <c r="DO1936" s="57"/>
      <c r="DQ1936" s="58">
        <v>0.4</v>
      </c>
      <c r="DR1936" s="55"/>
      <c r="DS1936" s="58">
        <v>0.0300835654596096</v>
      </c>
      <c r="DT1936" s="55"/>
      <c r="DY1936" s="1">
        <v>0</v>
      </c>
      <c r="DZ1936" s="1">
        <v>0</v>
      </c>
      <c r="EA1936" s="52">
        <v>92.4791086350976</v>
      </c>
      <c r="ED1936" s="52">
        <v>92.4791086350976</v>
      </c>
    </row>
    <row r="1937" customHeight="1" spans="1:134">
      <c r="A1937" s="54">
        <v>70</v>
      </c>
      <c r="B1937" s="4" t="s">
        <v>1599</v>
      </c>
      <c r="C1937" s="5" t="s">
        <v>1610</v>
      </c>
      <c r="D1937" s="4" t="s">
        <v>300</v>
      </c>
      <c r="E1937" s="4" t="s">
        <v>1603</v>
      </c>
      <c r="F1937" s="4" t="s">
        <v>328</v>
      </c>
      <c r="G1937" s="4" t="s">
        <v>1611</v>
      </c>
      <c r="N1937" s="4" t="s">
        <v>567</v>
      </c>
      <c r="O1937" s="4" t="s">
        <v>343</v>
      </c>
      <c r="P1937" s="4">
        <v>2</v>
      </c>
      <c r="Q1937" s="4" t="s">
        <v>539</v>
      </c>
      <c r="T1937" s="4">
        <v>27.68</v>
      </c>
      <c r="U1937" s="4">
        <v>0.209</v>
      </c>
      <c r="V1937" s="4">
        <v>29.59</v>
      </c>
      <c r="AG1937" s="4" t="s">
        <v>316</v>
      </c>
      <c r="AH1937" s="4" t="s">
        <v>1608</v>
      </c>
      <c r="AI1937" s="4" t="s">
        <v>1609</v>
      </c>
      <c r="AL1937" s="4" t="s">
        <v>1556</v>
      </c>
      <c r="AM1937" s="4">
        <v>6.56</v>
      </c>
      <c r="AN1937" s="4">
        <v>8.1</v>
      </c>
      <c r="AO1937" s="4">
        <v>168.17</v>
      </c>
      <c r="AQ1937" s="4" t="s">
        <v>7</v>
      </c>
      <c r="AR1937" s="4">
        <v>0.42</v>
      </c>
      <c r="AS1937" s="4" t="s">
        <v>13</v>
      </c>
      <c r="AT1937" s="4">
        <v>253.22</v>
      </c>
      <c r="AU1937" s="4" t="s">
        <v>15</v>
      </c>
      <c r="AV1937" s="4">
        <v>23.62</v>
      </c>
      <c r="AW1937" s="4" t="s">
        <v>12</v>
      </c>
      <c r="AX1937" s="4">
        <v>3.35</v>
      </c>
      <c r="AY1937" s="4" t="s">
        <v>14</v>
      </c>
      <c r="AZ1937" s="4">
        <v>9.55</v>
      </c>
      <c r="BI1937" s="4" t="s">
        <v>321</v>
      </c>
      <c r="BP1937" s="4">
        <v>0.1</v>
      </c>
      <c r="BV1937" s="4" t="s">
        <v>1606</v>
      </c>
      <c r="BW1937" s="4">
        <v>25</v>
      </c>
      <c r="BX1937" s="4">
        <v>75</v>
      </c>
      <c r="CX1937" s="4" t="s">
        <v>314</v>
      </c>
      <c r="DD1937" s="4">
        <v>38.91</v>
      </c>
      <c r="DE1937" s="4">
        <v>48.54</v>
      </c>
      <c r="DO1937" s="57"/>
      <c r="DQ1937" s="58">
        <v>0.303910614525139</v>
      </c>
      <c r="DR1937" s="55"/>
      <c r="DS1937" s="58">
        <v>0.0256267409470747</v>
      </c>
      <c r="DT1937" s="55"/>
      <c r="DY1937" s="1">
        <v>0</v>
      </c>
      <c r="DZ1937" s="1">
        <v>0</v>
      </c>
      <c r="EA1937" s="52">
        <v>91.5676716369</v>
      </c>
      <c r="ED1937" s="52">
        <v>91.5676716369</v>
      </c>
    </row>
    <row r="1938" customHeight="1" spans="1:134">
      <c r="A1938" s="54">
        <v>70</v>
      </c>
      <c r="B1938" s="4" t="s">
        <v>1599</v>
      </c>
      <c r="C1938" s="5" t="s">
        <v>1610</v>
      </c>
      <c r="D1938" s="4" t="s">
        <v>300</v>
      </c>
      <c r="E1938" s="4" t="s">
        <v>1603</v>
      </c>
      <c r="F1938" s="4" t="s">
        <v>328</v>
      </c>
      <c r="G1938" s="4" t="s">
        <v>1611</v>
      </c>
      <c r="N1938" s="4" t="s">
        <v>567</v>
      </c>
      <c r="O1938" s="4" t="s">
        <v>343</v>
      </c>
      <c r="P1938" s="4">
        <v>2</v>
      </c>
      <c r="Q1938" s="4" t="s">
        <v>539</v>
      </c>
      <c r="T1938" s="4">
        <v>27.68</v>
      </c>
      <c r="U1938" s="4">
        <v>0.209</v>
      </c>
      <c r="V1938" s="4">
        <v>29.59</v>
      </c>
      <c r="AG1938" s="4" t="s">
        <v>316</v>
      </c>
      <c r="AH1938" s="4" t="s">
        <v>1608</v>
      </c>
      <c r="AI1938" s="4" t="s">
        <v>1609</v>
      </c>
      <c r="AL1938" s="4" t="s">
        <v>1556</v>
      </c>
      <c r="AM1938" s="4">
        <v>6.56</v>
      </c>
      <c r="AN1938" s="4">
        <v>8.1</v>
      </c>
      <c r="AO1938" s="4">
        <v>168.17</v>
      </c>
      <c r="AQ1938" s="4" t="s">
        <v>7</v>
      </c>
      <c r="AR1938" s="4">
        <v>0.42</v>
      </c>
      <c r="AS1938" s="4" t="s">
        <v>13</v>
      </c>
      <c r="AT1938" s="4">
        <v>253.22</v>
      </c>
      <c r="AU1938" s="4" t="s">
        <v>15</v>
      </c>
      <c r="AV1938" s="4">
        <v>23.62</v>
      </c>
      <c r="AW1938" s="4" t="s">
        <v>12</v>
      </c>
      <c r="AX1938" s="4">
        <v>3.35</v>
      </c>
      <c r="AY1938" s="4" t="s">
        <v>14</v>
      </c>
      <c r="AZ1938" s="4">
        <v>9.55</v>
      </c>
      <c r="BI1938" s="4" t="s">
        <v>321</v>
      </c>
      <c r="BP1938" s="4">
        <v>0.1</v>
      </c>
      <c r="BV1938" s="4" t="s">
        <v>1607</v>
      </c>
      <c r="BW1938" s="4">
        <v>25</v>
      </c>
      <c r="BX1938" s="4">
        <v>75</v>
      </c>
      <c r="CX1938" s="4" t="s">
        <v>314</v>
      </c>
      <c r="DD1938" s="4">
        <v>38.91</v>
      </c>
      <c r="DE1938" s="4">
        <v>48.54</v>
      </c>
      <c r="DO1938" s="57"/>
      <c r="DQ1938" s="58">
        <v>0.40558659217877</v>
      </c>
      <c r="DR1938" s="55"/>
      <c r="DS1938" s="58">
        <v>0.0345403899721445</v>
      </c>
      <c r="DT1938" s="55"/>
      <c r="DY1938" s="1">
        <v>0</v>
      </c>
      <c r="DZ1938" s="1">
        <v>0</v>
      </c>
      <c r="EA1938" s="52">
        <v>91.4838432437825</v>
      </c>
      <c r="ED1938" s="52">
        <v>91.4838432437825</v>
      </c>
    </row>
    <row r="1939" customHeight="1" spans="1:134">
      <c r="A1939" s="54">
        <v>70</v>
      </c>
      <c r="B1939" s="4" t="s">
        <v>1599</v>
      </c>
      <c r="C1939" s="5" t="s">
        <v>1610</v>
      </c>
      <c r="D1939" s="4" t="s">
        <v>300</v>
      </c>
      <c r="E1939" s="4" t="s">
        <v>1603</v>
      </c>
      <c r="F1939" s="4" t="s">
        <v>328</v>
      </c>
      <c r="G1939" s="4" t="s">
        <v>1611</v>
      </c>
      <c r="N1939" s="4" t="s">
        <v>567</v>
      </c>
      <c r="O1939" s="4" t="s">
        <v>343</v>
      </c>
      <c r="P1939" s="4">
        <v>2</v>
      </c>
      <c r="Q1939" s="4" t="s">
        <v>539</v>
      </c>
      <c r="T1939" s="4">
        <v>27.68</v>
      </c>
      <c r="U1939" s="4">
        <v>0.209</v>
      </c>
      <c r="V1939" s="4">
        <v>29.59</v>
      </c>
      <c r="AG1939" s="4" t="s">
        <v>316</v>
      </c>
      <c r="AH1939" s="4" t="s">
        <v>1608</v>
      </c>
      <c r="AI1939" s="4" t="s">
        <v>1609</v>
      </c>
      <c r="AL1939" s="4" t="s">
        <v>1556</v>
      </c>
      <c r="AM1939" s="4">
        <v>6.56</v>
      </c>
      <c r="AN1939" s="4">
        <v>8.1</v>
      </c>
      <c r="AO1939" s="4">
        <v>168.17</v>
      </c>
      <c r="AQ1939" s="4" t="s">
        <v>7</v>
      </c>
      <c r="AR1939" s="4">
        <v>0.42</v>
      </c>
      <c r="AS1939" s="4" t="s">
        <v>13</v>
      </c>
      <c r="AT1939" s="4">
        <v>253.22</v>
      </c>
      <c r="AU1939" s="4" t="s">
        <v>15</v>
      </c>
      <c r="AV1939" s="4">
        <v>23.62</v>
      </c>
      <c r="AW1939" s="4" t="s">
        <v>12</v>
      </c>
      <c r="AX1939" s="4">
        <v>3.35</v>
      </c>
      <c r="AY1939" s="4" t="s">
        <v>14</v>
      </c>
      <c r="AZ1939" s="4">
        <v>9.55</v>
      </c>
      <c r="BI1939" s="4" t="s">
        <v>321</v>
      </c>
      <c r="BP1939" s="4">
        <v>0.1</v>
      </c>
      <c r="BV1939" s="4" t="s">
        <v>1552</v>
      </c>
      <c r="BW1939" s="4">
        <v>25</v>
      </c>
      <c r="BX1939" s="4">
        <v>75</v>
      </c>
      <c r="CX1939" s="4" t="s">
        <v>314</v>
      </c>
      <c r="DD1939" s="4">
        <v>38.91</v>
      </c>
      <c r="DE1939" s="4">
        <v>48.54</v>
      </c>
      <c r="DO1939" s="57"/>
      <c r="DQ1939" s="58">
        <v>0.353072625698323</v>
      </c>
      <c r="DR1939" s="55"/>
      <c r="DS1939" s="58">
        <v>0.0256267409470747</v>
      </c>
      <c r="DT1939" s="55"/>
      <c r="DY1939" s="1">
        <v>0</v>
      </c>
      <c r="DZ1939" s="1">
        <v>0</v>
      </c>
      <c r="EA1939" s="52">
        <v>92.7417933077114</v>
      </c>
      <c r="ED1939" s="52">
        <v>92.7417933077114</v>
      </c>
    </row>
    <row r="1940" customHeight="1" spans="1:134">
      <c r="A1940" s="54">
        <v>70</v>
      </c>
      <c r="B1940" s="4" t="s">
        <v>1599</v>
      </c>
      <c r="C1940" s="5" t="s">
        <v>1610</v>
      </c>
      <c r="D1940" s="4" t="s">
        <v>300</v>
      </c>
      <c r="E1940" s="4" t="s">
        <v>1603</v>
      </c>
      <c r="F1940" s="4" t="s">
        <v>328</v>
      </c>
      <c r="G1940" s="4" t="s">
        <v>1611</v>
      </c>
      <c r="N1940" s="4" t="s">
        <v>567</v>
      </c>
      <c r="O1940" s="4" t="s">
        <v>343</v>
      </c>
      <c r="P1940" s="4">
        <v>2</v>
      </c>
      <c r="Q1940" s="4" t="s">
        <v>539</v>
      </c>
      <c r="T1940" s="4">
        <v>27.68</v>
      </c>
      <c r="U1940" s="4">
        <v>0.209</v>
      </c>
      <c r="V1940" s="4">
        <v>29.59</v>
      </c>
      <c r="AG1940" s="4" t="s">
        <v>316</v>
      </c>
      <c r="AH1940" s="4" t="s">
        <v>1608</v>
      </c>
      <c r="AI1940" s="4" t="s">
        <v>1609</v>
      </c>
      <c r="AL1940" s="4" t="s">
        <v>1556</v>
      </c>
      <c r="AM1940" s="4">
        <v>6.56</v>
      </c>
      <c r="AN1940" s="4">
        <v>8.1</v>
      </c>
      <c r="AO1940" s="4">
        <v>168.17</v>
      </c>
      <c r="AQ1940" s="4" t="s">
        <v>7</v>
      </c>
      <c r="AR1940" s="4">
        <v>0.42</v>
      </c>
      <c r="AS1940" s="4" t="s">
        <v>13</v>
      </c>
      <c r="AT1940" s="4">
        <v>253.22</v>
      </c>
      <c r="AU1940" s="4" t="s">
        <v>15</v>
      </c>
      <c r="AV1940" s="4">
        <v>23.62</v>
      </c>
      <c r="AW1940" s="4" t="s">
        <v>12</v>
      </c>
      <c r="AX1940" s="4">
        <v>3.35</v>
      </c>
      <c r="AY1940" s="4" t="s">
        <v>14</v>
      </c>
      <c r="AZ1940" s="4">
        <v>9.55</v>
      </c>
      <c r="BI1940" s="4" t="s">
        <v>321</v>
      </c>
      <c r="BP1940" s="4">
        <v>0.1</v>
      </c>
      <c r="BV1940" s="4" t="s">
        <v>488</v>
      </c>
      <c r="BW1940" s="4">
        <v>25</v>
      </c>
      <c r="BX1940" s="4">
        <v>75</v>
      </c>
      <c r="CX1940" s="4" t="s">
        <v>314</v>
      </c>
      <c r="DD1940" s="4">
        <v>38.91</v>
      </c>
      <c r="DE1940" s="4">
        <v>48.54</v>
      </c>
      <c r="DO1940" s="57"/>
      <c r="DQ1940" s="58">
        <v>0.4</v>
      </c>
      <c r="DR1940" s="55"/>
      <c r="DS1940" s="58">
        <v>0.018941504178272</v>
      </c>
      <c r="DT1940" s="55"/>
      <c r="DY1940" s="1">
        <v>0</v>
      </c>
      <c r="DZ1940" s="1">
        <v>0</v>
      </c>
      <c r="EA1940" s="52">
        <v>95.264623955432</v>
      </c>
      <c r="ED1940" s="52">
        <v>95.264623955432</v>
      </c>
    </row>
    <row r="1941" customHeight="1" spans="1:134">
      <c r="A1941" s="54">
        <v>70</v>
      </c>
      <c r="B1941" s="4" t="s">
        <v>1599</v>
      </c>
      <c r="C1941" s="5" t="s">
        <v>1612</v>
      </c>
      <c r="D1941" s="4" t="s">
        <v>300</v>
      </c>
      <c r="E1941" s="4" t="s">
        <v>1603</v>
      </c>
      <c r="F1941" s="4" t="s">
        <v>328</v>
      </c>
      <c r="G1941" s="4" t="s">
        <v>1611</v>
      </c>
      <c r="N1941" s="4" t="s">
        <v>567</v>
      </c>
      <c r="O1941" s="4" t="s">
        <v>343</v>
      </c>
      <c r="P1941" s="4">
        <v>2</v>
      </c>
      <c r="Q1941" s="4" t="s">
        <v>539</v>
      </c>
      <c r="T1941" s="4">
        <v>27.19</v>
      </c>
      <c r="U1941" s="4">
        <v>0.209</v>
      </c>
      <c r="V1941" s="4">
        <v>32.34</v>
      </c>
      <c r="AG1941" s="4" t="s">
        <v>316</v>
      </c>
      <c r="AH1941" s="4" t="s">
        <v>1601</v>
      </c>
      <c r="AI1941" s="4" t="s">
        <v>1602</v>
      </c>
      <c r="AL1941" s="4" t="s">
        <v>1556</v>
      </c>
      <c r="AM1941" s="4">
        <v>8.78</v>
      </c>
      <c r="AN1941" s="4">
        <v>4.32</v>
      </c>
      <c r="AO1941" s="4">
        <v>180.29</v>
      </c>
      <c r="AQ1941" s="4" t="s">
        <v>7</v>
      </c>
      <c r="AR1941" s="4">
        <v>1.25</v>
      </c>
      <c r="AS1941" s="4" t="s">
        <v>13</v>
      </c>
      <c r="AT1941" s="4">
        <v>138.52</v>
      </c>
      <c r="AU1941" s="4" t="s">
        <v>15</v>
      </c>
      <c r="AV1941" s="4">
        <v>27.65</v>
      </c>
      <c r="AW1941" s="4" t="s">
        <v>12</v>
      </c>
      <c r="AX1941" s="4">
        <v>2.44</v>
      </c>
      <c r="AY1941" s="4" t="s">
        <v>14</v>
      </c>
      <c r="AZ1941" s="4">
        <v>5.56</v>
      </c>
      <c r="BI1941" s="4" t="s">
        <v>321</v>
      </c>
      <c r="BP1941" s="4">
        <v>0.1</v>
      </c>
      <c r="BV1941" s="4" t="s">
        <v>522</v>
      </c>
      <c r="BW1941" s="4">
        <v>25</v>
      </c>
      <c r="BX1941" s="4">
        <v>75</v>
      </c>
      <c r="CX1941" s="4" t="s">
        <v>314</v>
      </c>
      <c r="DD1941" s="4">
        <v>33.53</v>
      </c>
      <c r="DE1941" s="4">
        <v>32.16</v>
      </c>
      <c r="DO1941" s="57"/>
      <c r="DQ1941" s="58">
        <v>1.25270964061608</v>
      </c>
      <c r="DR1941" s="55">
        <v>0.03422703936109</v>
      </c>
      <c r="DS1941" s="58">
        <v>0.306332002281802</v>
      </c>
      <c r="DT1941" s="55">
        <v>0.001711351968055</v>
      </c>
      <c r="DY1941" s="1">
        <v>0</v>
      </c>
      <c r="DZ1941" s="1">
        <v>0</v>
      </c>
      <c r="EA1941" s="52">
        <v>75.5464480874316</v>
      </c>
      <c r="ED1941" s="52">
        <v>75.5464480874316</v>
      </c>
    </row>
    <row r="1942" customHeight="1" spans="1:134">
      <c r="A1942" s="54">
        <v>70</v>
      </c>
      <c r="B1942" s="4" t="s">
        <v>1599</v>
      </c>
      <c r="C1942" s="5" t="s">
        <v>1612</v>
      </c>
      <c r="D1942" s="4" t="s">
        <v>300</v>
      </c>
      <c r="E1942" s="4" t="s">
        <v>1603</v>
      </c>
      <c r="F1942" s="4" t="s">
        <v>328</v>
      </c>
      <c r="G1942" s="4" t="s">
        <v>1611</v>
      </c>
      <c r="N1942" s="4" t="s">
        <v>567</v>
      </c>
      <c r="O1942" s="4" t="s">
        <v>343</v>
      </c>
      <c r="P1942" s="4">
        <v>2</v>
      </c>
      <c r="Q1942" s="4" t="s">
        <v>539</v>
      </c>
      <c r="T1942" s="4">
        <v>27.19</v>
      </c>
      <c r="U1942" s="4">
        <v>0.209</v>
      </c>
      <c r="V1942" s="4">
        <v>32.34</v>
      </c>
      <c r="AG1942" s="4" t="s">
        <v>316</v>
      </c>
      <c r="AH1942" s="4" t="s">
        <v>346</v>
      </c>
      <c r="AI1942" s="4" t="s">
        <v>1604</v>
      </c>
      <c r="AL1942" s="4" t="s">
        <v>1556</v>
      </c>
      <c r="AM1942" s="4">
        <v>5.65</v>
      </c>
      <c r="AN1942" s="4">
        <v>7.53</v>
      </c>
      <c r="AO1942" s="4">
        <v>168.17</v>
      </c>
      <c r="AQ1942" s="4" t="s">
        <v>7</v>
      </c>
      <c r="AR1942" s="4">
        <v>0.89</v>
      </c>
      <c r="AS1942" s="4" t="s">
        <v>13</v>
      </c>
      <c r="AT1942" s="4">
        <v>380.94</v>
      </c>
      <c r="AU1942" s="4" t="s">
        <v>15</v>
      </c>
      <c r="AV1942" s="4">
        <v>58.78</v>
      </c>
      <c r="AW1942" s="4" t="s">
        <v>12</v>
      </c>
      <c r="AX1942" s="4">
        <v>5.9</v>
      </c>
      <c r="AY1942" s="4" t="s">
        <v>14</v>
      </c>
      <c r="AZ1942" s="4">
        <v>13.24</v>
      </c>
      <c r="BI1942" s="4" t="s">
        <v>321</v>
      </c>
      <c r="BP1942" s="4">
        <v>0.1</v>
      </c>
      <c r="BV1942" s="4" t="s">
        <v>522</v>
      </c>
      <c r="BW1942" s="4">
        <v>25</v>
      </c>
      <c r="BX1942" s="4">
        <v>75</v>
      </c>
      <c r="CX1942" s="4" t="s">
        <v>314</v>
      </c>
      <c r="DD1942" s="4">
        <v>33.53</v>
      </c>
      <c r="DE1942" s="4">
        <v>32.16</v>
      </c>
      <c r="DO1942" s="57"/>
      <c r="DQ1942" s="58">
        <v>0.899449035812672</v>
      </c>
      <c r="DR1942" s="55">
        <v>0.010330578512397</v>
      </c>
      <c r="DS1942" s="58">
        <v>0.174931129476584</v>
      </c>
      <c r="DT1942" s="50">
        <v>0.013085399449036</v>
      </c>
      <c r="DY1942" s="1">
        <v>0</v>
      </c>
      <c r="DZ1942" s="1">
        <v>0</v>
      </c>
      <c r="EA1942" s="52">
        <v>80.5513016845329</v>
      </c>
      <c r="ED1942" s="52">
        <v>80.5513016845329</v>
      </c>
    </row>
    <row r="1943" customHeight="1" spans="1:134">
      <c r="A1943" s="54">
        <v>70</v>
      </c>
      <c r="B1943" s="4" t="s">
        <v>1599</v>
      </c>
      <c r="C1943" s="5" t="s">
        <v>1612</v>
      </c>
      <c r="D1943" s="4" t="s">
        <v>300</v>
      </c>
      <c r="E1943" s="4" t="s">
        <v>1603</v>
      </c>
      <c r="F1943" s="4" t="s">
        <v>328</v>
      </c>
      <c r="G1943" s="4" t="s">
        <v>1611</v>
      </c>
      <c r="N1943" s="4" t="s">
        <v>567</v>
      </c>
      <c r="O1943" s="4" t="s">
        <v>343</v>
      </c>
      <c r="P1943" s="4">
        <v>2</v>
      </c>
      <c r="Q1943" s="4" t="s">
        <v>539</v>
      </c>
      <c r="T1943" s="4">
        <v>27.19</v>
      </c>
      <c r="U1943" s="4">
        <v>0.209</v>
      </c>
      <c r="V1943" s="4">
        <v>32.34</v>
      </c>
      <c r="AG1943" s="4" t="s">
        <v>316</v>
      </c>
      <c r="AH1943" s="4" t="s">
        <v>1601</v>
      </c>
      <c r="AI1943" s="4" t="s">
        <v>1602</v>
      </c>
      <c r="AL1943" s="4" t="s">
        <v>1556</v>
      </c>
      <c r="AM1943" s="4">
        <v>8.78</v>
      </c>
      <c r="AN1943" s="4">
        <v>4.32</v>
      </c>
      <c r="AO1943" s="4">
        <v>180.29</v>
      </c>
      <c r="AQ1943" s="4" t="s">
        <v>7</v>
      </c>
      <c r="AR1943" s="4">
        <v>1.25</v>
      </c>
      <c r="AS1943" s="4" t="s">
        <v>13</v>
      </c>
      <c r="AT1943" s="4">
        <v>138.52</v>
      </c>
      <c r="AU1943" s="4" t="s">
        <v>15</v>
      </c>
      <c r="AV1943" s="4">
        <v>27.65</v>
      </c>
      <c r="AW1943" s="4" t="s">
        <v>12</v>
      </c>
      <c r="AX1943" s="4">
        <v>2.44</v>
      </c>
      <c r="AY1943" s="4" t="s">
        <v>14</v>
      </c>
      <c r="AZ1943" s="4">
        <v>5.56</v>
      </c>
      <c r="BI1943" s="4" t="s">
        <v>321</v>
      </c>
      <c r="BP1943" s="4">
        <v>0.05</v>
      </c>
      <c r="BV1943" s="4" t="s">
        <v>522</v>
      </c>
      <c r="BW1943" s="4">
        <v>25</v>
      </c>
      <c r="BX1943" s="4">
        <v>75</v>
      </c>
      <c r="CX1943" s="4" t="s">
        <v>314</v>
      </c>
      <c r="DD1943" s="4">
        <v>33.53</v>
      </c>
      <c r="DE1943" s="4">
        <v>32.16</v>
      </c>
      <c r="DO1943" s="57"/>
      <c r="DQ1943" s="58">
        <v>1.25270964061608</v>
      </c>
      <c r="DR1943" s="55">
        <v>0.03422703936109</v>
      </c>
      <c r="DS1943" s="59">
        <v>0.464046822742475</v>
      </c>
      <c r="DT1943" s="50">
        <v>0.016722408026756</v>
      </c>
      <c r="DY1943" s="1">
        <v>0</v>
      </c>
      <c r="DZ1943" s="1">
        <v>0</v>
      </c>
      <c r="EA1943" s="52">
        <v>62.9565537218778</v>
      </c>
      <c r="ED1943" s="52">
        <v>62.9565537218778</v>
      </c>
    </row>
    <row r="1944" customHeight="1" spans="1:134">
      <c r="A1944" s="54">
        <v>70</v>
      </c>
      <c r="B1944" s="4" t="s">
        <v>1599</v>
      </c>
      <c r="C1944" s="5" t="s">
        <v>1612</v>
      </c>
      <c r="D1944" s="4" t="s">
        <v>300</v>
      </c>
      <c r="E1944" s="4" t="s">
        <v>1603</v>
      </c>
      <c r="F1944" s="4" t="s">
        <v>328</v>
      </c>
      <c r="G1944" s="4" t="s">
        <v>1611</v>
      </c>
      <c r="N1944" s="4" t="s">
        <v>567</v>
      </c>
      <c r="O1944" s="4" t="s">
        <v>343</v>
      </c>
      <c r="P1944" s="4">
        <v>2</v>
      </c>
      <c r="Q1944" s="4" t="s">
        <v>539</v>
      </c>
      <c r="T1944" s="4">
        <v>27.19</v>
      </c>
      <c r="U1944" s="4">
        <v>0.209</v>
      </c>
      <c r="V1944" s="4">
        <v>32.34</v>
      </c>
      <c r="AG1944" s="4" t="s">
        <v>316</v>
      </c>
      <c r="AH1944" s="4" t="s">
        <v>346</v>
      </c>
      <c r="AI1944" s="4" t="s">
        <v>1604</v>
      </c>
      <c r="AL1944" s="4" t="s">
        <v>1556</v>
      </c>
      <c r="AM1944" s="4">
        <v>5.65</v>
      </c>
      <c r="AN1944" s="4">
        <v>7.53</v>
      </c>
      <c r="AO1944" s="4">
        <v>168.17</v>
      </c>
      <c r="AQ1944" s="4" t="s">
        <v>7</v>
      </c>
      <c r="AR1944" s="4">
        <v>0.89</v>
      </c>
      <c r="AS1944" s="4" t="s">
        <v>13</v>
      </c>
      <c r="AT1944" s="4">
        <v>380.94</v>
      </c>
      <c r="AU1944" s="4" t="s">
        <v>15</v>
      </c>
      <c r="AV1944" s="4">
        <v>58.78</v>
      </c>
      <c r="AW1944" s="4" t="s">
        <v>12</v>
      </c>
      <c r="AX1944" s="4">
        <v>5.9</v>
      </c>
      <c r="AY1944" s="4" t="s">
        <v>14</v>
      </c>
      <c r="AZ1944" s="4">
        <v>13.24</v>
      </c>
      <c r="BI1944" s="4" t="s">
        <v>321</v>
      </c>
      <c r="BP1944" s="4">
        <v>0.05</v>
      </c>
      <c r="BV1944" s="4" t="s">
        <v>522</v>
      </c>
      <c r="BW1944" s="4">
        <v>25</v>
      </c>
      <c r="BX1944" s="4">
        <v>75</v>
      </c>
      <c r="CX1944" s="4" t="s">
        <v>314</v>
      </c>
      <c r="DD1944" s="4">
        <v>33.53</v>
      </c>
      <c r="DE1944" s="4">
        <v>32.16</v>
      </c>
      <c r="DO1944" s="57"/>
      <c r="DQ1944" s="58">
        <v>0.899449035812672</v>
      </c>
      <c r="DR1944" s="55">
        <v>0.010330578512397</v>
      </c>
      <c r="DS1944" s="50">
        <v>0.285123966942148</v>
      </c>
      <c r="DT1944" s="50">
        <v>0.016528925619834</v>
      </c>
      <c r="DY1944" s="1">
        <v>0</v>
      </c>
      <c r="DZ1944" s="1">
        <v>0</v>
      </c>
      <c r="EA1944" s="52">
        <v>68.3001531393569</v>
      </c>
      <c r="ED1944" s="52">
        <v>68.3001531393569</v>
      </c>
    </row>
    <row r="1945" customHeight="1" spans="1:134">
      <c r="A1945" s="54">
        <v>70</v>
      </c>
      <c r="B1945" s="4" t="s">
        <v>1599</v>
      </c>
      <c r="C1945" s="5" t="s">
        <v>1612</v>
      </c>
      <c r="D1945" s="4" t="s">
        <v>300</v>
      </c>
      <c r="E1945" s="4" t="s">
        <v>1603</v>
      </c>
      <c r="F1945" s="4" t="s">
        <v>328</v>
      </c>
      <c r="G1945" s="4" t="s">
        <v>1611</v>
      </c>
      <c r="N1945" s="4" t="s">
        <v>567</v>
      </c>
      <c r="O1945" s="4" t="s">
        <v>343</v>
      </c>
      <c r="P1945" s="4">
        <v>2</v>
      </c>
      <c r="Q1945" s="4" t="s">
        <v>539</v>
      </c>
      <c r="T1945" s="4">
        <v>27.19</v>
      </c>
      <c r="U1945" s="4">
        <v>0.209</v>
      </c>
      <c r="V1945" s="4">
        <v>32.34</v>
      </c>
      <c r="AG1945" s="4" t="s">
        <v>316</v>
      </c>
      <c r="AH1945" s="4" t="s">
        <v>1601</v>
      </c>
      <c r="AI1945" s="4" t="s">
        <v>1602</v>
      </c>
      <c r="AL1945" s="4" t="s">
        <v>1556</v>
      </c>
      <c r="AM1945" s="4">
        <v>8.78</v>
      </c>
      <c r="AN1945" s="4">
        <v>4.32</v>
      </c>
      <c r="AO1945" s="4">
        <v>180.29</v>
      </c>
      <c r="AQ1945" s="4" t="s">
        <v>7</v>
      </c>
      <c r="AR1945" s="4">
        <v>1.25</v>
      </c>
      <c r="AS1945" s="4" t="s">
        <v>13</v>
      </c>
      <c r="AT1945" s="4">
        <v>138.52</v>
      </c>
      <c r="AU1945" s="4" t="s">
        <v>15</v>
      </c>
      <c r="AV1945" s="4">
        <v>27.65</v>
      </c>
      <c r="AW1945" s="4" t="s">
        <v>12</v>
      </c>
      <c r="AX1945" s="4">
        <v>2.44</v>
      </c>
      <c r="AY1945" s="4" t="s">
        <v>14</v>
      </c>
      <c r="AZ1945" s="4">
        <v>5.56</v>
      </c>
      <c r="BI1945" s="4" t="s">
        <v>321</v>
      </c>
      <c r="BP1945" s="4">
        <v>0.025</v>
      </c>
      <c r="BV1945" s="4" t="s">
        <v>522</v>
      </c>
      <c r="BW1945" s="4">
        <v>25</v>
      </c>
      <c r="BX1945" s="4">
        <v>75</v>
      </c>
      <c r="CX1945" s="4" t="s">
        <v>314</v>
      </c>
      <c r="DD1945" s="4">
        <v>33.53</v>
      </c>
      <c r="DE1945" s="4">
        <v>32.16</v>
      </c>
      <c r="DO1945" s="57"/>
      <c r="DQ1945" s="58">
        <v>1.25270964061608</v>
      </c>
      <c r="DR1945" s="55">
        <v>0.03422703936109</v>
      </c>
      <c r="DS1945" s="50">
        <v>0.563545150501672</v>
      </c>
      <c r="DT1945" s="50">
        <v>0.00501672240802697</v>
      </c>
      <c r="DY1945" s="1">
        <v>0</v>
      </c>
      <c r="DZ1945" s="1">
        <v>0</v>
      </c>
      <c r="EA1945" s="52">
        <v>55.0139048802625</v>
      </c>
      <c r="ED1945" s="52">
        <v>55.0139048802625</v>
      </c>
    </row>
    <row r="1946" customHeight="1" spans="1:134">
      <c r="A1946" s="54">
        <v>70</v>
      </c>
      <c r="B1946" s="4" t="s">
        <v>1599</v>
      </c>
      <c r="C1946" s="5" t="s">
        <v>1612</v>
      </c>
      <c r="D1946" s="4" t="s">
        <v>300</v>
      </c>
      <c r="E1946" s="4" t="s">
        <v>1603</v>
      </c>
      <c r="F1946" s="4" t="s">
        <v>328</v>
      </c>
      <c r="G1946" s="4" t="s">
        <v>1611</v>
      </c>
      <c r="N1946" s="4" t="s">
        <v>567</v>
      </c>
      <c r="O1946" s="4" t="s">
        <v>343</v>
      </c>
      <c r="P1946" s="4">
        <v>2</v>
      </c>
      <c r="Q1946" s="4" t="s">
        <v>539</v>
      </c>
      <c r="T1946" s="4">
        <v>27.19</v>
      </c>
      <c r="U1946" s="4">
        <v>0.209</v>
      </c>
      <c r="V1946" s="4">
        <v>32.34</v>
      </c>
      <c r="AG1946" s="4" t="s">
        <v>316</v>
      </c>
      <c r="AH1946" s="4" t="s">
        <v>346</v>
      </c>
      <c r="AI1946" s="4" t="s">
        <v>1604</v>
      </c>
      <c r="AL1946" s="4" t="s">
        <v>1556</v>
      </c>
      <c r="AM1946" s="4">
        <v>5.65</v>
      </c>
      <c r="AN1946" s="4">
        <v>7.53</v>
      </c>
      <c r="AO1946" s="4">
        <v>168.17</v>
      </c>
      <c r="AQ1946" s="4" t="s">
        <v>7</v>
      </c>
      <c r="AR1946" s="4">
        <v>0.89</v>
      </c>
      <c r="AS1946" s="4" t="s">
        <v>13</v>
      </c>
      <c r="AT1946" s="4">
        <v>380.94</v>
      </c>
      <c r="AU1946" s="4" t="s">
        <v>15</v>
      </c>
      <c r="AV1946" s="4">
        <v>58.78</v>
      </c>
      <c r="AW1946" s="4" t="s">
        <v>12</v>
      </c>
      <c r="AX1946" s="4">
        <v>5.9</v>
      </c>
      <c r="AY1946" s="4" t="s">
        <v>14</v>
      </c>
      <c r="AZ1946" s="4">
        <v>13.24</v>
      </c>
      <c r="BI1946" s="4" t="s">
        <v>321</v>
      </c>
      <c r="BP1946" s="4">
        <v>0.025</v>
      </c>
      <c r="BV1946" s="4" t="s">
        <v>522</v>
      </c>
      <c r="BW1946" s="4">
        <v>25</v>
      </c>
      <c r="BX1946" s="4">
        <v>75</v>
      </c>
      <c r="CX1946" s="4" t="s">
        <v>314</v>
      </c>
      <c r="DD1946" s="4">
        <v>33.53</v>
      </c>
      <c r="DE1946" s="4">
        <v>32.16</v>
      </c>
      <c r="DO1946" s="57"/>
      <c r="DQ1946" s="58">
        <v>0.899449035812672</v>
      </c>
      <c r="DR1946" s="55">
        <v>0.010330578512397</v>
      </c>
      <c r="DS1946" s="50">
        <v>0.34551724137931</v>
      </c>
      <c r="DT1946" s="50">
        <v>0.00896551724138001</v>
      </c>
      <c r="DY1946" s="1">
        <v>0</v>
      </c>
      <c r="DZ1946" s="1">
        <v>0</v>
      </c>
      <c r="EA1946" s="52">
        <v>61.5856788298041</v>
      </c>
      <c r="ED1946" s="52">
        <v>61.5856788298041</v>
      </c>
    </row>
    <row r="1947" customHeight="1" spans="1:134">
      <c r="A1947" s="54">
        <v>70</v>
      </c>
      <c r="B1947" s="4" t="s">
        <v>1599</v>
      </c>
      <c r="C1947" s="5" t="s">
        <v>1612</v>
      </c>
      <c r="D1947" s="4" t="s">
        <v>300</v>
      </c>
      <c r="E1947" s="4" t="s">
        <v>1603</v>
      </c>
      <c r="F1947" s="4" t="s">
        <v>328</v>
      </c>
      <c r="G1947" s="4" t="s">
        <v>1611</v>
      </c>
      <c r="N1947" s="4" t="s">
        <v>567</v>
      </c>
      <c r="O1947" s="4" t="s">
        <v>343</v>
      </c>
      <c r="P1947" s="4">
        <v>2</v>
      </c>
      <c r="Q1947" s="4" t="s">
        <v>539</v>
      </c>
      <c r="T1947" s="4">
        <v>27.19</v>
      </c>
      <c r="U1947" s="4">
        <v>0.209</v>
      </c>
      <c r="V1947" s="4">
        <v>32.34</v>
      </c>
      <c r="AG1947" s="4" t="s">
        <v>316</v>
      </c>
      <c r="AH1947" s="4" t="s">
        <v>1601</v>
      </c>
      <c r="AI1947" s="4" t="s">
        <v>1605</v>
      </c>
      <c r="AL1947" s="4" t="s">
        <v>1556</v>
      </c>
      <c r="AM1947" s="4">
        <v>7.73</v>
      </c>
      <c r="AN1947" s="4">
        <v>4.28</v>
      </c>
      <c r="AO1947" s="4">
        <v>207.91</v>
      </c>
      <c r="AQ1947" s="4" t="s">
        <v>7</v>
      </c>
      <c r="AR1947" s="4">
        <v>1.12</v>
      </c>
      <c r="AS1947" s="4" t="s">
        <v>13</v>
      </c>
      <c r="AT1947" s="4">
        <v>52.39</v>
      </c>
      <c r="AU1947" s="4" t="s">
        <v>15</v>
      </c>
      <c r="AV1947" s="4">
        <v>96</v>
      </c>
      <c r="AW1947" s="4" t="s">
        <v>12</v>
      </c>
      <c r="AX1947" s="4">
        <v>3.45</v>
      </c>
      <c r="AY1947" s="4" t="s">
        <v>14</v>
      </c>
      <c r="AZ1947" s="4">
        <v>4.95</v>
      </c>
      <c r="BI1947" s="4" t="s">
        <v>321</v>
      </c>
      <c r="BP1947" s="4">
        <v>0.025</v>
      </c>
      <c r="BV1947" s="4" t="s">
        <v>1606</v>
      </c>
      <c r="BW1947" s="4">
        <v>25</v>
      </c>
      <c r="BX1947" s="4">
        <v>75</v>
      </c>
      <c r="CX1947" s="4" t="s">
        <v>314</v>
      </c>
      <c r="DD1947" s="4">
        <v>33.53</v>
      </c>
      <c r="DE1947" s="4">
        <v>32.16</v>
      </c>
      <c r="DO1947" s="57"/>
      <c r="DQ1947" s="60">
        <v>1.11958762886597</v>
      </c>
      <c r="DR1947" s="55"/>
      <c r="DS1947" s="58">
        <v>0.676363636363636</v>
      </c>
      <c r="DT1947" s="55"/>
      <c r="DY1947" s="1">
        <v>0</v>
      </c>
      <c r="DZ1947" s="1">
        <v>0</v>
      </c>
      <c r="EA1947" s="52">
        <v>39.5881466599694</v>
      </c>
      <c r="ED1947" s="52">
        <v>39.5881466599694</v>
      </c>
    </row>
    <row r="1948" customHeight="1" spans="1:134">
      <c r="A1948" s="54">
        <v>70</v>
      </c>
      <c r="B1948" s="4" t="s">
        <v>1599</v>
      </c>
      <c r="C1948" s="5" t="s">
        <v>1612</v>
      </c>
      <c r="D1948" s="4" t="s">
        <v>300</v>
      </c>
      <c r="E1948" s="4" t="s">
        <v>1603</v>
      </c>
      <c r="F1948" s="4" t="s">
        <v>328</v>
      </c>
      <c r="G1948" s="4" t="s">
        <v>1611</v>
      </c>
      <c r="N1948" s="4" t="s">
        <v>567</v>
      </c>
      <c r="O1948" s="4" t="s">
        <v>343</v>
      </c>
      <c r="P1948" s="4">
        <v>2</v>
      </c>
      <c r="Q1948" s="4" t="s">
        <v>539</v>
      </c>
      <c r="T1948" s="4">
        <v>27.19</v>
      </c>
      <c r="U1948" s="4">
        <v>0.209</v>
      </c>
      <c r="V1948" s="4">
        <v>32.34</v>
      </c>
      <c r="AG1948" s="4" t="s">
        <v>316</v>
      </c>
      <c r="AH1948" s="4" t="s">
        <v>1601</v>
      </c>
      <c r="AI1948" s="4" t="s">
        <v>1605</v>
      </c>
      <c r="AL1948" s="4" t="s">
        <v>1556</v>
      </c>
      <c r="AM1948" s="4">
        <v>7.73</v>
      </c>
      <c r="AN1948" s="4">
        <v>4.28</v>
      </c>
      <c r="AO1948" s="4">
        <v>207.91</v>
      </c>
      <c r="AQ1948" s="4" t="s">
        <v>7</v>
      </c>
      <c r="AR1948" s="4">
        <v>1.12</v>
      </c>
      <c r="AS1948" s="4" t="s">
        <v>13</v>
      </c>
      <c r="AT1948" s="4">
        <v>52.39</v>
      </c>
      <c r="AU1948" s="4" t="s">
        <v>15</v>
      </c>
      <c r="AV1948" s="4">
        <v>96</v>
      </c>
      <c r="AW1948" s="4" t="s">
        <v>12</v>
      </c>
      <c r="AX1948" s="4">
        <v>3.45</v>
      </c>
      <c r="AY1948" s="4" t="s">
        <v>14</v>
      </c>
      <c r="AZ1948" s="4">
        <v>4.95</v>
      </c>
      <c r="BI1948" s="4" t="s">
        <v>321</v>
      </c>
      <c r="BP1948" s="4">
        <v>0.025</v>
      </c>
      <c r="BV1948" s="4" t="s">
        <v>1607</v>
      </c>
      <c r="BW1948" s="4">
        <v>25</v>
      </c>
      <c r="BX1948" s="4">
        <v>75</v>
      </c>
      <c r="CX1948" s="4" t="s">
        <v>314</v>
      </c>
      <c r="DD1948" s="4">
        <v>33.53</v>
      </c>
      <c r="DE1948" s="4">
        <v>32.16</v>
      </c>
      <c r="DO1948" s="57"/>
      <c r="DQ1948" s="60">
        <v>1.2680412371134</v>
      </c>
      <c r="DR1948" s="55"/>
      <c r="DS1948" s="58">
        <v>0.738701298701298</v>
      </c>
      <c r="DT1948" s="55"/>
      <c r="DY1948" s="1">
        <v>0</v>
      </c>
      <c r="DZ1948" s="1">
        <v>0</v>
      </c>
      <c r="EA1948" s="52">
        <v>41.7446943300601</v>
      </c>
      <c r="ED1948" s="52">
        <v>41.7446943300601</v>
      </c>
    </row>
    <row r="1949" customHeight="1" spans="1:134">
      <c r="A1949" s="54">
        <v>70</v>
      </c>
      <c r="B1949" s="4" t="s">
        <v>1599</v>
      </c>
      <c r="C1949" s="5" t="s">
        <v>1612</v>
      </c>
      <c r="D1949" s="4" t="s">
        <v>300</v>
      </c>
      <c r="E1949" s="4" t="s">
        <v>1603</v>
      </c>
      <c r="F1949" s="4" t="s">
        <v>328</v>
      </c>
      <c r="G1949" s="4" t="s">
        <v>1611</v>
      </c>
      <c r="N1949" s="4" t="s">
        <v>567</v>
      </c>
      <c r="O1949" s="4" t="s">
        <v>343</v>
      </c>
      <c r="P1949" s="4">
        <v>2</v>
      </c>
      <c r="Q1949" s="4" t="s">
        <v>539</v>
      </c>
      <c r="T1949" s="4">
        <v>27.19</v>
      </c>
      <c r="U1949" s="4">
        <v>0.209</v>
      </c>
      <c r="V1949" s="4">
        <v>32.34</v>
      </c>
      <c r="AG1949" s="4" t="s">
        <v>316</v>
      </c>
      <c r="AH1949" s="4" t="s">
        <v>1601</v>
      </c>
      <c r="AI1949" s="4" t="s">
        <v>1605</v>
      </c>
      <c r="AL1949" s="4" t="s">
        <v>1556</v>
      </c>
      <c r="AM1949" s="4">
        <v>7.73</v>
      </c>
      <c r="AN1949" s="4">
        <v>4.28</v>
      </c>
      <c r="AO1949" s="4">
        <v>207.91</v>
      </c>
      <c r="AQ1949" s="4" t="s">
        <v>7</v>
      </c>
      <c r="AR1949" s="4">
        <v>1.12</v>
      </c>
      <c r="AS1949" s="4" t="s">
        <v>13</v>
      </c>
      <c r="AT1949" s="4">
        <v>52.39</v>
      </c>
      <c r="AU1949" s="4" t="s">
        <v>15</v>
      </c>
      <c r="AV1949" s="4">
        <v>96</v>
      </c>
      <c r="AW1949" s="4" t="s">
        <v>12</v>
      </c>
      <c r="AX1949" s="4">
        <v>3.45</v>
      </c>
      <c r="AY1949" s="4" t="s">
        <v>14</v>
      </c>
      <c r="AZ1949" s="4">
        <v>4.95</v>
      </c>
      <c r="BI1949" s="4" t="s">
        <v>321</v>
      </c>
      <c r="BP1949" s="4">
        <v>0.025</v>
      </c>
      <c r="BV1949" s="4" t="s">
        <v>1552</v>
      </c>
      <c r="BW1949" s="4">
        <v>25</v>
      </c>
      <c r="BX1949" s="4">
        <v>75</v>
      </c>
      <c r="CX1949" s="4" t="s">
        <v>314</v>
      </c>
      <c r="DD1949" s="4">
        <v>33.53</v>
      </c>
      <c r="DE1949" s="4">
        <v>32.16</v>
      </c>
      <c r="DO1949" s="57"/>
      <c r="DQ1949" s="60">
        <v>1.11649484536082</v>
      </c>
      <c r="DR1949" s="55"/>
      <c r="DS1949" s="58">
        <v>0.564155844155844</v>
      </c>
      <c r="DT1949" s="55"/>
      <c r="DY1949" s="1">
        <v>0</v>
      </c>
      <c r="DZ1949" s="1">
        <v>0</v>
      </c>
      <c r="EA1949" s="52">
        <v>49.4708062021079</v>
      </c>
      <c r="ED1949" s="52">
        <v>49.4708062021079</v>
      </c>
    </row>
    <row r="1950" customHeight="1" spans="1:134">
      <c r="A1950" s="54">
        <v>70</v>
      </c>
      <c r="B1950" s="4" t="s">
        <v>1599</v>
      </c>
      <c r="C1950" s="5" t="s">
        <v>1612</v>
      </c>
      <c r="D1950" s="4" t="s">
        <v>300</v>
      </c>
      <c r="E1950" s="4" t="s">
        <v>1603</v>
      </c>
      <c r="F1950" s="4" t="s">
        <v>328</v>
      </c>
      <c r="G1950" s="4" t="s">
        <v>1611</v>
      </c>
      <c r="N1950" s="4" t="s">
        <v>567</v>
      </c>
      <c r="O1950" s="4" t="s">
        <v>343</v>
      </c>
      <c r="P1950" s="4">
        <v>2</v>
      </c>
      <c r="Q1950" s="4" t="s">
        <v>539</v>
      </c>
      <c r="T1950" s="4">
        <v>27.19</v>
      </c>
      <c r="U1950" s="4">
        <v>0.209</v>
      </c>
      <c r="V1950" s="4">
        <v>32.34</v>
      </c>
      <c r="AG1950" s="4" t="s">
        <v>316</v>
      </c>
      <c r="AH1950" s="4" t="s">
        <v>1601</v>
      </c>
      <c r="AI1950" s="4" t="s">
        <v>1605</v>
      </c>
      <c r="AL1950" s="4" t="s">
        <v>1556</v>
      </c>
      <c r="AM1950" s="4">
        <v>7.73</v>
      </c>
      <c r="AN1950" s="4">
        <v>4.28</v>
      </c>
      <c r="AO1950" s="4">
        <v>207.91</v>
      </c>
      <c r="AQ1950" s="4" t="s">
        <v>7</v>
      </c>
      <c r="AR1950" s="4">
        <v>1.12</v>
      </c>
      <c r="AS1950" s="4" t="s">
        <v>13</v>
      </c>
      <c r="AT1950" s="4">
        <v>52.39</v>
      </c>
      <c r="AU1950" s="4" t="s">
        <v>15</v>
      </c>
      <c r="AV1950" s="4">
        <v>96</v>
      </c>
      <c r="AW1950" s="4" t="s">
        <v>12</v>
      </c>
      <c r="AX1950" s="4">
        <v>3.45</v>
      </c>
      <c r="AY1950" s="4" t="s">
        <v>14</v>
      </c>
      <c r="AZ1950" s="4">
        <v>4.95</v>
      </c>
      <c r="BI1950" s="4" t="s">
        <v>321</v>
      </c>
      <c r="BP1950" s="4">
        <v>0.025</v>
      </c>
      <c r="BV1950" s="4" t="s">
        <v>488</v>
      </c>
      <c r="BW1950" s="4">
        <v>25</v>
      </c>
      <c r="BX1950" s="4">
        <v>75</v>
      </c>
      <c r="CX1950" s="4" t="s">
        <v>314</v>
      </c>
      <c r="DD1950" s="4">
        <v>33.53</v>
      </c>
      <c r="DE1950" s="4">
        <v>32.16</v>
      </c>
      <c r="DO1950" s="57"/>
      <c r="DQ1950" s="60">
        <v>1.24329896907216</v>
      </c>
      <c r="DR1950" s="55"/>
      <c r="DS1950" s="58">
        <v>0.386493506493506</v>
      </c>
      <c r="DT1950" s="55"/>
      <c r="DY1950" s="1">
        <v>0</v>
      </c>
      <c r="DZ1950" s="1">
        <v>0</v>
      </c>
      <c r="EA1950" s="52">
        <v>68.9138721974542</v>
      </c>
      <c r="ED1950" s="52">
        <v>68.9138721974542</v>
      </c>
    </row>
    <row r="1951" customHeight="1" spans="1:134">
      <c r="A1951" s="54">
        <v>70</v>
      </c>
      <c r="B1951" s="4" t="s">
        <v>1599</v>
      </c>
      <c r="C1951" s="5" t="s">
        <v>1612</v>
      </c>
      <c r="D1951" s="4" t="s">
        <v>300</v>
      </c>
      <c r="E1951" s="4" t="s">
        <v>1603</v>
      </c>
      <c r="F1951" s="4" t="s">
        <v>328</v>
      </c>
      <c r="G1951" s="4" t="s">
        <v>1611</v>
      </c>
      <c r="N1951" s="4" t="s">
        <v>567</v>
      </c>
      <c r="O1951" s="4" t="s">
        <v>343</v>
      </c>
      <c r="P1951" s="4">
        <v>2</v>
      </c>
      <c r="Q1951" s="4" t="s">
        <v>539</v>
      </c>
      <c r="T1951" s="4">
        <v>27.19</v>
      </c>
      <c r="U1951" s="4">
        <v>0.209</v>
      </c>
      <c r="V1951" s="4">
        <v>32.34</v>
      </c>
      <c r="AG1951" s="4" t="s">
        <v>316</v>
      </c>
      <c r="AH1951" s="4" t="s">
        <v>1601</v>
      </c>
      <c r="AI1951" s="4" t="s">
        <v>1605</v>
      </c>
      <c r="AL1951" s="4" t="s">
        <v>1556</v>
      </c>
      <c r="AM1951" s="4">
        <v>7.73</v>
      </c>
      <c r="AN1951" s="4">
        <v>4.28</v>
      </c>
      <c r="AO1951" s="4">
        <v>207.91</v>
      </c>
      <c r="AQ1951" s="4" t="s">
        <v>7</v>
      </c>
      <c r="AR1951" s="4">
        <v>1.12</v>
      </c>
      <c r="AS1951" s="4" t="s">
        <v>13</v>
      </c>
      <c r="AT1951" s="4">
        <v>52.39</v>
      </c>
      <c r="AU1951" s="4" t="s">
        <v>15</v>
      </c>
      <c r="AV1951" s="4">
        <v>96</v>
      </c>
      <c r="AW1951" s="4" t="s">
        <v>12</v>
      </c>
      <c r="AX1951" s="4">
        <v>3.45</v>
      </c>
      <c r="AY1951" s="4" t="s">
        <v>14</v>
      </c>
      <c r="AZ1951" s="4">
        <v>4.95</v>
      </c>
      <c r="BI1951" s="4" t="s">
        <v>321</v>
      </c>
      <c r="BP1951" s="4">
        <v>0.05</v>
      </c>
      <c r="BV1951" s="4" t="s">
        <v>1606</v>
      </c>
      <c r="BW1951" s="4">
        <v>25</v>
      </c>
      <c r="BX1951" s="4">
        <v>75</v>
      </c>
      <c r="CX1951" s="4" t="s">
        <v>314</v>
      </c>
      <c r="DD1951" s="4">
        <v>33.53</v>
      </c>
      <c r="DE1951" s="4">
        <v>32.16</v>
      </c>
      <c r="DO1951" s="57"/>
      <c r="DQ1951" s="60">
        <v>1.11958762886597</v>
      </c>
      <c r="DR1951" s="55"/>
      <c r="DS1951" s="58">
        <v>0.501818181818181</v>
      </c>
      <c r="DT1951" s="55"/>
      <c r="DY1951" s="1">
        <v>0</v>
      </c>
      <c r="DZ1951" s="1">
        <v>0</v>
      </c>
      <c r="EA1951" s="52">
        <v>55.1783023606225</v>
      </c>
      <c r="ED1951" s="52">
        <v>55.1783023606225</v>
      </c>
    </row>
    <row r="1952" customHeight="1" spans="1:134">
      <c r="A1952" s="54">
        <v>70</v>
      </c>
      <c r="B1952" s="4" t="s">
        <v>1599</v>
      </c>
      <c r="C1952" s="5" t="s">
        <v>1612</v>
      </c>
      <c r="D1952" s="4" t="s">
        <v>300</v>
      </c>
      <c r="E1952" s="4" t="s">
        <v>1603</v>
      </c>
      <c r="F1952" s="4" t="s">
        <v>328</v>
      </c>
      <c r="G1952" s="4" t="s">
        <v>1611</v>
      </c>
      <c r="N1952" s="4" t="s">
        <v>567</v>
      </c>
      <c r="O1952" s="4" t="s">
        <v>343</v>
      </c>
      <c r="P1952" s="4">
        <v>2</v>
      </c>
      <c r="Q1952" s="4" t="s">
        <v>539</v>
      </c>
      <c r="T1952" s="4">
        <v>27.19</v>
      </c>
      <c r="U1952" s="4">
        <v>0.209</v>
      </c>
      <c r="V1952" s="4">
        <v>32.34</v>
      </c>
      <c r="AG1952" s="4" t="s">
        <v>316</v>
      </c>
      <c r="AH1952" s="4" t="s">
        <v>1601</v>
      </c>
      <c r="AI1952" s="4" t="s">
        <v>1605</v>
      </c>
      <c r="AL1952" s="4" t="s">
        <v>1556</v>
      </c>
      <c r="AM1952" s="4">
        <v>7.73</v>
      </c>
      <c r="AN1952" s="4">
        <v>4.28</v>
      </c>
      <c r="AO1952" s="4">
        <v>207.91</v>
      </c>
      <c r="AQ1952" s="4" t="s">
        <v>7</v>
      </c>
      <c r="AR1952" s="4">
        <v>1.12</v>
      </c>
      <c r="AS1952" s="4" t="s">
        <v>13</v>
      </c>
      <c r="AT1952" s="4">
        <v>52.39</v>
      </c>
      <c r="AU1952" s="4" t="s">
        <v>15</v>
      </c>
      <c r="AV1952" s="4">
        <v>96</v>
      </c>
      <c r="AW1952" s="4" t="s">
        <v>12</v>
      </c>
      <c r="AX1952" s="4">
        <v>3.45</v>
      </c>
      <c r="AY1952" s="4" t="s">
        <v>14</v>
      </c>
      <c r="AZ1952" s="4">
        <v>4.95</v>
      </c>
      <c r="BI1952" s="4" t="s">
        <v>321</v>
      </c>
      <c r="BP1952" s="4">
        <v>0.05</v>
      </c>
      <c r="BV1952" s="4" t="s">
        <v>1607</v>
      </c>
      <c r="BW1952" s="4">
        <v>25</v>
      </c>
      <c r="BX1952" s="4">
        <v>75</v>
      </c>
      <c r="CX1952" s="4" t="s">
        <v>314</v>
      </c>
      <c r="DD1952" s="4">
        <v>33.53</v>
      </c>
      <c r="DE1952" s="4">
        <v>32.16</v>
      </c>
      <c r="DO1952" s="57"/>
      <c r="DQ1952" s="60">
        <v>1.2680412371134</v>
      </c>
      <c r="DR1952" s="55"/>
      <c r="DS1952" s="58">
        <v>0.539220779220779</v>
      </c>
      <c r="DT1952" s="55"/>
      <c r="DY1952" s="1">
        <v>0</v>
      </c>
      <c r="DZ1952" s="1">
        <v>0</v>
      </c>
      <c r="EA1952" s="52">
        <v>57.476084890719</v>
      </c>
      <c r="ED1952" s="52">
        <v>57.476084890719</v>
      </c>
    </row>
    <row r="1953" customHeight="1" spans="1:134">
      <c r="A1953" s="54">
        <v>70</v>
      </c>
      <c r="B1953" s="4" t="s">
        <v>1599</v>
      </c>
      <c r="C1953" s="5" t="s">
        <v>1612</v>
      </c>
      <c r="D1953" s="4" t="s">
        <v>300</v>
      </c>
      <c r="E1953" s="4" t="s">
        <v>1603</v>
      </c>
      <c r="F1953" s="4" t="s">
        <v>328</v>
      </c>
      <c r="G1953" s="4" t="s">
        <v>1611</v>
      </c>
      <c r="N1953" s="4" t="s">
        <v>567</v>
      </c>
      <c r="O1953" s="4" t="s">
        <v>343</v>
      </c>
      <c r="P1953" s="4">
        <v>2</v>
      </c>
      <c r="Q1953" s="4" t="s">
        <v>539</v>
      </c>
      <c r="T1953" s="4">
        <v>27.19</v>
      </c>
      <c r="U1953" s="4">
        <v>0.209</v>
      </c>
      <c r="V1953" s="4">
        <v>32.34</v>
      </c>
      <c r="AG1953" s="4" t="s">
        <v>316</v>
      </c>
      <c r="AH1953" s="4" t="s">
        <v>1601</v>
      </c>
      <c r="AI1953" s="4" t="s">
        <v>1605</v>
      </c>
      <c r="AL1953" s="4" t="s">
        <v>1556</v>
      </c>
      <c r="AM1953" s="4">
        <v>7.73</v>
      </c>
      <c r="AN1953" s="4">
        <v>4.28</v>
      </c>
      <c r="AO1953" s="4">
        <v>207.91</v>
      </c>
      <c r="AQ1953" s="4" t="s">
        <v>7</v>
      </c>
      <c r="AR1953" s="4">
        <v>1.12</v>
      </c>
      <c r="AS1953" s="4" t="s">
        <v>13</v>
      </c>
      <c r="AT1953" s="4">
        <v>52.39</v>
      </c>
      <c r="AU1953" s="4" t="s">
        <v>15</v>
      </c>
      <c r="AV1953" s="4">
        <v>96</v>
      </c>
      <c r="AW1953" s="4" t="s">
        <v>12</v>
      </c>
      <c r="AX1953" s="4">
        <v>3.45</v>
      </c>
      <c r="AY1953" s="4" t="s">
        <v>14</v>
      </c>
      <c r="AZ1953" s="4">
        <v>4.95</v>
      </c>
      <c r="BI1953" s="4" t="s">
        <v>321</v>
      </c>
      <c r="BP1953" s="4">
        <v>0.05</v>
      </c>
      <c r="BV1953" s="4" t="s">
        <v>1552</v>
      </c>
      <c r="BW1953" s="4">
        <v>25</v>
      </c>
      <c r="BX1953" s="4">
        <v>75</v>
      </c>
      <c r="CX1953" s="4" t="s">
        <v>314</v>
      </c>
      <c r="DD1953" s="4">
        <v>33.53</v>
      </c>
      <c r="DE1953" s="4">
        <v>32.16</v>
      </c>
      <c r="DO1953" s="57"/>
      <c r="DQ1953" s="60">
        <v>1.11649484536082</v>
      </c>
      <c r="DR1953" s="55"/>
      <c r="DS1953" s="58">
        <v>0.495584415584415</v>
      </c>
      <c r="DT1953" s="55"/>
      <c r="DY1953" s="1">
        <v>0</v>
      </c>
      <c r="DZ1953" s="1">
        <v>0</v>
      </c>
      <c r="EA1953" s="52">
        <v>55.6124761664927</v>
      </c>
      <c r="ED1953" s="52">
        <v>55.6124761664927</v>
      </c>
    </row>
    <row r="1954" customHeight="1" spans="1:134">
      <c r="A1954" s="54">
        <v>70</v>
      </c>
      <c r="B1954" s="4" t="s">
        <v>1599</v>
      </c>
      <c r="C1954" s="5" t="s">
        <v>1612</v>
      </c>
      <c r="D1954" s="4" t="s">
        <v>300</v>
      </c>
      <c r="E1954" s="4" t="s">
        <v>1603</v>
      </c>
      <c r="F1954" s="4" t="s">
        <v>328</v>
      </c>
      <c r="G1954" s="4" t="s">
        <v>1611</v>
      </c>
      <c r="N1954" s="4" t="s">
        <v>567</v>
      </c>
      <c r="O1954" s="4" t="s">
        <v>343</v>
      </c>
      <c r="P1954" s="4">
        <v>2</v>
      </c>
      <c r="Q1954" s="4" t="s">
        <v>539</v>
      </c>
      <c r="T1954" s="4">
        <v>27.19</v>
      </c>
      <c r="U1954" s="4">
        <v>0.209</v>
      </c>
      <c r="V1954" s="4">
        <v>32.34</v>
      </c>
      <c r="AG1954" s="4" t="s">
        <v>316</v>
      </c>
      <c r="AH1954" s="4" t="s">
        <v>1601</v>
      </c>
      <c r="AI1954" s="4" t="s">
        <v>1605</v>
      </c>
      <c r="AL1954" s="4" t="s">
        <v>1556</v>
      </c>
      <c r="AM1954" s="4">
        <v>7.73</v>
      </c>
      <c r="AN1954" s="4">
        <v>4.28</v>
      </c>
      <c r="AO1954" s="4">
        <v>207.91</v>
      </c>
      <c r="AQ1954" s="4" t="s">
        <v>7</v>
      </c>
      <c r="AR1954" s="4">
        <v>1.12</v>
      </c>
      <c r="AS1954" s="4" t="s">
        <v>13</v>
      </c>
      <c r="AT1954" s="4">
        <v>52.39</v>
      </c>
      <c r="AU1954" s="4" t="s">
        <v>15</v>
      </c>
      <c r="AV1954" s="4">
        <v>96</v>
      </c>
      <c r="AW1954" s="4" t="s">
        <v>12</v>
      </c>
      <c r="AX1954" s="4">
        <v>3.45</v>
      </c>
      <c r="AY1954" s="4" t="s">
        <v>14</v>
      </c>
      <c r="AZ1954" s="4">
        <v>4.95</v>
      </c>
      <c r="BI1954" s="4" t="s">
        <v>321</v>
      </c>
      <c r="BP1954" s="4">
        <v>0.05</v>
      </c>
      <c r="BV1954" s="4" t="s">
        <v>488</v>
      </c>
      <c r="BW1954" s="4">
        <v>25</v>
      </c>
      <c r="BX1954" s="4">
        <v>75</v>
      </c>
      <c r="CX1954" s="4" t="s">
        <v>314</v>
      </c>
      <c r="DD1954" s="4">
        <v>33.53</v>
      </c>
      <c r="DE1954" s="4">
        <v>32.16</v>
      </c>
      <c r="DO1954" s="57"/>
      <c r="DQ1954" s="60">
        <v>1.24329896907216</v>
      </c>
      <c r="DR1954" s="55"/>
      <c r="DS1954" s="58">
        <v>0.339740259740259</v>
      </c>
      <c r="DT1954" s="55"/>
      <c r="DY1954" s="1">
        <v>0</v>
      </c>
      <c r="DZ1954" s="1">
        <v>0</v>
      </c>
      <c r="EA1954" s="52">
        <v>72.6742908832461</v>
      </c>
      <c r="ED1954" s="52">
        <v>72.6742908832461</v>
      </c>
    </row>
    <row r="1955" customHeight="1" spans="1:134">
      <c r="A1955" s="54">
        <v>70</v>
      </c>
      <c r="B1955" s="4" t="s">
        <v>1599</v>
      </c>
      <c r="C1955" s="5" t="s">
        <v>1612</v>
      </c>
      <c r="D1955" s="4" t="s">
        <v>300</v>
      </c>
      <c r="E1955" s="4" t="s">
        <v>1603</v>
      </c>
      <c r="F1955" s="4" t="s">
        <v>328</v>
      </c>
      <c r="G1955" s="4" t="s">
        <v>1611</v>
      </c>
      <c r="N1955" s="4" t="s">
        <v>567</v>
      </c>
      <c r="O1955" s="4" t="s">
        <v>343</v>
      </c>
      <c r="P1955" s="4">
        <v>2</v>
      </c>
      <c r="Q1955" s="4" t="s">
        <v>539</v>
      </c>
      <c r="T1955" s="4">
        <v>27.19</v>
      </c>
      <c r="U1955" s="4">
        <v>0.209</v>
      </c>
      <c r="V1955" s="4">
        <v>32.34</v>
      </c>
      <c r="AG1955" s="4" t="s">
        <v>316</v>
      </c>
      <c r="AH1955" s="4" t="s">
        <v>1601</v>
      </c>
      <c r="AI1955" s="4" t="s">
        <v>1605</v>
      </c>
      <c r="AL1955" s="4" t="s">
        <v>1556</v>
      </c>
      <c r="AM1955" s="4">
        <v>7.73</v>
      </c>
      <c r="AN1955" s="4">
        <v>4.28</v>
      </c>
      <c r="AO1955" s="4">
        <v>207.91</v>
      </c>
      <c r="AQ1955" s="4" t="s">
        <v>7</v>
      </c>
      <c r="AR1955" s="4">
        <v>1.12</v>
      </c>
      <c r="AS1955" s="4" t="s">
        <v>13</v>
      </c>
      <c r="AT1955" s="4">
        <v>52.39</v>
      </c>
      <c r="AU1955" s="4" t="s">
        <v>15</v>
      </c>
      <c r="AV1955" s="4">
        <v>96</v>
      </c>
      <c r="AW1955" s="4" t="s">
        <v>12</v>
      </c>
      <c r="AX1955" s="4">
        <v>3.45</v>
      </c>
      <c r="AY1955" s="4" t="s">
        <v>14</v>
      </c>
      <c r="AZ1955" s="4">
        <v>4.95</v>
      </c>
      <c r="BI1955" s="4" t="s">
        <v>321</v>
      </c>
      <c r="BP1955" s="4">
        <v>0.1</v>
      </c>
      <c r="BV1955" s="4" t="s">
        <v>1606</v>
      </c>
      <c r="BW1955" s="4">
        <v>25</v>
      </c>
      <c r="BX1955" s="4">
        <v>75</v>
      </c>
      <c r="CX1955" s="4" t="s">
        <v>314</v>
      </c>
      <c r="DD1955" s="4">
        <v>33.53</v>
      </c>
      <c r="DE1955" s="4">
        <v>32.16</v>
      </c>
      <c r="DO1955" s="57"/>
      <c r="DQ1955" s="60">
        <v>1.11958762886597</v>
      </c>
      <c r="DR1955" s="55"/>
      <c r="DS1955" s="58">
        <v>0.355324675324675</v>
      </c>
      <c r="DT1955" s="55"/>
      <c r="DY1955" s="1">
        <v>0</v>
      </c>
      <c r="DZ1955" s="1">
        <v>0</v>
      </c>
      <c r="EA1955" s="52">
        <v>68.2628973236706</v>
      </c>
      <c r="ED1955" s="52">
        <v>68.2628973236706</v>
      </c>
    </row>
    <row r="1956" customHeight="1" spans="1:134">
      <c r="A1956" s="54">
        <v>70</v>
      </c>
      <c r="B1956" s="4" t="s">
        <v>1599</v>
      </c>
      <c r="C1956" s="5" t="s">
        <v>1612</v>
      </c>
      <c r="D1956" s="4" t="s">
        <v>300</v>
      </c>
      <c r="E1956" s="4" t="s">
        <v>1603</v>
      </c>
      <c r="F1956" s="4" t="s">
        <v>328</v>
      </c>
      <c r="G1956" s="4" t="s">
        <v>1611</v>
      </c>
      <c r="N1956" s="4" t="s">
        <v>567</v>
      </c>
      <c r="O1956" s="4" t="s">
        <v>343</v>
      </c>
      <c r="P1956" s="4">
        <v>2</v>
      </c>
      <c r="Q1956" s="4" t="s">
        <v>539</v>
      </c>
      <c r="T1956" s="4">
        <v>27.19</v>
      </c>
      <c r="U1956" s="4">
        <v>0.209</v>
      </c>
      <c r="V1956" s="4">
        <v>32.34</v>
      </c>
      <c r="AG1956" s="4" t="s">
        <v>316</v>
      </c>
      <c r="AH1956" s="4" t="s">
        <v>1601</v>
      </c>
      <c r="AI1956" s="4" t="s">
        <v>1605</v>
      </c>
      <c r="AL1956" s="4" t="s">
        <v>1556</v>
      </c>
      <c r="AM1956" s="4">
        <v>7.73</v>
      </c>
      <c r="AN1956" s="4">
        <v>4.28</v>
      </c>
      <c r="AO1956" s="4">
        <v>207.91</v>
      </c>
      <c r="AQ1956" s="4" t="s">
        <v>7</v>
      </c>
      <c r="AR1956" s="4">
        <v>1.12</v>
      </c>
      <c r="AS1956" s="4" t="s">
        <v>13</v>
      </c>
      <c r="AT1956" s="4">
        <v>52.39</v>
      </c>
      <c r="AU1956" s="4" t="s">
        <v>15</v>
      </c>
      <c r="AV1956" s="4">
        <v>96</v>
      </c>
      <c r="AW1956" s="4" t="s">
        <v>12</v>
      </c>
      <c r="AX1956" s="4">
        <v>3.45</v>
      </c>
      <c r="AY1956" s="4" t="s">
        <v>14</v>
      </c>
      <c r="AZ1956" s="4">
        <v>4.95</v>
      </c>
      <c r="BI1956" s="4" t="s">
        <v>321</v>
      </c>
      <c r="BP1956" s="4">
        <v>0.1</v>
      </c>
      <c r="BV1956" s="4" t="s">
        <v>1607</v>
      </c>
      <c r="BW1956" s="4">
        <v>25</v>
      </c>
      <c r="BX1956" s="4">
        <v>75</v>
      </c>
      <c r="CX1956" s="4" t="s">
        <v>314</v>
      </c>
      <c r="DD1956" s="4">
        <v>33.53</v>
      </c>
      <c r="DE1956" s="4">
        <v>32.16</v>
      </c>
      <c r="DO1956" s="57"/>
      <c r="DQ1956" s="60">
        <v>1.2680412371134</v>
      </c>
      <c r="DR1956" s="55"/>
      <c r="DS1956" s="58">
        <v>0.442597402597402</v>
      </c>
      <c r="DT1956" s="55"/>
      <c r="DY1956" s="1">
        <v>0</v>
      </c>
      <c r="DZ1956" s="1">
        <v>0</v>
      </c>
      <c r="EA1956" s="52">
        <v>65.0959771935382</v>
      </c>
      <c r="ED1956" s="52">
        <v>65.0959771935382</v>
      </c>
    </row>
    <row r="1957" customHeight="1" spans="1:134">
      <c r="A1957" s="54">
        <v>70</v>
      </c>
      <c r="B1957" s="4" t="s">
        <v>1599</v>
      </c>
      <c r="C1957" s="5" t="s">
        <v>1612</v>
      </c>
      <c r="D1957" s="4" t="s">
        <v>300</v>
      </c>
      <c r="E1957" s="4" t="s">
        <v>1603</v>
      </c>
      <c r="F1957" s="4" t="s">
        <v>328</v>
      </c>
      <c r="G1957" s="4" t="s">
        <v>1611</v>
      </c>
      <c r="N1957" s="4" t="s">
        <v>567</v>
      </c>
      <c r="O1957" s="4" t="s">
        <v>343</v>
      </c>
      <c r="P1957" s="4">
        <v>2</v>
      </c>
      <c r="Q1957" s="4" t="s">
        <v>539</v>
      </c>
      <c r="T1957" s="4">
        <v>27.19</v>
      </c>
      <c r="U1957" s="4">
        <v>0.209</v>
      </c>
      <c r="V1957" s="4">
        <v>32.34</v>
      </c>
      <c r="AG1957" s="4" t="s">
        <v>316</v>
      </c>
      <c r="AH1957" s="4" t="s">
        <v>1601</v>
      </c>
      <c r="AI1957" s="4" t="s">
        <v>1605</v>
      </c>
      <c r="AL1957" s="4" t="s">
        <v>1556</v>
      </c>
      <c r="AM1957" s="4">
        <v>7.73</v>
      </c>
      <c r="AN1957" s="4">
        <v>4.28</v>
      </c>
      <c r="AO1957" s="4">
        <v>207.91</v>
      </c>
      <c r="AQ1957" s="4" t="s">
        <v>7</v>
      </c>
      <c r="AR1957" s="4">
        <v>1.12</v>
      </c>
      <c r="AS1957" s="4" t="s">
        <v>13</v>
      </c>
      <c r="AT1957" s="4">
        <v>52.39</v>
      </c>
      <c r="AU1957" s="4" t="s">
        <v>15</v>
      </c>
      <c r="AV1957" s="4">
        <v>96</v>
      </c>
      <c r="AW1957" s="4" t="s">
        <v>12</v>
      </c>
      <c r="AX1957" s="4">
        <v>3.45</v>
      </c>
      <c r="AY1957" s="4" t="s">
        <v>14</v>
      </c>
      <c r="AZ1957" s="4">
        <v>4.95</v>
      </c>
      <c r="BI1957" s="4" t="s">
        <v>321</v>
      </c>
      <c r="BP1957" s="4">
        <v>0.1</v>
      </c>
      <c r="BV1957" s="4" t="s">
        <v>1552</v>
      </c>
      <c r="BW1957" s="4">
        <v>25</v>
      </c>
      <c r="BX1957" s="4">
        <v>75</v>
      </c>
      <c r="CX1957" s="4" t="s">
        <v>314</v>
      </c>
      <c r="DD1957" s="4">
        <v>33.53</v>
      </c>
      <c r="DE1957" s="4">
        <v>32.16</v>
      </c>
      <c r="DO1957" s="57"/>
      <c r="DQ1957" s="60">
        <v>1.11649484536082</v>
      </c>
      <c r="DR1957" s="55"/>
      <c r="DS1957" s="58">
        <v>0.405194805194805</v>
      </c>
      <c r="DT1957" s="55"/>
      <c r="DY1957" s="1">
        <v>0</v>
      </c>
      <c r="DZ1957" s="1">
        <v>0</v>
      </c>
      <c r="EA1957" s="52">
        <v>63.7083138468179</v>
      </c>
      <c r="ED1957" s="52">
        <v>63.7083138468179</v>
      </c>
    </row>
    <row r="1958" customHeight="1" spans="1:134">
      <c r="A1958" s="54">
        <v>70</v>
      </c>
      <c r="B1958" s="4" t="s">
        <v>1599</v>
      </c>
      <c r="C1958" s="5" t="s">
        <v>1612</v>
      </c>
      <c r="D1958" s="4" t="s">
        <v>300</v>
      </c>
      <c r="E1958" s="4" t="s">
        <v>1603</v>
      </c>
      <c r="F1958" s="4" t="s">
        <v>328</v>
      </c>
      <c r="G1958" s="4" t="s">
        <v>1611</v>
      </c>
      <c r="N1958" s="4" t="s">
        <v>567</v>
      </c>
      <c r="O1958" s="4" t="s">
        <v>343</v>
      </c>
      <c r="P1958" s="4">
        <v>2</v>
      </c>
      <c r="Q1958" s="4" t="s">
        <v>539</v>
      </c>
      <c r="T1958" s="4">
        <v>27.19</v>
      </c>
      <c r="U1958" s="4">
        <v>0.209</v>
      </c>
      <c r="V1958" s="4">
        <v>32.34</v>
      </c>
      <c r="AG1958" s="4" t="s">
        <v>316</v>
      </c>
      <c r="AH1958" s="4" t="s">
        <v>1601</v>
      </c>
      <c r="AI1958" s="4" t="s">
        <v>1605</v>
      </c>
      <c r="AL1958" s="4" t="s">
        <v>1556</v>
      </c>
      <c r="AM1958" s="4">
        <v>7.73</v>
      </c>
      <c r="AN1958" s="4">
        <v>4.28</v>
      </c>
      <c r="AO1958" s="4">
        <v>207.91</v>
      </c>
      <c r="AQ1958" s="4" t="s">
        <v>7</v>
      </c>
      <c r="AR1958" s="4">
        <v>1.12</v>
      </c>
      <c r="AS1958" s="4" t="s">
        <v>13</v>
      </c>
      <c r="AT1958" s="4">
        <v>52.39</v>
      </c>
      <c r="AU1958" s="4" t="s">
        <v>15</v>
      </c>
      <c r="AV1958" s="4">
        <v>96</v>
      </c>
      <c r="AW1958" s="4" t="s">
        <v>12</v>
      </c>
      <c r="AX1958" s="4">
        <v>3.45</v>
      </c>
      <c r="AY1958" s="4" t="s">
        <v>14</v>
      </c>
      <c r="AZ1958" s="4">
        <v>4.95</v>
      </c>
      <c r="BI1958" s="4" t="s">
        <v>321</v>
      </c>
      <c r="BP1958" s="4">
        <v>0.1</v>
      </c>
      <c r="BV1958" s="4" t="s">
        <v>488</v>
      </c>
      <c r="BW1958" s="4">
        <v>25</v>
      </c>
      <c r="BX1958" s="4">
        <v>75</v>
      </c>
      <c r="CX1958" s="4" t="s">
        <v>314</v>
      </c>
      <c r="DD1958" s="4">
        <v>33.53</v>
      </c>
      <c r="DE1958" s="4">
        <v>32.16</v>
      </c>
      <c r="DO1958" s="57"/>
      <c r="DQ1958" s="60">
        <v>1.24329896907216</v>
      </c>
      <c r="DR1958" s="55"/>
      <c r="DS1958" s="58">
        <v>0.261818181818181</v>
      </c>
      <c r="DT1958" s="55"/>
      <c r="DY1958" s="1">
        <v>0</v>
      </c>
      <c r="DZ1958" s="1">
        <v>0</v>
      </c>
      <c r="EA1958" s="52">
        <v>78.9416553595658</v>
      </c>
      <c r="ED1958" s="52">
        <v>78.9416553595658</v>
      </c>
    </row>
    <row r="1959" customHeight="1" spans="1:134">
      <c r="A1959" s="54">
        <v>70</v>
      </c>
      <c r="B1959" s="4" t="s">
        <v>1599</v>
      </c>
      <c r="C1959" s="5" t="s">
        <v>1612</v>
      </c>
      <c r="D1959" s="4" t="s">
        <v>300</v>
      </c>
      <c r="E1959" s="4" t="s">
        <v>1603</v>
      </c>
      <c r="F1959" s="4" t="s">
        <v>328</v>
      </c>
      <c r="G1959" s="4" t="s">
        <v>1611</v>
      </c>
      <c r="N1959" s="4" t="s">
        <v>567</v>
      </c>
      <c r="O1959" s="4" t="s">
        <v>343</v>
      </c>
      <c r="P1959" s="4">
        <v>2</v>
      </c>
      <c r="Q1959" s="4" t="s">
        <v>539</v>
      </c>
      <c r="T1959" s="4">
        <v>27.19</v>
      </c>
      <c r="U1959" s="4">
        <v>0.209</v>
      </c>
      <c r="V1959" s="4">
        <v>32.34</v>
      </c>
      <c r="AG1959" s="4" t="s">
        <v>316</v>
      </c>
      <c r="AH1959" s="4" t="s">
        <v>1608</v>
      </c>
      <c r="AI1959" s="4" t="s">
        <v>1609</v>
      </c>
      <c r="AL1959" s="4" t="s">
        <v>1556</v>
      </c>
      <c r="AM1959" s="4">
        <v>6.56</v>
      </c>
      <c r="AN1959" s="4">
        <v>8.1</v>
      </c>
      <c r="AO1959" s="4">
        <v>168.17</v>
      </c>
      <c r="AQ1959" s="4" t="s">
        <v>7</v>
      </c>
      <c r="AR1959" s="4">
        <v>0.42</v>
      </c>
      <c r="AS1959" s="4" t="s">
        <v>13</v>
      </c>
      <c r="AT1959" s="4">
        <v>253.22</v>
      </c>
      <c r="AU1959" s="4" t="s">
        <v>15</v>
      </c>
      <c r="AV1959" s="4">
        <v>23.62</v>
      </c>
      <c r="AW1959" s="4" t="s">
        <v>12</v>
      </c>
      <c r="AX1959" s="4">
        <v>3.35</v>
      </c>
      <c r="AY1959" s="4" t="s">
        <v>14</v>
      </c>
      <c r="AZ1959" s="4">
        <v>9.55</v>
      </c>
      <c r="BI1959" s="4" t="s">
        <v>321</v>
      </c>
      <c r="BP1959" s="4">
        <v>0.025</v>
      </c>
      <c r="BV1959" s="4" t="s">
        <v>1606</v>
      </c>
      <c r="BW1959" s="4">
        <v>25</v>
      </c>
      <c r="BX1959" s="4">
        <v>75</v>
      </c>
      <c r="CX1959" s="4" t="s">
        <v>314</v>
      </c>
      <c r="DD1959" s="4">
        <v>33.53</v>
      </c>
      <c r="DE1959" s="4">
        <v>32.16</v>
      </c>
      <c r="DO1959" s="57"/>
      <c r="DQ1959" s="58">
        <v>0.303910614525139</v>
      </c>
      <c r="DR1959" s="55"/>
      <c r="DS1959" s="58">
        <v>0.137047353760445</v>
      </c>
      <c r="DT1959" s="55"/>
      <c r="DY1959" s="1">
        <v>0</v>
      </c>
      <c r="DZ1959" s="1">
        <v>0</v>
      </c>
      <c r="EA1959" s="52">
        <v>54.9053744060299</v>
      </c>
      <c r="ED1959" s="52">
        <v>54.9053744060299</v>
      </c>
    </row>
    <row r="1960" customHeight="1" spans="1:134">
      <c r="A1960" s="54">
        <v>70</v>
      </c>
      <c r="B1960" s="4" t="s">
        <v>1599</v>
      </c>
      <c r="C1960" s="5" t="s">
        <v>1612</v>
      </c>
      <c r="D1960" s="4" t="s">
        <v>300</v>
      </c>
      <c r="E1960" s="4" t="s">
        <v>1603</v>
      </c>
      <c r="F1960" s="4" t="s">
        <v>328</v>
      </c>
      <c r="G1960" s="4" t="s">
        <v>1611</v>
      </c>
      <c r="N1960" s="4" t="s">
        <v>567</v>
      </c>
      <c r="O1960" s="4" t="s">
        <v>343</v>
      </c>
      <c r="P1960" s="4">
        <v>2</v>
      </c>
      <c r="Q1960" s="4" t="s">
        <v>539</v>
      </c>
      <c r="T1960" s="4">
        <v>27.19</v>
      </c>
      <c r="U1960" s="4">
        <v>0.209</v>
      </c>
      <c r="V1960" s="4">
        <v>32.34</v>
      </c>
      <c r="AG1960" s="4" t="s">
        <v>316</v>
      </c>
      <c r="AH1960" s="4" t="s">
        <v>1608</v>
      </c>
      <c r="AI1960" s="4" t="s">
        <v>1609</v>
      </c>
      <c r="AL1960" s="4" t="s">
        <v>1556</v>
      </c>
      <c r="AM1960" s="4">
        <v>6.56</v>
      </c>
      <c r="AN1960" s="4">
        <v>8.1</v>
      </c>
      <c r="AO1960" s="4">
        <v>168.17</v>
      </c>
      <c r="AQ1960" s="4" t="s">
        <v>7</v>
      </c>
      <c r="AR1960" s="4">
        <v>0.42</v>
      </c>
      <c r="AS1960" s="4" t="s">
        <v>13</v>
      </c>
      <c r="AT1960" s="4">
        <v>253.22</v>
      </c>
      <c r="AU1960" s="4" t="s">
        <v>15</v>
      </c>
      <c r="AV1960" s="4">
        <v>23.62</v>
      </c>
      <c r="AW1960" s="4" t="s">
        <v>12</v>
      </c>
      <c r="AX1960" s="4">
        <v>3.35</v>
      </c>
      <c r="AY1960" s="4" t="s">
        <v>14</v>
      </c>
      <c r="AZ1960" s="4">
        <v>9.55</v>
      </c>
      <c r="BI1960" s="4" t="s">
        <v>321</v>
      </c>
      <c r="BP1960" s="4">
        <v>0.025</v>
      </c>
      <c r="BV1960" s="4" t="s">
        <v>1607</v>
      </c>
      <c r="BW1960" s="4">
        <v>25</v>
      </c>
      <c r="BX1960" s="4">
        <v>75</v>
      </c>
      <c r="CX1960" s="4" t="s">
        <v>314</v>
      </c>
      <c r="DD1960" s="4">
        <v>33.53</v>
      </c>
      <c r="DE1960" s="4">
        <v>32.16</v>
      </c>
      <c r="DO1960" s="57"/>
      <c r="DQ1960" s="58">
        <v>0.40558659217877</v>
      </c>
      <c r="DR1960" s="55"/>
      <c r="DS1960" s="58">
        <v>0.154874651810584</v>
      </c>
      <c r="DT1960" s="55"/>
      <c r="DY1960" s="1">
        <v>0</v>
      </c>
      <c r="DZ1960" s="1">
        <v>0</v>
      </c>
      <c r="EA1960" s="52">
        <v>61.814651964057</v>
      </c>
      <c r="ED1960" s="52">
        <v>61.814651964057</v>
      </c>
    </row>
    <row r="1961" customHeight="1" spans="1:134">
      <c r="A1961" s="54">
        <v>70</v>
      </c>
      <c r="B1961" s="4" t="s">
        <v>1599</v>
      </c>
      <c r="C1961" s="5" t="s">
        <v>1612</v>
      </c>
      <c r="D1961" s="4" t="s">
        <v>300</v>
      </c>
      <c r="E1961" s="4" t="s">
        <v>1603</v>
      </c>
      <c r="F1961" s="4" t="s">
        <v>328</v>
      </c>
      <c r="G1961" s="4" t="s">
        <v>1611</v>
      </c>
      <c r="N1961" s="4" t="s">
        <v>567</v>
      </c>
      <c r="O1961" s="4" t="s">
        <v>343</v>
      </c>
      <c r="P1961" s="4">
        <v>2</v>
      </c>
      <c r="Q1961" s="4" t="s">
        <v>539</v>
      </c>
      <c r="T1961" s="4">
        <v>27.19</v>
      </c>
      <c r="U1961" s="4">
        <v>0.209</v>
      </c>
      <c r="V1961" s="4">
        <v>32.34</v>
      </c>
      <c r="AG1961" s="4" t="s">
        <v>316</v>
      </c>
      <c r="AH1961" s="4" t="s">
        <v>1608</v>
      </c>
      <c r="AI1961" s="4" t="s">
        <v>1609</v>
      </c>
      <c r="AL1961" s="4" t="s">
        <v>1556</v>
      </c>
      <c r="AM1961" s="4">
        <v>6.56</v>
      </c>
      <c r="AN1961" s="4">
        <v>8.1</v>
      </c>
      <c r="AO1961" s="4">
        <v>168.17</v>
      </c>
      <c r="AQ1961" s="4" t="s">
        <v>7</v>
      </c>
      <c r="AR1961" s="4">
        <v>0.42</v>
      </c>
      <c r="AS1961" s="4" t="s">
        <v>13</v>
      </c>
      <c r="AT1961" s="4">
        <v>253.22</v>
      </c>
      <c r="AU1961" s="4" t="s">
        <v>15</v>
      </c>
      <c r="AV1961" s="4">
        <v>23.62</v>
      </c>
      <c r="AW1961" s="4" t="s">
        <v>12</v>
      </c>
      <c r="AX1961" s="4">
        <v>3.35</v>
      </c>
      <c r="AY1961" s="4" t="s">
        <v>14</v>
      </c>
      <c r="AZ1961" s="4">
        <v>9.55</v>
      </c>
      <c r="BI1961" s="4" t="s">
        <v>321</v>
      </c>
      <c r="BP1961" s="4">
        <v>0.025</v>
      </c>
      <c r="BV1961" s="4" t="s">
        <v>1552</v>
      </c>
      <c r="BW1961" s="4">
        <v>25</v>
      </c>
      <c r="BX1961" s="4">
        <v>75</v>
      </c>
      <c r="CX1961" s="4" t="s">
        <v>314</v>
      </c>
      <c r="DD1961" s="4">
        <v>33.53</v>
      </c>
      <c r="DE1961" s="4">
        <v>32.16</v>
      </c>
      <c r="DO1961" s="57"/>
      <c r="DQ1961" s="58">
        <v>0.353072625698323</v>
      </c>
      <c r="DR1961" s="55"/>
      <c r="DS1961" s="58">
        <v>0.0668523676880219</v>
      </c>
      <c r="DT1961" s="55"/>
      <c r="DY1961" s="1">
        <v>0</v>
      </c>
      <c r="DZ1961" s="1">
        <v>0</v>
      </c>
      <c r="EA1961" s="52">
        <v>81.0655477592469</v>
      </c>
      <c r="ED1961" s="52">
        <v>81.0655477592469</v>
      </c>
    </row>
    <row r="1962" customHeight="1" spans="1:134">
      <c r="A1962" s="54">
        <v>70</v>
      </c>
      <c r="B1962" s="4" t="s">
        <v>1599</v>
      </c>
      <c r="C1962" s="5" t="s">
        <v>1612</v>
      </c>
      <c r="D1962" s="4" t="s">
        <v>300</v>
      </c>
      <c r="E1962" s="4" t="s">
        <v>1603</v>
      </c>
      <c r="F1962" s="4" t="s">
        <v>328</v>
      </c>
      <c r="G1962" s="4" t="s">
        <v>1611</v>
      </c>
      <c r="N1962" s="4" t="s">
        <v>567</v>
      </c>
      <c r="O1962" s="4" t="s">
        <v>343</v>
      </c>
      <c r="P1962" s="4">
        <v>2</v>
      </c>
      <c r="Q1962" s="4" t="s">
        <v>539</v>
      </c>
      <c r="T1962" s="4">
        <v>27.19</v>
      </c>
      <c r="U1962" s="4">
        <v>0.209</v>
      </c>
      <c r="V1962" s="4">
        <v>32.34</v>
      </c>
      <c r="AG1962" s="4" t="s">
        <v>316</v>
      </c>
      <c r="AH1962" s="4" t="s">
        <v>1608</v>
      </c>
      <c r="AI1962" s="4" t="s">
        <v>1609</v>
      </c>
      <c r="AL1962" s="4" t="s">
        <v>1556</v>
      </c>
      <c r="AM1962" s="4">
        <v>6.56</v>
      </c>
      <c r="AN1962" s="4">
        <v>8.1</v>
      </c>
      <c r="AO1962" s="4">
        <v>168.17</v>
      </c>
      <c r="AQ1962" s="4" t="s">
        <v>7</v>
      </c>
      <c r="AR1962" s="4">
        <v>0.42</v>
      </c>
      <c r="AS1962" s="4" t="s">
        <v>13</v>
      </c>
      <c r="AT1962" s="4">
        <v>253.22</v>
      </c>
      <c r="AU1962" s="4" t="s">
        <v>15</v>
      </c>
      <c r="AV1962" s="4">
        <v>23.62</v>
      </c>
      <c r="AW1962" s="4" t="s">
        <v>12</v>
      </c>
      <c r="AX1962" s="4">
        <v>3.35</v>
      </c>
      <c r="AY1962" s="4" t="s">
        <v>14</v>
      </c>
      <c r="AZ1962" s="4">
        <v>9.55</v>
      </c>
      <c r="BI1962" s="4" t="s">
        <v>321</v>
      </c>
      <c r="BP1962" s="4">
        <v>0.025</v>
      </c>
      <c r="BV1962" s="4" t="s">
        <v>488</v>
      </c>
      <c r="BW1962" s="4">
        <v>25</v>
      </c>
      <c r="BX1962" s="4">
        <v>75</v>
      </c>
      <c r="CX1962" s="4" t="s">
        <v>314</v>
      </c>
      <c r="DD1962" s="4">
        <v>33.53</v>
      </c>
      <c r="DE1962" s="4">
        <v>32.16</v>
      </c>
      <c r="DO1962" s="57"/>
      <c r="DQ1962" s="58">
        <v>0.4</v>
      </c>
      <c r="DR1962" s="55"/>
      <c r="DS1962" s="58">
        <v>0.0601671309192197</v>
      </c>
      <c r="DT1962" s="55"/>
      <c r="DY1962" s="1">
        <v>0</v>
      </c>
      <c r="DZ1962" s="1">
        <v>0</v>
      </c>
      <c r="EA1962" s="52">
        <v>84.9582172701951</v>
      </c>
      <c r="ED1962" s="52">
        <v>84.9582172701951</v>
      </c>
    </row>
    <row r="1963" customHeight="1" spans="1:134">
      <c r="A1963" s="54">
        <v>70</v>
      </c>
      <c r="B1963" s="4" t="s">
        <v>1599</v>
      </c>
      <c r="C1963" s="5" t="s">
        <v>1612</v>
      </c>
      <c r="D1963" s="4" t="s">
        <v>300</v>
      </c>
      <c r="E1963" s="4" t="s">
        <v>1603</v>
      </c>
      <c r="F1963" s="4" t="s">
        <v>328</v>
      </c>
      <c r="G1963" s="4" t="s">
        <v>1611</v>
      </c>
      <c r="N1963" s="4" t="s">
        <v>567</v>
      </c>
      <c r="O1963" s="4" t="s">
        <v>343</v>
      </c>
      <c r="P1963" s="4">
        <v>2</v>
      </c>
      <c r="Q1963" s="4" t="s">
        <v>539</v>
      </c>
      <c r="T1963" s="4">
        <v>27.19</v>
      </c>
      <c r="U1963" s="4">
        <v>0.209</v>
      </c>
      <c r="V1963" s="4">
        <v>32.34</v>
      </c>
      <c r="AG1963" s="4" t="s">
        <v>316</v>
      </c>
      <c r="AH1963" s="4" t="s">
        <v>1608</v>
      </c>
      <c r="AI1963" s="4" t="s">
        <v>1609</v>
      </c>
      <c r="AL1963" s="4" t="s">
        <v>1556</v>
      </c>
      <c r="AM1963" s="4">
        <v>6.56</v>
      </c>
      <c r="AN1963" s="4">
        <v>8.1</v>
      </c>
      <c r="AO1963" s="4">
        <v>168.17</v>
      </c>
      <c r="AQ1963" s="4" t="s">
        <v>7</v>
      </c>
      <c r="AR1963" s="4">
        <v>0.42</v>
      </c>
      <c r="AS1963" s="4" t="s">
        <v>13</v>
      </c>
      <c r="AT1963" s="4">
        <v>253.22</v>
      </c>
      <c r="AU1963" s="4" t="s">
        <v>15</v>
      </c>
      <c r="AV1963" s="4">
        <v>23.62</v>
      </c>
      <c r="AW1963" s="4" t="s">
        <v>12</v>
      </c>
      <c r="AX1963" s="4">
        <v>3.35</v>
      </c>
      <c r="AY1963" s="4" t="s">
        <v>14</v>
      </c>
      <c r="AZ1963" s="4">
        <v>9.55</v>
      </c>
      <c r="BI1963" s="4" t="s">
        <v>321</v>
      </c>
      <c r="BP1963" s="4">
        <v>0.05</v>
      </c>
      <c r="BV1963" s="4" t="s">
        <v>1606</v>
      </c>
      <c r="BW1963" s="4">
        <v>25</v>
      </c>
      <c r="BX1963" s="4">
        <v>75</v>
      </c>
      <c r="CX1963" s="4" t="s">
        <v>314</v>
      </c>
      <c r="DD1963" s="4">
        <v>33.53</v>
      </c>
      <c r="DE1963" s="4">
        <v>32.16</v>
      </c>
      <c r="DO1963" s="57"/>
      <c r="DQ1963" s="58">
        <v>0.303910614525139</v>
      </c>
      <c r="DR1963" s="55"/>
      <c r="DS1963" s="58">
        <v>0.059052924791086</v>
      </c>
      <c r="DT1963" s="55"/>
      <c r="DY1963" s="1">
        <v>0</v>
      </c>
      <c r="DZ1963" s="1">
        <v>0</v>
      </c>
      <c r="EA1963" s="52">
        <v>80.5689824676389</v>
      </c>
      <c r="ED1963" s="52">
        <v>80.5689824676389</v>
      </c>
    </row>
    <row r="1964" customHeight="1" spans="1:134">
      <c r="A1964" s="54">
        <v>70</v>
      </c>
      <c r="B1964" s="4" t="s">
        <v>1599</v>
      </c>
      <c r="C1964" s="5" t="s">
        <v>1612</v>
      </c>
      <c r="D1964" s="4" t="s">
        <v>300</v>
      </c>
      <c r="E1964" s="4" t="s">
        <v>1603</v>
      </c>
      <c r="F1964" s="4" t="s">
        <v>328</v>
      </c>
      <c r="G1964" s="4" t="s">
        <v>1611</v>
      </c>
      <c r="N1964" s="4" t="s">
        <v>567</v>
      </c>
      <c r="O1964" s="4" t="s">
        <v>343</v>
      </c>
      <c r="P1964" s="4">
        <v>2</v>
      </c>
      <c r="Q1964" s="4" t="s">
        <v>539</v>
      </c>
      <c r="T1964" s="4">
        <v>27.19</v>
      </c>
      <c r="U1964" s="4">
        <v>0.209</v>
      </c>
      <c r="V1964" s="4">
        <v>32.34</v>
      </c>
      <c r="AG1964" s="4" t="s">
        <v>316</v>
      </c>
      <c r="AH1964" s="4" t="s">
        <v>1608</v>
      </c>
      <c r="AI1964" s="4" t="s">
        <v>1609</v>
      </c>
      <c r="AL1964" s="4" t="s">
        <v>1556</v>
      </c>
      <c r="AM1964" s="4">
        <v>6.56</v>
      </c>
      <c r="AN1964" s="4">
        <v>8.1</v>
      </c>
      <c r="AO1964" s="4">
        <v>168.17</v>
      </c>
      <c r="AQ1964" s="4" t="s">
        <v>7</v>
      </c>
      <c r="AR1964" s="4">
        <v>0.42</v>
      </c>
      <c r="AS1964" s="4" t="s">
        <v>13</v>
      </c>
      <c r="AT1964" s="4">
        <v>253.22</v>
      </c>
      <c r="AU1964" s="4" t="s">
        <v>15</v>
      </c>
      <c r="AV1964" s="4">
        <v>23.62</v>
      </c>
      <c r="AW1964" s="4" t="s">
        <v>12</v>
      </c>
      <c r="AX1964" s="4">
        <v>3.35</v>
      </c>
      <c r="AY1964" s="4" t="s">
        <v>14</v>
      </c>
      <c r="AZ1964" s="4">
        <v>9.55</v>
      </c>
      <c r="BI1964" s="4" t="s">
        <v>321</v>
      </c>
      <c r="BP1964" s="4">
        <v>0.05</v>
      </c>
      <c r="BV1964" s="4" t="s">
        <v>1607</v>
      </c>
      <c r="BW1964" s="4">
        <v>25</v>
      </c>
      <c r="BX1964" s="4">
        <v>75</v>
      </c>
      <c r="CX1964" s="4" t="s">
        <v>314</v>
      </c>
      <c r="DD1964" s="4">
        <v>33.53</v>
      </c>
      <c r="DE1964" s="4">
        <v>32.16</v>
      </c>
      <c r="DO1964" s="57"/>
      <c r="DQ1964" s="58">
        <v>0.40558659217877</v>
      </c>
      <c r="DR1964" s="55"/>
      <c r="DS1964" s="58">
        <v>0.0657381615598882</v>
      </c>
      <c r="DT1964" s="55"/>
      <c r="DY1964" s="1">
        <v>0</v>
      </c>
      <c r="DZ1964" s="1">
        <v>0</v>
      </c>
      <c r="EA1964" s="52">
        <v>83.7918306897796</v>
      </c>
      <c r="ED1964" s="52">
        <v>83.7918306897796</v>
      </c>
    </row>
    <row r="1965" customHeight="1" spans="1:134">
      <c r="A1965" s="54">
        <v>70</v>
      </c>
      <c r="B1965" s="4" t="s">
        <v>1599</v>
      </c>
      <c r="C1965" s="5" t="s">
        <v>1612</v>
      </c>
      <c r="D1965" s="4" t="s">
        <v>300</v>
      </c>
      <c r="E1965" s="4" t="s">
        <v>1603</v>
      </c>
      <c r="F1965" s="4" t="s">
        <v>328</v>
      </c>
      <c r="G1965" s="4" t="s">
        <v>1611</v>
      </c>
      <c r="N1965" s="4" t="s">
        <v>567</v>
      </c>
      <c r="O1965" s="4" t="s">
        <v>343</v>
      </c>
      <c r="P1965" s="4">
        <v>2</v>
      </c>
      <c r="Q1965" s="4" t="s">
        <v>539</v>
      </c>
      <c r="T1965" s="4">
        <v>27.19</v>
      </c>
      <c r="U1965" s="4">
        <v>0.209</v>
      </c>
      <c r="V1965" s="4">
        <v>32.34</v>
      </c>
      <c r="AG1965" s="4" t="s">
        <v>316</v>
      </c>
      <c r="AH1965" s="4" t="s">
        <v>1608</v>
      </c>
      <c r="AI1965" s="4" t="s">
        <v>1609</v>
      </c>
      <c r="AL1965" s="4" t="s">
        <v>1556</v>
      </c>
      <c r="AM1965" s="4">
        <v>6.56</v>
      </c>
      <c r="AN1965" s="4">
        <v>8.1</v>
      </c>
      <c r="AO1965" s="4">
        <v>168.17</v>
      </c>
      <c r="AQ1965" s="4" t="s">
        <v>7</v>
      </c>
      <c r="AR1965" s="4">
        <v>0.42</v>
      </c>
      <c r="AS1965" s="4" t="s">
        <v>13</v>
      </c>
      <c r="AT1965" s="4">
        <v>253.22</v>
      </c>
      <c r="AU1965" s="4" t="s">
        <v>15</v>
      </c>
      <c r="AV1965" s="4">
        <v>23.62</v>
      </c>
      <c r="AW1965" s="4" t="s">
        <v>12</v>
      </c>
      <c r="AX1965" s="4">
        <v>3.35</v>
      </c>
      <c r="AY1965" s="4" t="s">
        <v>14</v>
      </c>
      <c r="AZ1965" s="4">
        <v>9.55</v>
      </c>
      <c r="BI1965" s="4" t="s">
        <v>321</v>
      </c>
      <c r="BP1965" s="4">
        <v>0.05</v>
      </c>
      <c r="BV1965" s="4" t="s">
        <v>1552</v>
      </c>
      <c r="BW1965" s="4">
        <v>25</v>
      </c>
      <c r="BX1965" s="4">
        <v>75</v>
      </c>
      <c r="CX1965" s="4" t="s">
        <v>314</v>
      </c>
      <c r="DD1965" s="4">
        <v>33.53</v>
      </c>
      <c r="DE1965" s="4">
        <v>32.16</v>
      </c>
      <c r="DO1965" s="57"/>
      <c r="DQ1965" s="58">
        <v>0.353072625698323</v>
      </c>
      <c r="DR1965" s="55"/>
      <c r="DS1965" s="58">
        <v>0.0289693593314768</v>
      </c>
      <c r="DT1965" s="55"/>
      <c r="DY1965" s="1">
        <v>0</v>
      </c>
      <c r="DZ1965" s="1">
        <v>0</v>
      </c>
      <c r="EA1965" s="52">
        <v>91.7950706956735</v>
      </c>
      <c r="ED1965" s="52">
        <v>91.7950706956735</v>
      </c>
    </row>
    <row r="1966" customHeight="1" spans="1:134">
      <c r="A1966" s="54">
        <v>70</v>
      </c>
      <c r="B1966" s="4" t="s">
        <v>1599</v>
      </c>
      <c r="C1966" s="5" t="s">
        <v>1612</v>
      </c>
      <c r="D1966" s="4" t="s">
        <v>300</v>
      </c>
      <c r="E1966" s="4" t="s">
        <v>1603</v>
      </c>
      <c r="F1966" s="4" t="s">
        <v>328</v>
      </c>
      <c r="G1966" s="4" t="s">
        <v>1611</v>
      </c>
      <c r="N1966" s="4" t="s">
        <v>567</v>
      </c>
      <c r="O1966" s="4" t="s">
        <v>343</v>
      </c>
      <c r="P1966" s="4">
        <v>2</v>
      </c>
      <c r="Q1966" s="4" t="s">
        <v>539</v>
      </c>
      <c r="T1966" s="4">
        <v>27.19</v>
      </c>
      <c r="U1966" s="4">
        <v>0.209</v>
      </c>
      <c r="V1966" s="4">
        <v>32.34</v>
      </c>
      <c r="AG1966" s="4" t="s">
        <v>316</v>
      </c>
      <c r="AH1966" s="4" t="s">
        <v>1608</v>
      </c>
      <c r="AI1966" s="4" t="s">
        <v>1609</v>
      </c>
      <c r="AL1966" s="4" t="s">
        <v>1556</v>
      </c>
      <c r="AM1966" s="4">
        <v>6.56</v>
      </c>
      <c r="AN1966" s="4">
        <v>8.1</v>
      </c>
      <c r="AO1966" s="4">
        <v>168.17</v>
      </c>
      <c r="AQ1966" s="4" t="s">
        <v>7</v>
      </c>
      <c r="AR1966" s="4">
        <v>0.42</v>
      </c>
      <c r="AS1966" s="4" t="s">
        <v>13</v>
      </c>
      <c r="AT1966" s="4">
        <v>253.22</v>
      </c>
      <c r="AU1966" s="4" t="s">
        <v>15</v>
      </c>
      <c r="AV1966" s="4">
        <v>23.62</v>
      </c>
      <c r="AW1966" s="4" t="s">
        <v>12</v>
      </c>
      <c r="AX1966" s="4">
        <v>3.35</v>
      </c>
      <c r="AY1966" s="4" t="s">
        <v>14</v>
      </c>
      <c r="AZ1966" s="4">
        <v>9.55</v>
      </c>
      <c r="BI1966" s="4" t="s">
        <v>321</v>
      </c>
      <c r="BP1966" s="4">
        <v>0.05</v>
      </c>
      <c r="BV1966" s="4" t="s">
        <v>488</v>
      </c>
      <c r="BW1966" s="4">
        <v>25</v>
      </c>
      <c r="BX1966" s="4">
        <v>75</v>
      </c>
      <c r="CX1966" s="4" t="s">
        <v>314</v>
      </c>
      <c r="DD1966" s="4">
        <v>33.53</v>
      </c>
      <c r="DE1966" s="4">
        <v>32.16</v>
      </c>
      <c r="DO1966" s="57"/>
      <c r="DQ1966" s="58">
        <v>0.4</v>
      </c>
      <c r="DR1966" s="55"/>
      <c r="DS1966" s="58">
        <v>0.0323119777158782</v>
      </c>
      <c r="DT1966" s="55"/>
      <c r="DY1966" s="1">
        <v>0</v>
      </c>
      <c r="DZ1966" s="1">
        <v>0</v>
      </c>
      <c r="EA1966" s="52">
        <v>91.9220055710305</v>
      </c>
      <c r="ED1966" s="52">
        <v>91.9220055710305</v>
      </c>
    </row>
    <row r="1967" customHeight="1" spans="1:134">
      <c r="A1967" s="54">
        <v>70</v>
      </c>
      <c r="B1967" s="4" t="s">
        <v>1599</v>
      </c>
      <c r="C1967" s="5" t="s">
        <v>1612</v>
      </c>
      <c r="D1967" s="4" t="s">
        <v>300</v>
      </c>
      <c r="E1967" s="4" t="s">
        <v>1603</v>
      </c>
      <c r="F1967" s="4" t="s">
        <v>328</v>
      </c>
      <c r="G1967" s="4" t="s">
        <v>1611</v>
      </c>
      <c r="N1967" s="4" t="s">
        <v>567</v>
      </c>
      <c r="O1967" s="4" t="s">
        <v>343</v>
      </c>
      <c r="P1967" s="4">
        <v>2</v>
      </c>
      <c r="Q1967" s="4" t="s">
        <v>539</v>
      </c>
      <c r="T1967" s="4">
        <v>27.19</v>
      </c>
      <c r="U1967" s="4">
        <v>0.209</v>
      </c>
      <c r="V1967" s="4">
        <v>32.34</v>
      </c>
      <c r="AG1967" s="4" t="s">
        <v>316</v>
      </c>
      <c r="AH1967" s="4" t="s">
        <v>1608</v>
      </c>
      <c r="AI1967" s="4" t="s">
        <v>1609</v>
      </c>
      <c r="AL1967" s="4" t="s">
        <v>1556</v>
      </c>
      <c r="AM1967" s="4">
        <v>6.56</v>
      </c>
      <c r="AN1967" s="4">
        <v>8.1</v>
      </c>
      <c r="AO1967" s="4">
        <v>168.17</v>
      </c>
      <c r="AQ1967" s="4" t="s">
        <v>7</v>
      </c>
      <c r="AR1967" s="4">
        <v>0.42</v>
      </c>
      <c r="AS1967" s="4" t="s">
        <v>13</v>
      </c>
      <c r="AT1967" s="4">
        <v>253.22</v>
      </c>
      <c r="AU1967" s="4" t="s">
        <v>15</v>
      </c>
      <c r="AV1967" s="4">
        <v>23.62</v>
      </c>
      <c r="AW1967" s="4" t="s">
        <v>12</v>
      </c>
      <c r="AX1967" s="4">
        <v>3.35</v>
      </c>
      <c r="AY1967" s="4" t="s">
        <v>14</v>
      </c>
      <c r="AZ1967" s="4">
        <v>9.55</v>
      </c>
      <c r="BI1967" s="4" t="s">
        <v>321</v>
      </c>
      <c r="BP1967" s="4">
        <v>0.1</v>
      </c>
      <c r="BV1967" s="4" t="s">
        <v>1606</v>
      </c>
      <c r="BW1967" s="4">
        <v>25</v>
      </c>
      <c r="BX1967" s="4">
        <v>75</v>
      </c>
      <c r="CX1967" s="4" t="s">
        <v>314</v>
      </c>
      <c r="DD1967" s="4">
        <v>33.53</v>
      </c>
      <c r="DE1967" s="4">
        <v>32.16</v>
      </c>
      <c r="DO1967" s="57"/>
      <c r="DQ1967" s="58">
        <v>0.303910614525139</v>
      </c>
      <c r="DR1967" s="55"/>
      <c r="DS1967" s="58">
        <v>0.0245125348189412</v>
      </c>
      <c r="DT1967" s="55"/>
      <c r="DY1967" s="1">
        <v>0</v>
      </c>
      <c r="DZ1967" s="1">
        <v>0</v>
      </c>
      <c r="EA1967" s="52">
        <v>91.9342946092087</v>
      </c>
      <c r="ED1967" s="52">
        <v>91.9342946092087</v>
      </c>
    </row>
    <row r="1968" customHeight="1" spans="1:134">
      <c r="A1968" s="54">
        <v>70</v>
      </c>
      <c r="B1968" s="4" t="s">
        <v>1599</v>
      </c>
      <c r="C1968" s="5" t="s">
        <v>1612</v>
      </c>
      <c r="D1968" s="4" t="s">
        <v>300</v>
      </c>
      <c r="E1968" s="4" t="s">
        <v>1603</v>
      </c>
      <c r="F1968" s="4" t="s">
        <v>328</v>
      </c>
      <c r="G1968" s="4" t="s">
        <v>1611</v>
      </c>
      <c r="N1968" s="4" t="s">
        <v>567</v>
      </c>
      <c r="O1968" s="4" t="s">
        <v>343</v>
      </c>
      <c r="P1968" s="4">
        <v>2</v>
      </c>
      <c r="Q1968" s="4" t="s">
        <v>539</v>
      </c>
      <c r="T1968" s="4">
        <v>27.19</v>
      </c>
      <c r="U1968" s="4">
        <v>0.209</v>
      </c>
      <c r="V1968" s="4">
        <v>32.34</v>
      </c>
      <c r="AG1968" s="4" t="s">
        <v>316</v>
      </c>
      <c r="AH1968" s="4" t="s">
        <v>1608</v>
      </c>
      <c r="AI1968" s="4" t="s">
        <v>1609</v>
      </c>
      <c r="AL1968" s="4" t="s">
        <v>1556</v>
      </c>
      <c r="AM1968" s="4">
        <v>6.56</v>
      </c>
      <c r="AN1968" s="4">
        <v>8.1</v>
      </c>
      <c r="AO1968" s="4">
        <v>168.17</v>
      </c>
      <c r="AQ1968" s="4" t="s">
        <v>7</v>
      </c>
      <c r="AR1968" s="4">
        <v>0.42</v>
      </c>
      <c r="AS1968" s="4" t="s">
        <v>13</v>
      </c>
      <c r="AT1968" s="4">
        <v>253.22</v>
      </c>
      <c r="AU1968" s="4" t="s">
        <v>15</v>
      </c>
      <c r="AV1968" s="4">
        <v>23.62</v>
      </c>
      <c r="AW1968" s="4" t="s">
        <v>12</v>
      </c>
      <c r="AX1968" s="4">
        <v>3.35</v>
      </c>
      <c r="AY1968" s="4" t="s">
        <v>14</v>
      </c>
      <c r="AZ1968" s="4">
        <v>9.55</v>
      </c>
      <c r="BI1968" s="4" t="s">
        <v>321</v>
      </c>
      <c r="BP1968" s="4">
        <v>0.1</v>
      </c>
      <c r="BV1968" s="4" t="s">
        <v>1607</v>
      </c>
      <c r="BW1968" s="4">
        <v>25</v>
      </c>
      <c r="BX1968" s="4">
        <v>75</v>
      </c>
      <c r="CX1968" s="4" t="s">
        <v>314</v>
      </c>
      <c r="DD1968" s="4">
        <v>33.53</v>
      </c>
      <c r="DE1968" s="4">
        <v>32.16</v>
      </c>
      <c r="DO1968" s="57"/>
      <c r="DQ1968" s="58">
        <v>0.40558659217877</v>
      </c>
      <c r="DR1968" s="55"/>
      <c r="DS1968" s="58">
        <v>0.0434540389972136</v>
      </c>
      <c r="DT1968" s="55"/>
      <c r="DY1968" s="1">
        <v>0</v>
      </c>
      <c r="DZ1968" s="1">
        <v>0</v>
      </c>
      <c r="EA1968" s="52">
        <v>89.2861253712104</v>
      </c>
      <c r="ED1968" s="52">
        <v>89.2861253712104</v>
      </c>
    </row>
    <row r="1969" customHeight="1" spans="1:134">
      <c r="A1969" s="54">
        <v>70</v>
      </c>
      <c r="B1969" s="4" t="s">
        <v>1599</v>
      </c>
      <c r="C1969" s="5" t="s">
        <v>1612</v>
      </c>
      <c r="D1969" s="4" t="s">
        <v>300</v>
      </c>
      <c r="E1969" s="4" t="s">
        <v>1603</v>
      </c>
      <c r="F1969" s="4" t="s">
        <v>328</v>
      </c>
      <c r="G1969" s="4" t="s">
        <v>1611</v>
      </c>
      <c r="N1969" s="4" t="s">
        <v>567</v>
      </c>
      <c r="O1969" s="4" t="s">
        <v>343</v>
      </c>
      <c r="P1969" s="4">
        <v>2</v>
      </c>
      <c r="Q1969" s="4" t="s">
        <v>539</v>
      </c>
      <c r="T1969" s="4">
        <v>27.19</v>
      </c>
      <c r="U1969" s="4">
        <v>0.209</v>
      </c>
      <c r="V1969" s="4">
        <v>32.34</v>
      </c>
      <c r="AG1969" s="4" t="s">
        <v>316</v>
      </c>
      <c r="AH1969" s="4" t="s">
        <v>1608</v>
      </c>
      <c r="AI1969" s="4" t="s">
        <v>1609</v>
      </c>
      <c r="AL1969" s="4" t="s">
        <v>1556</v>
      </c>
      <c r="AM1969" s="4">
        <v>6.56</v>
      </c>
      <c r="AN1969" s="4">
        <v>8.1</v>
      </c>
      <c r="AO1969" s="4">
        <v>168.17</v>
      </c>
      <c r="AQ1969" s="4" t="s">
        <v>7</v>
      </c>
      <c r="AR1969" s="4">
        <v>0.42</v>
      </c>
      <c r="AS1969" s="4" t="s">
        <v>13</v>
      </c>
      <c r="AT1969" s="4">
        <v>253.22</v>
      </c>
      <c r="AU1969" s="4" t="s">
        <v>15</v>
      </c>
      <c r="AV1969" s="4">
        <v>23.62</v>
      </c>
      <c r="AW1969" s="4" t="s">
        <v>12</v>
      </c>
      <c r="AX1969" s="4">
        <v>3.35</v>
      </c>
      <c r="AY1969" s="4" t="s">
        <v>14</v>
      </c>
      <c r="AZ1969" s="4">
        <v>9.55</v>
      </c>
      <c r="BI1969" s="4" t="s">
        <v>321</v>
      </c>
      <c r="BP1969" s="4">
        <v>0.1</v>
      </c>
      <c r="BV1969" s="4" t="s">
        <v>1552</v>
      </c>
      <c r="BW1969" s="4">
        <v>25</v>
      </c>
      <c r="BX1969" s="4">
        <v>75</v>
      </c>
      <c r="CX1969" s="4" t="s">
        <v>314</v>
      </c>
      <c r="DD1969" s="4">
        <v>33.53</v>
      </c>
      <c r="DE1969" s="4">
        <v>32.16</v>
      </c>
      <c r="DO1969" s="57"/>
      <c r="DQ1969" s="58">
        <v>0.353072625698323</v>
      </c>
      <c r="DR1969" s="55"/>
      <c r="DS1969" s="58">
        <v>0.0267409470752079</v>
      </c>
      <c r="DT1969" s="55"/>
      <c r="DY1969" s="1">
        <v>0</v>
      </c>
      <c r="DZ1969" s="1">
        <v>0</v>
      </c>
      <c r="EA1969" s="52">
        <v>92.426219103699</v>
      </c>
      <c r="ED1969" s="52">
        <v>92.426219103699</v>
      </c>
    </row>
    <row r="1970" customHeight="1" spans="1:134">
      <c r="A1970" s="54">
        <v>70</v>
      </c>
      <c r="B1970" s="4" t="s">
        <v>1599</v>
      </c>
      <c r="C1970" s="5" t="s">
        <v>1612</v>
      </c>
      <c r="D1970" s="4" t="s">
        <v>300</v>
      </c>
      <c r="E1970" s="4" t="s">
        <v>1603</v>
      </c>
      <c r="F1970" s="4" t="s">
        <v>328</v>
      </c>
      <c r="G1970" s="4" t="s">
        <v>1611</v>
      </c>
      <c r="N1970" s="4" t="s">
        <v>567</v>
      </c>
      <c r="O1970" s="4" t="s">
        <v>343</v>
      </c>
      <c r="P1970" s="4">
        <v>2</v>
      </c>
      <c r="Q1970" s="4" t="s">
        <v>539</v>
      </c>
      <c r="T1970" s="4">
        <v>27.19</v>
      </c>
      <c r="U1970" s="4">
        <v>0.209</v>
      </c>
      <c r="V1970" s="4">
        <v>32.34</v>
      </c>
      <c r="AG1970" s="4" t="s">
        <v>316</v>
      </c>
      <c r="AH1970" s="4" t="s">
        <v>1608</v>
      </c>
      <c r="AI1970" s="4" t="s">
        <v>1609</v>
      </c>
      <c r="AL1970" s="4" t="s">
        <v>1556</v>
      </c>
      <c r="AM1970" s="4">
        <v>6.56</v>
      </c>
      <c r="AN1970" s="4">
        <v>8.1</v>
      </c>
      <c r="AO1970" s="4">
        <v>168.17</v>
      </c>
      <c r="AQ1970" s="4" t="s">
        <v>7</v>
      </c>
      <c r="AR1970" s="4">
        <v>0.42</v>
      </c>
      <c r="AS1970" s="4" t="s">
        <v>13</v>
      </c>
      <c r="AT1970" s="4">
        <v>253.22</v>
      </c>
      <c r="AU1970" s="4" t="s">
        <v>15</v>
      </c>
      <c r="AV1970" s="4">
        <v>23.62</v>
      </c>
      <c r="AW1970" s="4" t="s">
        <v>12</v>
      </c>
      <c r="AX1970" s="4">
        <v>3.35</v>
      </c>
      <c r="AY1970" s="4" t="s">
        <v>14</v>
      </c>
      <c r="AZ1970" s="4">
        <v>9.55</v>
      </c>
      <c r="BI1970" s="4" t="s">
        <v>321</v>
      </c>
      <c r="BP1970" s="4">
        <v>0.1</v>
      </c>
      <c r="BV1970" s="4" t="s">
        <v>488</v>
      </c>
      <c r="BW1970" s="4">
        <v>25</v>
      </c>
      <c r="BX1970" s="4">
        <v>75</v>
      </c>
      <c r="CX1970" s="4" t="s">
        <v>314</v>
      </c>
      <c r="DD1970" s="4">
        <v>33.53</v>
      </c>
      <c r="DE1970" s="4">
        <v>32.16</v>
      </c>
      <c r="DO1970" s="57"/>
      <c r="DQ1970" s="58">
        <v>0.4</v>
      </c>
      <c r="DR1970" s="55"/>
      <c r="DS1970" s="58">
        <v>0.0178272980501388</v>
      </c>
      <c r="DT1970" s="55"/>
      <c r="DY1970" s="1">
        <v>0</v>
      </c>
      <c r="DZ1970" s="1">
        <v>0</v>
      </c>
      <c r="EA1970" s="52">
        <v>95.5431754874653</v>
      </c>
      <c r="ED1970" s="52">
        <v>95.5431754874653</v>
      </c>
    </row>
    <row r="1971" customHeight="1" spans="1:134">
      <c r="A1971" s="54">
        <v>70</v>
      </c>
      <c r="B1971" s="4" t="s">
        <v>1599</v>
      </c>
      <c r="C1971" s="5" t="s">
        <v>874</v>
      </c>
      <c r="D1971" s="4" t="s">
        <v>300</v>
      </c>
      <c r="E1971" s="4" t="s">
        <v>1603</v>
      </c>
      <c r="N1971" s="4" t="s">
        <v>14</v>
      </c>
      <c r="O1971" s="4" t="s">
        <v>343</v>
      </c>
      <c r="P1971" s="4">
        <v>2</v>
      </c>
      <c r="Q1971" s="4" t="s">
        <v>539</v>
      </c>
      <c r="T1971" s="4">
        <v>2.73</v>
      </c>
      <c r="U1971" s="4">
        <v>0.008</v>
      </c>
      <c r="V1971" s="4">
        <v>272.73</v>
      </c>
      <c r="AG1971" s="4" t="s">
        <v>316</v>
      </c>
      <c r="AH1971" s="4" t="s">
        <v>1601</v>
      </c>
      <c r="AI1971" s="4" t="s">
        <v>1602</v>
      </c>
      <c r="AL1971" s="4" t="s">
        <v>1556</v>
      </c>
      <c r="AM1971" s="4">
        <v>8.78</v>
      </c>
      <c r="AN1971" s="4">
        <v>4.32</v>
      </c>
      <c r="AO1971" s="4">
        <v>180.29</v>
      </c>
      <c r="AQ1971" s="4" t="s">
        <v>7</v>
      </c>
      <c r="AR1971" s="4">
        <v>1.25</v>
      </c>
      <c r="AS1971" s="4" t="s">
        <v>13</v>
      </c>
      <c r="AT1971" s="4">
        <v>138.52</v>
      </c>
      <c r="AU1971" s="4" t="s">
        <v>15</v>
      </c>
      <c r="AV1971" s="4">
        <v>27.65</v>
      </c>
      <c r="AW1971" s="4" t="s">
        <v>12</v>
      </c>
      <c r="AX1971" s="4">
        <v>2.44</v>
      </c>
      <c r="AY1971" s="4" t="s">
        <v>14</v>
      </c>
      <c r="AZ1971" s="4">
        <v>5.56</v>
      </c>
      <c r="BI1971" s="4" t="s">
        <v>321</v>
      </c>
      <c r="BP1971" s="4">
        <v>0.1</v>
      </c>
      <c r="BV1971" s="4" t="s">
        <v>522</v>
      </c>
      <c r="BW1971" s="4">
        <v>25</v>
      </c>
      <c r="BX1971" s="4">
        <v>75</v>
      </c>
      <c r="DO1971" s="57"/>
      <c r="DQ1971" s="58">
        <v>1.25270964061608</v>
      </c>
      <c r="DR1971" s="55">
        <v>0.03422703936109</v>
      </c>
      <c r="DS1971" s="58">
        <v>1.0721620079863</v>
      </c>
      <c r="DT1971" s="55">
        <v>0.03166001140901</v>
      </c>
      <c r="DY1971" s="1">
        <v>0</v>
      </c>
      <c r="DZ1971" s="1">
        <v>0</v>
      </c>
      <c r="EA1971" s="52">
        <v>14.4125683060112</v>
      </c>
      <c r="ED1971" s="52">
        <v>14.4125683060112</v>
      </c>
    </row>
    <row r="1972" customHeight="1" spans="1:134">
      <c r="A1972" s="54">
        <v>70</v>
      </c>
      <c r="B1972" s="4" t="s">
        <v>1599</v>
      </c>
      <c r="C1972" s="5" t="s">
        <v>874</v>
      </c>
      <c r="D1972" s="4" t="s">
        <v>300</v>
      </c>
      <c r="E1972" s="4" t="s">
        <v>1603</v>
      </c>
      <c r="N1972" s="4" t="s">
        <v>14</v>
      </c>
      <c r="O1972" s="4" t="s">
        <v>343</v>
      </c>
      <c r="P1972" s="4">
        <v>2</v>
      </c>
      <c r="Q1972" s="4" t="s">
        <v>539</v>
      </c>
      <c r="T1972" s="4">
        <v>2.73</v>
      </c>
      <c r="U1972" s="4">
        <v>0.008</v>
      </c>
      <c r="V1972" s="4">
        <v>272.73</v>
      </c>
      <c r="AG1972" s="4" t="s">
        <v>316</v>
      </c>
      <c r="AH1972" s="4" t="s">
        <v>346</v>
      </c>
      <c r="AI1972" s="4" t="s">
        <v>1604</v>
      </c>
      <c r="AL1972" s="4" t="s">
        <v>1556</v>
      </c>
      <c r="AM1972" s="4">
        <v>5.65</v>
      </c>
      <c r="AN1972" s="4">
        <v>7.53</v>
      </c>
      <c r="AO1972" s="4">
        <v>168.17</v>
      </c>
      <c r="AQ1972" s="4" t="s">
        <v>7</v>
      </c>
      <c r="AR1972" s="4">
        <v>0.89</v>
      </c>
      <c r="AS1972" s="4" t="s">
        <v>13</v>
      </c>
      <c r="AT1972" s="4">
        <v>380.94</v>
      </c>
      <c r="AU1972" s="4" t="s">
        <v>15</v>
      </c>
      <c r="AV1972" s="4">
        <v>58.78</v>
      </c>
      <c r="AW1972" s="4" t="s">
        <v>12</v>
      </c>
      <c r="AX1972" s="4">
        <v>5.9</v>
      </c>
      <c r="AY1972" s="4" t="s">
        <v>14</v>
      </c>
      <c r="AZ1972" s="4">
        <v>13.24</v>
      </c>
      <c r="BI1972" s="4" t="s">
        <v>321</v>
      </c>
      <c r="BP1972" s="4">
        <v>0.1</v>
      </c>
      <c r="BV1972" s="4" t="s">
        <v>522</v>
      </c>
      <c r="BW1972" s="4">
        <v>25</v>
      </c>
      <c r="BX1972" s="4">
        <v>75</v>
      </c>
      <c r="DO1972" s="57"/>
      <c r="DQ1972" s="58">
        <v>0.899449035812672</v>
      </c>
      <c r="DR1972" s="55">
        <v>0.010330578512397</v>
      </c>
      <c r="DS1972" s="58">
        <v>0.947658402203856</v>
      </c>
      <c r="DT1972" s="50">
        <v>0.0303030303030299</v>
      </c>
      <c r="DY1972" s="1">
        <v>0</v>
      </c>
      <c r="DZ1972" s="1">
        <v>0</v>
      </c>
      <c r="EA1972" s="52">
        <v>-5.35987748851449</v>
      </c>
      <c r="ED1972" s="52">
        <v>-5.35987748851449</v>
      </c>
    </row>
    <row r="1973" customHeight="1" spans="1:134">
      <c r="A1973" s="54">
        <v>70</v>
      </c>
      <c r="B1973" s="4" t="s">
        <v>1599</v>
      </c>
      <c r="C1973" s="5" t="s">
        <v>874</v>
      </c>
      <c r="D1973" s="4" t="s">
        <v>300</v>
      </c>
      <c r="E1973" s="4" t="s">
        <v>1603</v>
      </c>
      <c r="N1973" s="4" t="s">
        <v>14</v>
      </c>
      <c r="O1973" s="4" t="s">
        <v>343</v>
      </c>
      <c r="P1973" s="4">
        <v>2</v>
      </c>
      <c r="Q1973" s="4" t="s">
        <v>539</v>
      </c>
      <c r="T1973" s="4">
        <v>2.73</v>
      </c>
      <c r="U1973" s="4">
        <v>0.008</v>
      </c>
      <c r="V1973" s="4">
        <v>272.73</v>
      </c>
      <c r="AG1973" s="4" t="s">
        <v>316</v>
      </c>
      <c r="AH1973" s="4" t="s">
        <v>1601</v>
      </c>
      <c r="AI1973" s="4" t="s">
        <v>1602</v>
      </c>
      <c r="AL1973" s="4" t="s">
        <v>1556</v>
      </c>
      <c r="AM1973" s="4">
        <v>8.78</v>
      </c>
      <c r="AN1973" s="4">
        <v>4.32</v>
      </c>
      <c r="AO1973" s="4">
        <v>180.29</v>
      </c>
      <c r="AQ1973" s="4" t="s">
        <v>7</v>
      </c>
      <c r="AR1973" s="4">
        <v>1.25</v>
      </c>
      <c r="AS1973" s="4" t="s">
        <v>13</v>
      </c>
      <c r="AT1973" s="4">
        <v>138.52</v>
      </c>
      <c r="AU1973" s="4" t="s">
        <v>15</v>
      </c>
      <c r="AV1973" s="4">
        <v>27.65</v>
      </c>
      <c r="AW1973" s="4" t="s">
        <v>12</v>
      </c>
      <c r="AX1973" s="4">
        <v>2.44</v>
      </c>
      <c r="AY1973" s="4" t="s">
        <v>14</v>
      </c>
      <c r="AZ1973" s="4">
        <v>5.56</v>
      </c>
      <c r="BI1973" s="4" t="s">
        <v>321</v>
      </c>
      <c r="BP1973" s="4">
        <v>0.05</v>
      </c>
      <c r="BV1973" s="4" t="s">
        <v>522</v>
      </c>
      <c r="BW1973" s="4">
        <v>25</v>
      </c>
      <c r="BX1973" s="4">
        <v>75</v>
      </c>
      <c r="DO1973" s="57"/>
      <c r="DQ1973" s="58">
        <v>1.25270964061608</v>
      </c>
      <c r="DR1973" s="55">
        <v>0.03422703936109</v>
      </c>
      <c r="DS1973" s="59">
        <v>1.14214046822742</v>
      </c>
      <c r="DT1973" s="50">
        <v>0.0326086956521701</v>
      </c>
      <c r="DY1973" s="1">
        <v>0</v>
      </c>
      <c r="DZ1973" s="1">
        <v>0</v>
      </c>
      <c r="EA1973" s="52">
        <v>8.82640069204562</v>
      </c>
      <c r="ED1973" s="52">
        <v>8.82640069204562</v>
      </c>
    </row>
    <row r="1974" customHeight="1" spans="1:134">
      <c r="A1974" s="54">
        <v>70</v>
      </c>
      <c r="B1974" s="4" t="s">
        <v>1599</v>
      </c>
      <c r="C1974" s="5" t="s">
        <v>874</v>
      </c>
      <c r="D1974" s="4" t="s">
        <v>300</v>
      </c>
      <c r="E1974" s="4" t="s">
        <v>1603</v>
      </c>
      <c r="N1974" s="4" t="s">
        <v>14</v>
      </c>
      <c r="O1974" s="4" t="s">
        <v>343</v>
      </c>
      <c r="P1974" s="4">
        <v>2</v>
      </c>
      <c r="Q1974" s="4" t="s">
        <v>539</v>
      </c>
      <c r="T1974" s="4">
        <v>2.73</v>
      </c>
      <c r="U1974" s="4">
        <v>0.008</v>
      </c>
      <c r="V1974" s="4">
        <v>272.73</v>
      </c>
      <c r="AG1974" s="4" t="s">
        <v>316</v>
      </c>
      <c r="AH1974" s="4" t="s">
        <v>346</v>
      </c>
      <c r="AI1974" s="4" t="s">
        <v>1604</v>
      </c>
      <c r="AL1974" s="4" t="s">
        <v>1556</v>
      </c>
      <c r="AM1974" s="4">
        <v>5.65</v>
      </c>
      <c r="AN1974" s="4">
        <v>7.53</v>
      </c>
      <c r="AO1974" s="4">
        <v>168.17</v>
      </c>
      <c r="AQ1974" s="4" t="s">
        <v>7</v>
      </c>
      <c r="AR1974" s="4">
        <v>0.89</v>
      </c>
      <c r="AS1974" s="4" t="s">
        <v>13</v>
      </c>
      <c r="AT1974" s="4">
        <v>380.94</v>
      </c>
      <c r="AU1974" s="4" t="s">
        <v>15</v>
      </c>
      <c r="AV1974" s="4">
        <v>58.78</v>
      </c>
      <c r="AW1974" s="4" t="s">
        <v>12</v>
      </c>
      <c r="AX1974" s="4">
        <v>5.9</v>
      </c>
      <c r="AY1974" s="4" t="s">
        <v>14</v>
      </c>
      <c r="AZ1974" s="4">
        <v>13.24</v>
      </c>
      <c r="BI1974" s="4" t="s">
        <v>321</v>
      </c>
      <c r="BP1974" s="4">
        <v>0.05</v>
      </c>
      <c r="BV1974" s="4" t="s">
        <v>522</v>
      </c>
      <c r="BW1974" s="4">
        <v>25</v>
      </c>
      <c r="BX1974" s="4">
        <v>75</v>
      </c>
      <c r="DO1974" s="57"/>
      <c r="DQ1974" s="58">
        <v>0.899449035812672</v>
      </c>
      <c r="DR1974" s="55">
        <v>0.010330578512397</v>
      </c>
      <c r="DS1974" s="50">
        <v>0.99931129476584</v>
      </c>
      <c r="DT1974" s="50">
        <v>0.03236914600551</v>
      </c>
      <c r="DY1974" s="1">
        <v>0</v>
      </c>
      <c r="DZ1974" s="1">
        <v>0</v>
      </c>
      <c r="EA1974" s="52">
        <v>-11.1026033690659</v>
      </c>
      <c r="ED1974" s="52">
        <v>-11.1026033690659</v>
      </c>
    </row>
    <row r="1975" customHeight="1" spans="1:134">
      <c r="A1975" s="54">
        <v>70</v>
      </c>
      <c r="B1975" s="4" t="s">
        <v>1599</v>
      </c>
      <c r="C1975" s="5" t="s">
        <v>874</v>
      </c>
      <c r="D1975" s="4" t="s">
        <v>300</v>
      </c>
      <c r="E1975" s="4" t="s">
        <v>1603</v>
      </c>
      <c r="N1975" s="4" t="s">
        <v>14</v>
      </c>
      <c r="O1975" s="4" t="s">
        <v>343</v>
      </c>
      <c r="P1975" s="4">
        <v>2</v>
      </c>
      <c r="Q1975" s="4" t="s">
        <v>539</v>
      </c>
      <c r="T1975" s="4">
        <v>2.73</v>
      </c>
      <c r="U1975" s="4">
        <v>0.008</v>
      </c>
      <c r="V1975" s="4">
        <v>272.73</v>
      </c>
      <c r="AG1975" s="4" t="s">
        <v>316</v>
      </c>
      <c r="AH1975" s="4" t="s">
        <v>1601</v>
      </c>
      <c r="AI1975" s="4" t="s">
        <v>1602</v>
      </c>
      <c r="AL1975" s="4" t="s">
        <v>1556</v>
      </c>
      <c r="AM1975" s="4">
        <v>8.78</v>
      </c>
      <c r="AN1975" s="4">
        <v>4.32</v>
      </c>
      <c r="AO1975" s="4">
        <v>180.29</v>
      </c>
      <c r="AQ1975" s="4" t="s">
        <v>7</v>
      </c>
      <c r="AR1975" s="4">
        <v>1.25</v>
      </c>
      <c r="AS1975" s="4" t="s">
        <v>13</v>
      </c>
      <c r="AT1975" s="4">
        <v>138.52</v>
      </c>
      <c r="AU1975" s="4" t="s">
        <v>15</v>
      </c>
      <c r="AV1975" s="4">
        <v>27.65</v>
      </c>
      <c r="AW1975" s="4" t="s">
        <v>12</v>
      </c>
      <c r="AX1975" s="4">
        <v>2.44</v>
      </c>
      <c r="AY1975" s="4" t="s">
        <v>14</v>
      </c>
      <c r="AZ1975" s="4">
        <v>5.56</v>
      </c>
      <c r="BI1975" s="4" t="s">
        <v>321</v>
      </c>
      <c r="BP1975" s="4">
        <v>0.025</v>
      </c>
      <c r="BV1975" s="4" t="s">
        <v>522</v>
      </c>
      <c r="BW1975" s="4">
        <v>25</v>
      </c>
      <c r="BX1975" s="4">
        <v>75</v>
      </c>
      <c r="DO1975" s="57"/>
      <c r="DQ1975" s="58">
        <v>1.25270964061608</v>
      </c>
      <c r="DR1975" s="55">
        <v>0.03422703936109</v>
      </c>
      <c r="DS1975" s="50">
        <v>1.1705685618729</v>
      </c>
      <c r="DT1975" s="50">
        <v>0.0301003344481601</v>
      </c>
      <c r="DY1975" s="1">
        <v>0</v>
      </c>
      <c r="DZ1975" s="1">
        <v>0</v>
      </c>
      <c r="EA1975" s="52">
        <v>6.55707245158449</v>
      </c>
      <c r="ED1975" s="52">
        <v>6.55707245158449</v>
      </c>
    </row>
    <row r="1976" customHeight="1" spans="1:134">
      <c r="A1976" s="54">
        <v>70</v>
      </c>
      <c r="B1976" s="4" t="s">
        <v>1599</v>
      </c>
      <c r="C1976" s="5" t="s">
        <v>874</v>
      </c>
      <c r="D1976" s="4" t="s">
        <v>300</v>
      </c>
      <c r="E1976" s="4" t="s">
        <v>1603</v>
      </c>
      <c r="N1976" s="4" t="s">
        <v>14</v>
      </c>
      <c r="O1976" s="4" t="s">
        <v>343</v>
      </c>
      <c r="P1976" s="4">
        <v>2</v>
      </c>
      <c r="Q1976" s="4" t="s">
        <v>539</v>
      </c>
      <c r="T1976" s="4">
        <v>2.73</v>
      </c>
      <c r="U1976" s="4">
        <v>0.008</v>
      </c>
      <c r="V1976" s="4">
        <v>272.73</v>
      </c>
      <c r="AG1976" s="4" t="s">
        <v>316</v>
      </c>
      <c r="AH1976" s="4" t="s">
        <v>346</v>
      </c>
      <c r="AI1976" s="4" t="s">
        <v>1604</v>
      </c>
      <c r="AL1976" s="4" t="s">
        <v>1556</v>
      </c>
      <c r="AM1976" s="4">
        <v>5.65</v>
      </c>
      <c r="AN1976" s="4">
        <v>7.53</v>
      </c>
      <c r="AO1976" s="4">
        <v>168.17</v>
      </c>
      <c r="AQ1976" s="4" t="s">
        <v>7</v>
      </c>
      <c r="AR1976" s="4">
        <v>0.89</v>
      </c>
      <c r="AS1976" s="4" t="s">
        <v>13</v>
      </c>
      <c r="AT1976" s="4">
        <v>380.94</v>
      </c>
      <c r="AU1976" s="4" t="s">
        <v>15</v>
      </c>
      <c r="AV1976" s="4">
        <v>58.78</v>
      </c>
      <c r="AW1976" s="4" t="s">
        <v>12</v>
      </c>
      <c r="AX1976" s="4">
        <v>5.9</v>
      </c>
      <c r="AY1976" s="4" t="s">
        <v>14</v>
      </c>
      <c r="AZ1976" s="4">
        <v>13.24</v>
      </c>
      <c r="BI1976" s="4" t="s">
        <v>321</v>
      </c>
      <c r="BP1976" s="4">
        <v>0.025</v>
      </c>
      <c r="BV1976" s="4" t="s">
        <v>522</v>
      </c>
      <c r="BW1976" s="4">
        <v>25</v>
      </c>
      <c r="BX1976" s="4">
        <v>75</v>
      </c>
      <c r="DO1976" s="57"/>
      <c r="DQ1976" s="58">
        <v>0.899449035812672</v>
      </c>
      <c r="DR1976" s="55">
        <v>0.010330578512397</v>
      </c>
      <c r="DS1976" s="50">
        <v>0.928275862068965</v>
      </c>
      <c r="DT1976" s="50">
        <v>0.033103448275862</v>
      </c>
      <c r="DY1976" s="1">
        <v>0</v>
      </c>
      <c r="DZ1976" s="1">
        <v>0</v>
      </c>
      <c r="EA1976" s="52">
        <v>-3.20494270475784</v>
      </c>
      <c r="ED1976" s="52">
        <v>-3.20494270475784</v>
      </c>
    </row>
    <row r="1977" customHeight="1" spans="1:134">
      <c r="A1977" s="54">
        <v>70</v>
      </c>
      <c r="B1977" s="4" t="s">
        <v>1599</v>
      </c>
      <c r="C1977" s="5" t="s">
        <v>874</v>
      </c>
      <c r="D1977" s="4" t="s">
        <v>300</v>
      </c>
      <c r="E1977" s="4" t="s">
        <v>1603</v>
      </c>
      <c r="N1977" s="4" t="s">
        <v>14</v>
      </c>
      <c r="O1977" s="4" t="s">
        <v>343</v>
      </c>
      <c r="P1977" s="4">
        <v>2</v>
      </c>
      <c r="Q1977" s="4" t="s">
        <v>539</v>
      </c>
      <c r="T1977" s="4">
        <v>2.73</v>
      </c>
      <c r="U1977" s="4">
        <v>0.008</v>
      </c>
      <c r="V1977" s="4">
        <v>272.73</v>
      </c>
      <c r="AG1977" s="4" t="s">
        <v>316</v>
      </c>
      <c r="AH1977" s="4" t="s">
        <v>1601</v>
      </c>
      <c r="AI1977" s="4" t="s">
        <v>1605</v>
      </c>
      <c r="AL1977" s="4" t="s">
        <v>1556</v>
      </c>
      <c r="AM1977" s="4">
        <v>7.73</v>
      </c>
      <c r="AN1977" s="4">
        <v>4.28</v>
      </c>
      <c r="AO1977" s="4">
        <v>207.91</v>
      </c>
      <c r="AQ1977" s="4" t="s">
        <v>7</v>
      </c>
      <c r="AR1977" s="4">
        <v>1.12</v>
      </c>
      <c r="AS1977" s="4" t="s">
        <v>13</v>
      </c>
      <c r="AT1977" s="4">
        <v>52.39</v>
      </c>
      <c r="AU1977" s="4" t="s">
        <v>15</v>
      </c>
      <c r="AV1977" s="4">
        <v>96</v>
      </c>
      <c r="AW1977" s="4" t="s">
        <v>12</v>
      </c>
      <c r="AX1977" s="4">
        <v>3.45</v>
      </c>
      <c r="AY1977" s="4" t="s">
        <v>14</v>
      </c>
      <c r="AZ1977" s="4">
        <v>4.95</v>
      </c>
      <c r="BI1977" s="4" t="s">
        <v>321</v>
      </c>
      <c r="BP1977" s="4">
        <v>0.025</v>
      </c>
      <c r="BV1977" s="4" t="s">
        <v>1606</v>
      </c>
      <c r="BW1977" s="4">
        <v>25</v>
      </c>
      <c r="BX1977" s="4">
        <v>75</v>
      </c>
      <c r="DO1977" s="57"/>
      <c r="DQ1977" s="60">
        <v>1.11958762886597</v>
      </c>
      <c r="DR1977" s="55"/>
      <c r="DS1977" s="58">
        <v>0.941968911917096</v>
      </c>
      <c r="DT1977" s="55"/>
      <c r="DY1977" s="1">
        <v>0</v>
      </c>
      <c r="DZ1977" s="1">
        <v>0</v>
      </c>
      <c r="EA1977" s="52">
        <v>15.8646551970911</v>
      </c>
      <c r="ED1977" s="52">
        <v>15.8646551970911</v>
      </c>
    </row>
    <row r="1978" customHeight="1" spans="1:134">
      <c r="A1978" s="54">
        <v>70</v>
      </c>
      <c r="B1978" s="4" t="s">
        <v>1599</v>
      </c>
      <c r="C1978" s="5" t="s">
        <v>874</v>
      </c>
      <c r="D1978" s="4" t="s">
        <v>300</v>
      </c>
      <c r="E1978" s="4" t="s">
        <v>1603</v>
      </c>
      <c r="N1978" s="4" t="s">
        <v>14</v>
      </c>
      <c r="O1978" s="4" t="s">
        <v>343</v>
      </c>
      <c r="P1978" s="4">
        <v>2</v>
      </c>
      <c r="Q1978" s="4" t="s">
        <v>539</v>
      </c>
      <c r="T1978" s="4">
        <v>2.73</v>
      </c>
      <c r="U1978" s="4">
        <v>0.008</v>
      </c>
      <c r="V1978" s="4">
        <v>272.73</v>
      </c>
      <c r="AG1978" s="4" t="s">
        <v>316</v>
      </c>
      <c r="AH1978" s="4" t="s">
        <v>1601</v>
      </c>
      <c r="AI1978" s="4" t="s">
        <v>1605</v>
      </c>
      <c r="AL1978" s="4" t="s">
        <v>1556</v>
      </c>
      <c r="AM1978" s="4">
        <v>7.73</v>
      </c>
      <c r="AN1978" s="4">
        <v>4.28</v>
      </c>
      <c r="AO1978" s="4">
        <v>207.91</v>
      </c>
      <c r="AQ1978" s="4" t="s">
        <v>7</v>
      </c>
      <c r="AR1978" s="4">
        <v>1.12</v>
      </c>
      <c r="AS1978" s="4" t="s">
        <v>13</v>
      </c>
      <c r="AT1978" s="4">
        <v>52.39</v>
      </c>
      <c r="AU1978" s="4" t="s">
        <v>15</v>
      </c>
      <c r="AV1978" s="4">
        <v>96</v>
      </c>
      <c r="AW1978" s="4" t="s">
        <v>12</v>
      </c>
      <c r="AX1978" s="4">
        <v>3.45</v>
      </c>
      <c r="AY1978" s="4" t="s">
        <v>14</v>
      </c>
      <c r="AZ1978" s="4">
        <v>4.95</v>
      </c>
      <c r="BI1978" s="4" t="s">
        <v>321</v>
      </c>
      <c r="BP1978" s="4">
        <v>0.025</v>
      </c>
      <c r="BV1978" s="4" t="s">
        <v>1607</v>
      </c>
      <c r="BW1978" s="4">
        <v>25</v>
      </c>
      <c r="BX1978" s="4">
        <v>75</v>
      </c>
      <c r="DO1978" s="57"/>
      <c r="DQ1978" s="60">
        <v>1.2680412371134</v>
      </c>
      <c r="DR1978" s="55"/>
      <c r="DS1978" s="58">
        <v>1.16269430051813</v>
      </c>
      <c r="DT1978" s="55"/>
      <c r="DY1978" s="1">
        <v>0</v>
      </c>
      <c r="DZ1978" s="1">
        <v>0</v>
      </c>
      <c r="EA1978" s="52">
        <v>8.30784784531805</v>
      </c>
      <c r="ED1978" s="52">
        <v>8.30784784531805</v>
      </c>
    </row>
    <row r="1979" customHeight="1" spans="1:134">
      <c r="A1979" s="54">
        <v>70</v>
      </c>
      <c r="B1979" s="4" t="s">
        <v>1599</v>
      </c>
      <c r="C1979" s="5" t="s">
        <v>874</v>
      </c>
      <c r="D1979" s="4" t="s">
        <v>300</v>
      </c>
      <c r="E1979" s="4" t="s">
        <v>1603</v>
      </c>
      <c r="N1979" s="4" t="s">
        <v>14</v>
      </c>
      <c r="O1979" s="4" t="s">
        <v>343</v>
      </c>
      <c r="P1979" s="4">
        <v>2</v>
      </c>
      <c r="Q1979" s="4" t="s">
        <v>539</v>
      </c>
      <c r="T1979" s="4">
        <v>2.73</v>
      </c>
      <c r="U1979" s="4">
        <v>0.008</v>
      </c>
      <c r="V1979" s="4">
        <v>272.73</v>
      </c>
      <c r="AG1979" s="4" t="s">
        <v>316</v>
      </c>
      <c r="AH1979" s="4" t="s">
        <v>1601</v>
      </c>
      <c r="AI1979" s="4" t="s">
        <v>1605</v>
      </c>
      <c r="AL1979" s="4" t="s">
        <v>1556</v>
      </c>
      <c r="AM1979" s="4">
        <v>7.73</v>
      </c>
      <c r="AN1979" s="4">
        <v>4.28</v>
      </c>
      <c r="AO1979" s="4">
        <v>207.91</v>
      </c>
      <c r="AQ1979" s="4" t="s">
        <v>7</v>
      </c>
      <c r="AR1979" s="4">
        <v>1.12</v>
      </c>
      <c r="AS1979" s="4" t="s">
        <v>13</v>
      </c>
      <c r="AT1979" s="4">
        <v>52.39</v>
      </c>
      <c r="AU1979" s="4" t="s">
        <v>15</v>
      </c>
      <c r="AV1979" s="4">
        <v>96</v>
      </c>
      <c r="AW1979" s="4" t="s">
        <v>12</v>
      </c>
      <c r="AX1979" s="4">
        <v>3.45</v>
      </c>
      <c r="AY1979" s="4" t="s">
        <v>14</v>
      </c>
      <c r="AZ1979" s="4">
        <v>4.95</v>
      </c>
      <c r="BI1979" s="4" t="s">
        <v>321</v>
      </c>
      <c r="BP1979" s="4">
        <v>0.025</v>
      </c>
      <c r="BV1979" s="4" t="s">
        <v>1552</v>
      </c>
      <c r="BW1979" s="4">
        <v>25</v>
      </c>
      <c r="BX1979" s="4">
        <v>75</v>
      </c>
      <c r="DO1979" s="57"/>
      <c r="DQ1979" s="60">
        <v>1.11649484536082</v>
      </c>
      <c r="DR1979" s="55"/>
      <c r="DS1979" s="58">
        <v>0.95440414507772</v>
      </c>
      <c r="DT1979" s="55"/>
      <c r="DY1979" s="1">
        <v>0</v>
      </c>
      <c r="DZ1979" s="1">
        <v>0</v>
      </c>
      <c r="EA1979" s="52">
        <v>14.5178189542574</v>
      </c>
      <c r="ED1979" s="52">
        <v>14.5178189542574</v>
      </c>
    </row>
    <row r="1980" customHeight="1" spans="1:134">
      <c r="A1980" s="54">
        <v>70</v>
      </c>
      <c r="B1980" s="4" t="s">
        <v>1599</v>
      </c>
      <c r="C1980" s="5" t="s">
        <v>874</v>
      </c>
      <c r="D1980" s="4" t="s">
        <v>300</v>
      </c>
      <c r="E1980" s="4" t="s">
        <v>1603</v>
      </c>
      <c r="N1980" s="4" t="s">
        <v>14</v>
      </c>
      <c r="O1980" s="4" t="s">
        <v>343</v>
      </c>
      <c r="P1980" s="4">
        <v>2</v>
      </c>
      <c r="Q1980" s="4" t="s">
        <v>539</v>
      </c>
      <c r="T1980" s="4">
        <v>2.73</v>
      </c>
      <c r="U1980" s="4">
        <v>0.008</v>
      </c>
      <c r="V1980" s="4">
        <v>272.73</v>
      </c>
      <c r="AG1980" s="4" t="s">
        <v>316</v>
      </c>
      <c r="AH1980" s="4" t="s">
        <v>1601</v>
      </c>
      <c r="AI1980" s="4" t="s">
        <v>1605</v>
      </c>
      <c r="AL1980" s="4" t="s">
        <v>1556</v>
      </c>
      <c r="AM1980" s="4">
        <v>7.73</v>
      </c>
      <c r="AN1980" s="4">
        <v>4.28</v>
      </c>
      <c r="AO1980" s="4">
        <v>207.91</v>
      </c>
      <c r="AQ1980" s="4" t="s">
        <v>7</v>
      </c>
      <c r="AR1980" s="4">
        <v>1.12</v>
      </c>
      <c r="AS1980" s="4" t="s">
        <v>13</v>
      </c>
      <c r="AT1980" s="4">
        <v>52.39</v>
      </c>
      <c r="AU1980" s="4" t="s">
        <v>15</v>
      </c>
      <c r="AV1980" s="4">
        <v>96</v>
      </c>
      <c r="AW1980" s="4" t="s">
        <v>12</v>
      </c>
      <c r="AX1980" s="4">
        <v>3.45</v>
      </c>
      <c r="AY1980" s="4" t="s">
        <v>14</v>
      </c>
      <c r="AZ1980" s="4">
        <v>4.95</v>
      </c>
      <c r="BI1980" s="4" t="s">
        <v>321</v>
      </c>
      <c r="BP1980" s="4">
        <v>0.025</v>
      </c>
      <c r="BV1980" s="4" t="s">
        <v>488</v>
      </c>
      <c r="BW1980" s="4">
        <v>25</v>
      </c>
      <c r="BX1980" s="4">
        <v>75</v>
      </c>
      <c r="DO1980" s="57"/>
      <c r="DQ1980" s="60">
        <v>1.24329896907216</v>
      </c>
      <c r="DR1980" s="55"/>
      <c r="DS1980" s="58">
        <v>1.15025906735751</v>
      </c>
      <c r="DT1980" s="55"/>
      <c r="DY1980" s="1">
        <v>0</v>
      </c>
      <c r="DZ1980" s="1">
        <v>0</v>
      </c>
      <c r="EA1980" s="52">
        <v>7.48330884437902</v>
      </c>
      <c r="ED1980" s="52">
        <v>7.48330884437902</v>
      </c>
    </row>
    <row r="1981" customHeight="1" spans="1:134">
      <c r="A1981" s="54">
        <v>70</v>
      </c>
      <c r="B1981" s="4" t="s">
        <v>1599</v>
      </c>
      <c r="C1981" s="5" t="s">
        <v>874</v>
      </c>
      <c r="D1981" s="4" t="s">
        <v>300</v>
      </c>
      <c r="E1981" s="4" t="s">
        <v>1603</v>
      </c>
      <c r="N1981" s="4" t="s">
        <v>14</v>
      </c>
      <c r="O1981" s="4" t="s">
        <v>343</v>
      </c>
      <c r="P1981" s="4">
        <v>2</v>
      </c>
      <c r="Q1981" s="4" t="s">
        <v>539</v>
      </c>
      <c r="T1981" s="4">
        <v>2.73</v>
      </c>
      <c r="U1981" s="4">
        <v>0.008</v>
      </c>
      <c r="V1981" s="4">
        <v>272.73</v>
      </c>
      <c r="AG1981" s="4" t="s">
        <v>316</v>
      </c>
      <c r="AH1981" s="4" t="s">
        <v>1601</v>
      </c>
      <c r="AI1981" s="4" t="s">
        <v>1605</v>
      </c>
      <c r="AL1981" s="4" t="s">
        <v>1556</v>
      </c>
      <c r="AM1981" s="4">
        <v>7.73</v>
      </c>
      <c r="AN1981" s="4">
        <v>4.28</v>
      </c>
      <c r="AO1981" s="4">
        <v>207.91</v>
      </c>
      <c r="AQ1981" s="4" t="s">
        <v>7</v>
      </c>
      <c r="AR1981" s="4">
        <v>1.12</v>
      </c>
      <c r="AS1981" s="4" t="s">
        <v>13</v>
      </c>
      <c r="AT1981" s="4">
        <v>52.39</v>
      </c>
      <c r="AU1981" s="4" t="s">
        <v>15</v>
      </c>
      <c r="AV1981" s="4">
        <v>96</v>
      </c>
      <c r="AW1981" s="4" t="s">
        <v>12</v>
      </c>
      <c r="AX1981" s="4">
        <v>3.45</v>
      </c>
      <c r="AY1981" s="4" t="s">
        <v>14</v>
      </c>
      <c r="AZ1981" s="4">
        <v>4.95</v>
      </c>
      <c r="BI1981" s="4" t="s">
        <v>321</v>
      </c>
      <c r="BP1981" s="4">
        <v>0.05</v>
      </c>
      <c r="BV1981" s="4" t="s">
        <v>1606</v>
      </c>
      <c r="BW1981" s="4">
        <v>25</v>
      </c>
      <c r="BX1981" s="4">
        <v>75</v>
      </c>
      <c r="DO1981" s="57"/>
      <c r="DQ1981" s="60">
        <v>1.11958762886597</v>
      </c>
      <c r="DR1981" s="55"/>
      <c r="DS1981" s="58">
        <v>0.941968911917098</v>
      </c>
      <c r="DT1981" s="55"/>
      <c r="DY1981" s="1">
        <v>0</v>
      </c>
      <c r="DZ1981" s="1">
        <v>0</v>
      </c>
      <c r="EA1981" s="52">
        <v>15.8646551970909</v>
      </c>
      <c r="ED1981" s="52">
        <v>15.8646551970909</v>
      </c>
    </row>
    <row r="1982" customHeight="1" spans="1:134">
      <c r="A1982" s="54">
        <v>70</v>
      </c>
      <c r="B1982" s="4" t="s">
        <v>1599</v>
      </c>
      <c r="C1982" s="5" t="s">
        <v>874</v>
      </c>
      <c r="D1982" s="4" t="s">
        <v>300</v>
      </c>
      <c r="E1982" s="4" t="s">
        <v>1603</v>
      </c>
      <c r="N1982" s="4" t="s">
        <v>14</v>
      </c>
      <c r="O1982" s="4" t="s">
        <v>343</v>
      </c>
      <c r="P1982" s="4">
        <v>2</v>
      </c>
      <c r="Q1982" s="4" t="s">
        <v>539</v>
      </c>
      <c r="T1982" s="4">
        <v>2.73</v>
      </c>
      <c r="U1982" s="4">
        <v>0.008</v>
      </c>
      <c r="V1982" s="4">
        <v>272.73</v>
      </c>
      <c r="AG1982" s="4" t="s">
        <v>316</v>
      </c>
      <c r="AH1982" s="4" t="s">
        <v>1601</v>
      </c>
      <c r="AI1982" s="4" t="s">
        <v>1605</v>
      </c>
      <c r="AL1982" s="4" t="s">
        <v>1556</v>
      </c>
      <c r="AM1982" s="4">
        <v>7.73</v>
      </c>
      <c r="AN1982" s="4">
        <v>4.28</v>
      </c>
      <c r="AO1982" s="4">
        <v>207.91</v>
      </c>
      <c r="AQ1982" s="4" t="s">
        <v>7</v>
      </c>
      <c r="AR1982" s="4">
        <v>1.12</v>
      </c>
      <c r="AS1982" s="4" t="s">
        <v>13</v>
      </c>
      <c r="AT1982" s="4">
        <v>52.39</v>
      </c>
      <c r="AU1982" s="4" t="s">
        <v>15</v>
      </c>
      <c r="AV1982" s="4">
        <v>96</v>
      </c>
      <c r="AW1982" s="4" t="s">
        <v>12</v>
      </c>
      <c r="AX1982" s="4">
        <v>3.45</v>
      </c>
      <c r="AY1982" s="4" t="s">
        <v>14</v>
      </c>
      <c r="AZ1982" s="4">
        <v>4.95</v>
      </c>
      <c r="BI1982" s="4" t="s">
        <v>321</v>
      </c>
      <c r="BP1982" s="4">
        <v>0.05</v>
      </c>
      <c r="BV1982" s="4" t="s">
        <v>1607</v>
      </c>
      <c r="BW1982" s="4">
        <v>25</v>
      </c>
      <c r="BX1982" s="4">
        <v>75</v>
      </c>
      <c r="DO1982" s="57"/>
      <c r="DQ1982" s="60">
        <v>1.2680412371134</v>
      </c>
      <c r="DR1982" s="55"/>
      <c r="DS1982" s="58">
        <v>1.09740932642487</v>
      </c>
      <c r="DT1982" s="55"/>
      <c r="DY1982" s="1">
        <v>0</v>
      </c>
      <c r="DZ1982" s="1">
        <v>0</v>
      </c>
      <c r="EA1982" s="52">
        <v>13.4563376721849</v>
      </c>
      <c r="ED1982" s="52">
        <v>13.4563376721849</v>
      </c>
    </row>
    <row r="1983" customHeight="1" spans="1:134">
      <c r="A1983" s="54">
        <v>70</v>
      </c>
      <c r="B1983" s="4" t="s">
        <v>1599</v>
      </c>
      <c r="C1983" s="5" t="s">
        <v>874</v>
      </c>
      <c r="D1983" s="4" t="s">
        <v>300</v>
      </c>
      <c r="E1983" s="4" t="s">
        <v>1603</v>
      </c>
      <c r="N1983" s="4" t="s">
        <v>14</v>
      </c>
      <c r="O1983" s="4" t="s">
        <v>343</v>
      </c>
      <c r="P1983" s="4">
        <v>2</v>
      </c>
      <c r="Q1983" s="4" t="s">
        <v>539</v>
      </c>
      <c r="T1983" s="4">
        <v>2.73</v>
      </c>
      <c r="U1983" s="4">
        <v>0.008</v>
      </c>
      <c r="V1983" s="4">
        <v>272.73</v>
      </c>
      <c r="AG1983" s="4" t="s">
        <v>316</v>
      </c>
      <c r="AH1983" s="4" t="s">
        <v>1601</v>
      </c>
      <c r="AI1983" s="4" t="s">
        <v>1605</v>
      </c>
      <c r="AL1983" s="4" t="s">
        <v>1556</v>
      </c>
      <c r="AM1983" s="4">
        <v>7.73</v>
      </c>
      <c r="AN1983" s="4">
        <v>4.28</v>
      </c>
      <c r="AO1983" s="4">
        <v>207.91</v>
      </c>
      <c r="AQ1983" s="4" t="s">
        <v>7</v>
      </c>
      <c r="AR1983" s="4">
        <v>1.12</v>
      </c>
      <c r="AS1983" s="4" t="s">
        <v>13</v>
      </c>
      <c r="AT1983" s="4">
        <v>52.39</v>
      </c>
      <c r="AU1983" s="4" t="s">
        <v>15</v>
      </c>
      <c r="AV1983" s="4">
        <v>96</v>
      </c>
      <c r="AW1983" s="4" t="s">
        <v>12</v>
      </c>
      <c r="AX1983" s="4">
        <v>3.45</v>
      </c>
      <c r="AY1983" s="4" t="s">
        <v>14</v>
      </c>
      <c r="AZ1983" s="4">
        <v>4.95</v>
      </c>
      <c r="BI1983" s="4" t="s">
        <v>321</v>
      </c>
      <c r="BP1983" s="4">
        <v>0.05</v>
      </c>
      <c r="BV1983" s="4" t="s">
        <v>1552</v>
      </c>
      <c r="BW1983" s="4">
        <v>25</v>
      </c>
      <c r="BX1983" s="4">
        <v>75</v>
      </c>
      <c r="DO1983" s="57"/>
      <c r="DQ1983" s="60">
        <v>1.11649484536082</v>
      </c>
      <c r="DR1983" s="55"/>
      <c r="DS1983" s="58">
        <v>0.957512953367875</v>
      </c>
      <c r="DT1983" s="55"/>
      <c r="DY1983" s="1">
        <v>0</v>
      </c>
      <c r="DZ1983" s="1">
        <v>0</v>
      </c>
      <c r="EA1983" s="52">
        <v>14.2393753677892</v>
      </c>
      <c r="ED1983" s="52">
        <v>14.2393753677892</v>
      </c>
    </row>
    <row r="1984" customHeight="1" spans="1:134">
      <c r="A1984" s="54">
        <v>70</v>
      </c>
      <c r="B1984" s="4" t="s">
        <v>1599</v>
      </c>
      <c r="C1984" s="5" t="s">
        <v>874</v>
      </c>
      <c r="D1984" s="4" t="s">
        <v>300</v>
      </c>
      <c r="E1984" s="4" t="s">
        <v>1603</v>
      </c>
      <c r="N1984" s="4" t="s">
        <v>14</v>
      </c>
      <c r="O1984" s="4" t="s">
        <v>343</v>
      </c>
      <c r="P1984" s="4">
        <v>2</v>
      </c>
      <c r="Q1984" s="4" t="s">
        <v>539</v>
      </c>
      <c r="T1984" s="4">
        <v>2.73</v>
      </c>
      <c r="U1984" s="4">
        <v>0.008</v>
      </c>
      <c r="V1984" s="4">
        <v>272.73</v>
      </c>
      <c r="AG1984" s="4" t="s">
        <v>316</v>
      </c>
      <c r="AH1984" s="4" t="s">
        <v>1601</v>
      </c>
      <c r="AI1984" s="4" t="s">
        <v>1605</v>
      </c>
      <c r="AL1984" s="4" t="s">
        <v>1556</v>
      </c>
      <c r="AM1984" s="4">
        <v>7.73</v>
      </c>
      <c r="AN1984" s="4">
        <v>4.28</v>
      </c>
      <c r="AO1984" s="4">
        <v>207.91</v>
      </c>
      <c r="AQ1984" s="4" t="s">
        <v>7</v>
      </c>
      <c r="AR1984" s="4">
        <v>1.12</v>
      </c>
      <c r="AS1984" s="4" t="s">
        <v>13</v>
      </c>
      <c r="AT1984" s="4">
        <v>52.39</v>
      </c>
      <c r="AU1984" s="4" t="s">
        <v>15</v>
      </c>
      <c r="AV1984" s="4">
        <v>96</v>
      </c>
      <c r="AW1984" s="4" t="s">
        <v>12</v>
      </c>
      <c r="AX1984" s="4">
        <v>3.45</v>
      </c>
      <c r="AY1984" s="4" t="s">
        <v>14</v>
      </c>
      <c r="AZ1984" s="4">
        <v>4.95</v>
      </c>
      <c r="BI1984" s="4" t="s">
        <v>321</v>
      </c>
      <c r="BP1984" s="4">
        <v>0.05</v>
      </c>
      <c r="BV1984" s="4" t="s">
        <v>488</v>
      </c>
      <c r="BW1984" s="4">
        <v>25</v>
      </c>
      <c r="BX1984" s="4">
        <v>75</v>
      </c>
      <c r="DO1984" s="57"/>
      <c r="DQ1984" s="60">
        <v>1.24329896907216</v>
      </c>
      <c r="DR1984" s="55"/>
      <c r="DS1984" s="58">
        <v>1.27150259067357</v>
      </c>
      <c r="DT1984" s="55"/>
      <c r="DY1984" s="1">
        <v>0</v>
      </c>
      <c r="DZ1984" s="1">
        <v>0</v>
      </c>
      <c r="EA1984" s="52">
        <v>-2.26845049364575</v>
      </c>
      <c r="ED1984" s="52">
        <v>-2.26845049364575</v>
      </c>
    </row>
    <row r="1985" customHeight="1" spans="1:134">
      <c r="A1985" s="54">
        <v>70</v>
      </c>
      <c r="B1985" s="4" t="s">
        <v>1599</v>
      </c>
      <c r="C1985" s="5" t="s">
        <v>874</v>
      </c>
      <c r="D1985" s="4" t="s">
        <v>300</v>
      </c>
      <c r="E1985" s="4" t="s">
        <v>1603</v>
      </c>
      <c r="N1985" s="4" t="s">
        <v>14</v>
      </c>
      <c r="O1985" s="4" t="s">
        <v>343</v>
      </c>
      <c r="P1985" s="4">
        <v>2</v>
      </c>
      <c r="Q1985" s="4" t="s">
        <v>539</v>
      </c>
      <c r="T1985" s="4">
        <v>2.73</v>
      </c>
      <c r="U1985" s="4">
        <v>0.008</v>
      </c>
      <c r="V1985" s="4">
        <v>272.73</v>
      </c>
      <c r="AG1985" s="4" t="s">
        <v>316</v>
      </c>
      <c r="AH1985" s="4" t="s">
        <v>1601</v>
      </c>
      <c r="AI1985" s="4" t="s">
        <v>1605</v>
      </c>
      <c r="AL1985" s="4" t="s">
        <v>1556</v>
      </c>
      <c r="AM1985" s="4">
        <v>7.73</v>
      </c>
      <c r="AN1985" s="4">
        <v>4.28</v>
      </c>
      <c r="AO1985" s="4">
        <v>207.91</v>
      </c>
      <c r="AQ1985" s="4" t="s">
        <v>7</v>
      </c>
      <c r="AR1985" s="4">
        <v>1.12</v>
      </c>
      <c r="AS1985" s="4" t="s">
        <v>13</v>
      </c>
      <c r="AT1985" s="4">
        <v>52.39</v>
      </c>
      <c r="AU1985" s="4" t="s">
        <v>15</v>
      </c>
      <c r="AV1985" s="4">
        <v>96</v>
      </c>
      <c r="AW1985" s="4" t="s">
        <v>12</v>
      </c>
      <c r="AX1985" s="4">
        <v>3.45</v>
      </c>
      <c r="AY1985" s="4" t="s">
        <v>14</v>
      </c>
      <c r="AZ1985" s="4">
        <v>4.95</v>
      </c>
      <c r="BI1985" s="4" t="s">
        <v>321</v>
      </c>
      <c r="BP1985" s="4">
        <v>0.1</v>
      </c>
      <c r="BV1985" s="4" t="s">
        <v>1606</v>
      </c>
      <c r="BW1985" s="4">
        <v>25</v>
      </c>
      <c r="BX1985" s="4">
        <v>75</v>
      </c>
      <c r="DO1985" s="57"/>
      <c r="DQ1985" s="60">
        <v>1.11958762886597</v>
      </c>
      <c r="DR1985" s="55"/>
      <c r="DS1985" s="58">
        <v>1.02590673575129</v>
      </c>
      <c r="DT1985" s="55"/>
      <c r="DY1985" s="1">
        <v>0</v>
      </c>
      <c r="DZ1985" s="1">
        <v>0</v>
      </c>
      <c r="EA1985" s="52">
        <v>8.36744625425786</v>
      </c>
      <c r="ED1985" s="52">
        <v>8.36744625425786</v>
      </c>
    </row>
    <row r="1986" customHeight="1" spans="1:134">
      <c r="A1986" s="54">
        <v>70</v>
      </c>
      <c r="B1986" s="4" t="s">
        <v>1599</v>
      </c>
      <c r="C1986" s="5" t="s">
        <v>874</v>
      </c>
      <c r="D1986" s="4" t="s">
        <v>300</v>
      </c>
      <c r="E1986" s="4" t="s">
        <v>1603</v>
      </c>
      <c r="N1986" s="4" t="s">
        <v>14</v>
      </c>
      <c r="O1986" s="4" t="s">
        <v>343</v>
      </c>
      <c r="P1986" s="4">
        <v>2</v>
      </c>
      <c r="Q1986" s="4" t="s">
        <v>539</v>
      </c>
      <c r="T1986" s="4">
        <v>2.73</v>
      </c>
      <c r="U1986" s="4">
        <v>0.008</v>
      </c>
      <c r="V1986" s="4">
        <v>272.73</v>
      </c>
      <c r="AG1986" s="4" t="s">
        <v>316</v>
      </c>
      <c r="AH1986" s="4" t="s">
        <v>1601</v>
      </c>
      <c r="AI1986" s="4" t="s">
        <v>1605</v>
      </c>
      <c r="AL1986" s="4" t="s">
        <v>1556</v>
      </c>
      <c r="AM1986" s="4">
        <v>7.73</v>
      </c>
      <c r="AN1986" s="4">
        <v>4.28</v>
      </c>
      <c r="AO1986" s="4">
        <v>207.91</v>
      </c>
      <c r="AQ1986" s="4" t="s">
        <v>7</v>
      </c>
      <c r="AR1986" s="4">
        <v>1.12</v>
      </c>
      <c r="AS1986" s="4" t="s">
        <v>13</v>
      </c>
      <c r="AT1986" s="4">
        <v>52.39</v>
      </c>
      <c r="AU1986" s="4" t="s">
        <v>15</v>
      </c>
      <c r="AV1986" s="4">
        <v>96</v>
      </c>
      <c r="AW1986" s="4" t="s">
        <v>12</v>
      </c>
      <c r="AX1986" s="4">
        <v>3.45</v>
      </c>
      <c r="AY1986" s="4" t="s">
        <v>14</v>
      </c>
      <c r="AZ1986" s="4">
        <v>4.95</v>
      </c>
      <c r="BI1986" s="4" t="s">
        <v>321</v>
      </c>
      <c r="BP1986" s="4">
        <v>0.1</v>
      </c>
      <c r="BV1986" s="4" t="s">
        <v>1607</v>
      </c>
      <c r="BW1986" s="4">
        <v>25</v>
      </c>
      <c r="BX1986" s="4">
        <v>75</v>
      </c>
      <c r="DO1986" s="57"/>
      <c r="DQ1986" s="60">
        <v>1.2680412371134</v>
      </c>
      <c r="DR1986" s="55"/>
      <c r="DS1986" s="58">
        <v>1.1720207253886</v>
      </c>
      <c r="DT1986" s="55"/>
      <c r="DY1986" s="1">
        <v>0</v>
      </c>
      <c r="DZ1986" s="1">
        <v>0</v>
      </c>
      <c r="EA1986" s="52">
        <v>7.57234929862246</v>
      </c>
      <c r="ED1986" s="52">
        <v>7.57234929862246</v>
      </c>
    </row>
    <row r="1987" customHeight="1" spans="1:134">
      <c r="A1987" s="54">
        <v>70</v>
      </c>
      <c r="B1987" s="4" t="s">
        <v>1599</v>
      </c>
      <c r="C1987" s="5" t="s">
        <v>874</v>
      </c>
      <c r="D1987" s="4" t="s">
        <v>300</v>
      </c>
      <c r="E1987" s="4" t="s">
        <v>1603</v>
      </c>
      <c r="N1987" s="4" t="s">
        <v>14</v>
      </c>
      <c r="O1987" s="4" t="s">
        <v>343</v>
      </c>
      <c r="P1987" s="4">
        <v>2</v>
      </c>
      <c r="Q1987" s="4" t="s">
        <v>539</v>
      </c>
      <c r="T1987" s="4">
        <v>2.73</v>
      </c>
      <c r="U1987" s="4">
        <v>0.008</v>
      </c>
      <c r="V1987" s="4">
        <v>272.73</v>
      </c>
      <c r="AG1987" s="4" t="s">
        <v>316</v>
      </c>
      <c r="AH1987" s="4" t="s">
        <v>1601</v>
      </c>
      <c r="AI1987" s="4" t="s">
        <v>1605</v>
      </c>
      <c r="AL1987" s="4" t="s">
        <v>1556</v>
      </c>
      <c r="AM1987" s="4">
        <v>7.73</v>
      </c>
      <c r="AN1987" s="4">
        <v>4.28</v>
      </c>
      <c r="AO1987" s="4">
        <v>207.91</v>
      </c>
      <c r="AQ1987" s="4" t="s">
        <v>7</v>
      </c>
      <c r="AR1987" s="4">
        <v>1.12</v>
      </c>
      <c r="AS1987" s="4" t="s">
        <v>13</v>
      </c>
      <c r="AT1987" s="4">
        <v>52.39</v>
      </c>
      <c r="AU1987" s="4" t="s">
        <v>15</v>
      </c>
      <c r="AV1987" s="4">
        <v>96</v>
      </c>
      <c r="AW1987" s="4" t="s">
        <v>12</v>
      </c>
      <c r="AX1987" s="4">
        <v>3.45</v>
      </c>
      <c r="AY1987" s="4" t="s">
        <v>14</v>
      </c>
      <c r="AZ1987" s="4">
        <v>4.95</v>
      </c>
      <c r="BI1987" s="4" t="s">
        <v>321</v>
      </c>
      <c r="BP1987" s="4">
        <v>0.1</v>
      </c>
      <c r="BV1987" s="4" t="s">
        <v>1552</v>
      </c>
      <c r="BW1987" s="4">
        <v>25</v>
      </c>
      <c r="BX1987" s="4">
        <v>75</v>
      </c>
      <c r="DO1987" s="57"/>
      <c r="DQ1987" s="60">
        <v>1.11649484536082</v>
      </c>
      <c r="DR1987" s="55"/>
      <c r="DS1987" s="58">
        <v>1.02279792746113</v>
      </c>
      <c r="DT1987" s="55"/>
      <c r="DY1987" s="1">
        <v>0</v>
      </c>
      <c r="DZ1987" s="1">
        <v>0</v>
      </c>
      <c r="EA1987" s="52">
        <v>8.3920600519575</v>
      </c>
      <c r="ED1987" s="52">
        <v>8.3920600519575</v>
      </c>
    </row>
    <row r="1988" customHeight="1" spans="1:134">
      <c r="A1988" s="54">
        <v>70</v>
      </c>
      <c r="B1988" s="4" t="s">
        <v>1599</v>
      </c>
      <c r="C1988" s="5" t="s">
        <v>874</v>
      </c>
      <c r="D1988" s="4" t="s">
        <v>300</v>
      </c>
      <c r="E1988" s="4" t="s">
        <v>1603</v>
      </c>
      <c r="N1988" s="4" t="s">
        <v>14</v>
      </c>
      <c r="O1988" s="4" t="s">
        <v>343</v>
      </c>
      <c r="P1988" s="4">
        <v>2</v>
      </c>
      <c r="Q1988" s="4" t="s">
        <v>539</v>
      </c>
      <c r="T1988" s="4">
        <v>2.73</v>
      </c>
      <c r="U1988" s="4">
        <v>0.008</v>
      </c>
      <c r="V1988" s="4">
        <v>272.73</v>
      </c>
      <c r="AG1988" s="4" t="s">
        <v>316</v>
      </c>
      <c r="AH1988" s="4" t="s">
        <v>1601</v>
      </c>
      <c r="AI1988" s="4" t="s">
        <v>1605</v>
      </c>
      <c r="AL1988" s="4" t="s">
        <v>1556</v>
      </c>
      <c r="AM1988" s="4">
        <v>7.73</v>
      </c>
      <c r="AN1988" s="4">
        <v>4.28</v>
      </c>
      <c r="AO1988" s="4">
        <v>207.91</v>
      </c>
      <c r="AQ1988" s="4" t="s">
        <v>7</v>
      </c>
      <c r="AR1988" s="4">
        <v>1.12</v>
      </c>
      <c r="AS1988" s="4" t="s">
        <v>13</v>
      </c>
      <c r="AT1988" s="4">
        <v>52.39</v>
      </c>
      <c r="AU1988" s="4" t="s">
        <v>15</v>
      </c>
      <c r="AV1988" s="4">
        <v>96</v>
      </c>
      <c r="AW1988" s="4" t="s">
        <v>12</v>
      </c>
      <c r="AX1988" s="4">
        <v>3.45</v>
      </c>
      <c r="AY1988" s="4" t="s">
        <v>14</v>
      </c>
      <c r="AZ1988" s="4">
        <v>4.95</v>
      </c>
      <c r="BI1988" s="4" t="s">
        <v>321</v>
      </c>
      <c r="BP1988" s="4">
        <v>0.1</v>
      </c>
      <c r="BV1988" s="4" t="s">
        <v>488</v>
      </c>
      <c r="BW1988" s="4">
        <v>25</v>
      </c>
      <c r="BX1988" s="4">
        <v>75</v>
      </c>
      <c r="DO1988" s="57"/>
      <c r="DQ1988" s="60">
        <v>1.24329896907216</v>
      </c>
      <c r="DR1988" s="55"/>
      <c r="DS1988" s="58">
        <v>1.16891191709844</v>
      </c>
      <c r="DT1988" s="55"/>
      <c r="DY1988" s="1">
        <v>0</v>
      </c>
      <c r="DZ1988" s="1">
        <v>0</v>
      </c>
      <c r="EA1988" s="52">
        <v>5.98303817699079</v>
      </c>
      <c r="ED1988" s="52">
        <v>5.98303817699079</v>
      </c>
    </row>
    <row r="1989" customHeight="1" spans="1:134">
      <c r="A1989" s="54">
        <v>70</v>
      </c>
      <c r="B1989" s="4" t="s">
        <v>1599</v>
      </c>
      <c r="C1989" s="5" t="s">
        <v>874</v>
      </c>
      <c r="D1989" s="4" t="s">
        <v>300</v>
      </c>
      <c r="E1989" s="4" t="s">
        <v>1603</v>
      </c>
      <c r="N1989" s="4" t="s">
        <v>14</v>
      </c>
      <c r="O1989" s="4" t="s">
        <v>343</v>
      </c>
      <c r="P1989" s="4">
        <v>2</v>
      </c>
      <c r="Q1989" s="4" t="s">
        <v>539</v>
      </c>
      <c r="T1989" s="4">
        <v>2.73</v>
      </c>
      <c r="U1989" s="4">
        <v>0.008</v>
      </c>
      <c r="V1989" s="4">
        <v>272.73</v>
      </c>
      <c r="AG1989" s="4" t="s">
        <v>316</v>
      </c>
      <c r="AH1989" s="4" t="s">
        <v>1608</v>
      </c>
      <c r="AI1989" s="4" t="s">
        <v>1609</v>
      </c>
      <c r="AL1989" s="4" t="s">
        <v>1556</v>
      </c>
      <c r="AM1989" s="4">
        <v>6.56</v>
      </c>
      <c r="AN1989" s="4">
        <v>8.1</v>
      </c>
      <c r="AO1989" s="4">
        <v>168.17</v>
      </c>
      <c r="AQ1989" s="4" t="s">
        <v>7</v>
      </c>
      <c r="AR1989" s="4">
        <v>0.42</v>
      </c>
      <c r="AS1989" s="4" t="s">
        <v>13</v>
      </c>
      <c r="AT1989" s="4">
        <v>253.22</v>
      </c>
      <c r="AU1989" s="4" t="s">
        <v>15</v>
      </c>
      <c r="AV1989" s="4">
        <v>23.62</v>
      </c>
      <c r="AW1989" s="4" t="s">
        <v>12</v>
      </c>
      <c r="AX1989" s="4">
        <v>3.35</v>
      </c>
      <c r="AY1989" s="4" t="s">
        <v>14</v>
      </c>
      <c r="AZ1989" s="4">
        <v>9.55</v>
      </c>
      <c r="BI1989" s="4" t="s">
        <v>321</v>
      </c>
      <c r="BP1989" s="4">
        <v>0.025</v>
      </c>
      <c r="BV1989" s="4" t="s">
        <v>1606</v>
      </c>
      <c r="BW1989" s="4">
        <v>25</v>
      </c>
      <c r="BX1989" s="4">
        <v>75</v>
      </c>
      <c r="DO1989" s="57"/>
      <c r="DQ1989" s="58">
        <v>0.303910614525139</v>
      </c>
      <c r="DR1989" s="55"/>
      <c r="DS1989" s="58">
        <v>0.366480446927374</v>
      </c>
      <c r="DT1989" s="55"/>
      <c r="DY1989" s="1">
        <v>0</v>
      </c>
      <c r="DZ1989" s="1">
        <v>0</v>
      </c>
      <c r="EA1989" s="52">
        <v>-20.5882352941178</v>
      </c>
      <c r="ED1989" s="52">
        <v>-20.5882352941178</v>
      </c>
    </row>
    <row r="1990" customHeight="1" spans="1:134">
      <c r="A1990" s="54">
        <v>70</v>
      </c>
      <c r="B1990" s="4" t="s">
        <v>1599</v>
      </c>
      <c r="C1990" s="5" t="s">
        <v>874</v>
      </c>
      <c r="D1990" s="4" t="s">
        <v>300</v>
      </c>
      <c r="E1990" s="4" t="s">
        <v>1603</v>
      </c>
      <c r="N1990" s="4" t="s">
        <v>14</v>
      </c>
      <c r="O1990" s="4" t="s">
        <v>343</v>
      </c>
      <c r="P1990" s="4">
        <v>2</v>
      </c>
      <c r="Q1990" s="4" t="s">
        <v>539</v>
      </c>
      <c r="T1990" s="4">
        <v>2.73</v>
      </c>
      <c r="U1990" s="4">
        <v>0.008</v>
      </c>
      <c r="V1990" s="4">
        <v>272.73</v>
      </c>
      <c r="AG1990" s="4" t="s">
        <v>316</v>
      </c>
      <c r="AH1990" s="4" t="s">
        <v>1608</v>
      </c>
      <c r="AI1990" s="4" t="s">
        <v>1609</v>
      </c>
      <c r="AL1990" s="4" t="s">
        <v>1556</v>
      </c>
      <c r="AM1990" s="4">
        <v>6.56</v>
      </c>
      <c r="AN1990" s="4">
        <v>8.1</v>
      </c>
      <c r="AO1990" s="4">
        <v>168.17</v>
      </c>
      <c r="AQ1990" s="4" t="s">
        <v>7</v>
      </c>
      <c r="AR1990" s="4">
        <v>0.42</v>
      </c>
      <c r="AS1990" s="4" t="s">
        <v>13</v>
      </c>
      <c r="AT1990" s="4">
        <v>253.22</v>
      </c>
      <c r="AU1990" s="4" t="s">
        <v>15</v>
      </c>
      <c r="AV1990" s="4">
        <v>23.62</v>
      </c>
      <c r="AW1990" s="4" t="s">
        <v>12</v>
      </c>
      <c r="AX1990" s="4">
        <v>3.35</v>
      </c>
      <c r="AY1990" s="4" t="s">
        <v>14</v>
      </c>
      <c r="AZ1990" s="4">
        <v>9.55</v>
      </c>
      <c r="BI1990" s="4" t="s">
        <v>321</v>
      </c>
      <c r="BP1990" s="4">
        <v>0.025</v>
      </c>
      <c r="BV1990" s="4" t="s">
        <v>1607</v>
      </c>
      <c r="BW1990" s="4">
        <v>25</v>
      </c>
      <c r="BX1990" s="4">
        <v>75</v>
      </c>
      <c r="DO1990" s="57"/>
      <c r="DQ1990" s="58">
        <v>0.40558659217877</v>
      </c>
      <c r="DR1990" s="55"/>
      <c r="DS1990" s="58">
        <v>0.391061452513966</v>
      </c>
      <c r="DT1990" s="55"/>
      <c r="DY1990" s="1">
        <v>0</v>
      </c>
      <c r="DZ1990" s="1">
        <v>0</v>
      </c>
      <c r="EA1990" s="52">
        <v>3.58126721763075</v>
      </c>
      <c r="ED1990" s="52">
        <v>3.58126721763075</v>
      </c>
    </row>
    <row r="1991" customHeight="1" spans="1:134">
      <c r="A1991" s="54">
        <v>70</v>
      </c>
      <c r="B1991" s="4" t="s">
        <v>1599</v>
      </c>
      <c r="C1991" s="5" t="s">
        <v>874</v>
      </c>
      <c r="D1991" s="4" t="s">
        <v>300</v>
      </c>
      <c r="E1991" s="4" t="s">
        <v>1603</v>
      </c>
      <c r="N1991" s="4" t="s">
        <v>14</v>
      </c>
      <c r="O1991" s="4" t="s">
        <v>343</v>
      </c>
      <c r="P1991" s="4">
        <v>2</v>
      </c>
      <c r="Q1991" s="4" t="s">
        <v>539</v>
      </c>
      <c r="T1991" s="4">
        <v>2.73</v>
      </c>
      <c r="U1991" s="4">
        <v>0.008</v>
      </c>
      <c r="V1991" s="4">
        <v>272.73</v>
      </c>
      <c r="AG1991" s="4" t="s">
        <v>316</v>
      </c>
      <c r="AH1991" s="4" t="s">
        <v>1608</v>
      </c>
      <c r="AI1991" s="4" t="s">
        <v>1609</v>
      </c>
      <c r="AL1991" s="4" t="s">
        <v>1556</v>
      </c>
      <c r="AM1991" s="4">
        <v>6.56</v>
      </c>
      <c r="AN1991" s="4">
        <v>8.1</v>
      </c>
      <c r="AO1991" s="4">
        <v>168.17</v>
      </c>
      <c r="AQ1991" s="4" t="s">
        <v>7</v>
      </c>
      <c r="AR1991" s="4">
        <v>0.42</v>
      </c>
      <c r="AS1991" s="4" t="s">
        <v>13</v>
      </c>
      <c r="AT1991" s="4">
        <v>253.22</v>
      </c>
      <c r="AU1991" s="4" t="s">
        <v>15</v>
      </c>
      <c r="AV1991" s="4">
        <v>23.62</v>
      </c>
      <c r="AW1991" s="4" t="s">
        <v>12</v>
      </c>
      <c r="AX1991" s="4">
        <v>3.35</v>
      </c>
      <c r="AY1991" s="4" t="s">
        <v>14</v>
      </c>
      <c r="AZ1991" s="4">
        <v>9.55</v>
      </c>
      <c r="BI1991" s="4" t="s">
        <v>321</v>
      </c>
      <c r="BP1991" s="4">
        <v>0.025</v>
      </c>
      <c r="BV1991" s="4" t="s">
        <v>1552</v>
      </c>
      <c r="BW1991" s="4">
        <v>25</v>
      </c>
      <c r="BX1991" s="4">
        <v>75</v>
      </c>
      <c r="DO1991" s="57"/>
      <c r="DQ1991" s="58">
        <v>0.353072625698323</v>
      </c>
      <c r="DR1991" s="55"/>
      <c r="DS1991" s="58">
        <v>0.305027932960893</v>
      </c>
      <c r="DT1991" s="55"/>
      <c r="DY1991" s="1">
        <v>0</v>
      </c>
      <c r="DZ1991" s="1">
        <v>0</v>
      </c>
      <c r="EA1991" s="52">
        <v>13.6075949367089</v>
      </c>
      <c r="ED1991" s="52">
        <v>13.6075949367089</v>
      </c>
    </row>
    <row r="1992" customHeight="1" spans="1:134">
      <c r="A1992" s="54">
        <v>70</v>
      </c>
      <c r="B1992" s="4" t="s">
        <v>1599</v>
      </c>
      <c r="C1992" s="5" t="s">
        <v>874</v>
      </c>
      <c r="D1992" s="4" t="s">
        <v>300</v>
      </c>
      <c r="E1992" s="4" t="s">
        <v>1603</v>
      </c>
      <c r="N1992" s="4" t="s">
        <v>14</v>
      </c>
      <c r="O1992" s="4" t="s">
        <v>343</v>
      </c>
      <c r="P1992" s="4">
        <v>2</v>
      </c>
      <c r="Q1992" s="4" t="s">
        <v>539</v>
      </c>
      <c r="T1992" s="4">
        <v>2.73</v>
      </c>
      <c r="U1992" s="4">
        <v>0.008</v>
      </c>
      <c r="V1992" s="4">
        <v>272.73</v>
      </c>
      <c r="AG1992" s="4" t="s">
        <v>316</v>
      </c>
      <c r="AH1992" s="4" t="s">
        <v>1608</v>
      </c>
      <c r="AI1992" s="4" t="s">
        <v>1609</v>
      </c>
      <c r="AL1992" s="4" t="s">
        <v>1556</v>
      </c>
      <c r="AM1992" s="4">
        <v>6.56</v>
      </c>
      <c r="AN1992" s="4">
        <v>8.1</v>
      </c>
      <c r="AO1992" s="4">
        <v>168.17</v>
      </c>
      <c r="AQ1992" s="4" t="s">
        <v>7</v>
      </c>
      <c r="AR1992" s="4">
        <v>0.42</v>
      </c>
      <c r="AS1992" s="4" t="s">
        <v>13</v>
      </c>
      <c r="AT1992" s="4">
        <v>253.22</v>
      </c>
      <c r="AU1992" s="4" t="s">
        <v>15</v>
      </c>
      <c r="AV1992" s="4">
        <v>23.62</v>
      </c>
      <c r="AW1992" s="4" t="s">
        <v>12</v>
      </c>
      <c r="AX1992" s="4">
        <v>3.35</v>
      </c>
      <c r="AY1992" s="4" t="s">
        <v>14</v>
      </c>
      <c r="AZ1992" s="4">
        <v>9.55</v>
      </c>
      <c r="BI1992" s="4" t="s">
        <v>321</v>
      </c>
      <c r="BP1992" s="4">
        <v>0.025</v>
      </c>
      <c r="BV1992" s="4" t="s">
        <v>488</v>
      </c>
      <c r="BW1992" s="4">
        <v>25</v>
      </c>
      <c r="BX1992" s="4">
        <v>75</v>
      </c>
      <c r="DO1992" s="57"/>
      <c r="DQ1992" s="58">
        <v>0.4</v>
      </c>
      <c r="DR1992" s="55"/>
      <c r="DS1992" s="58">
        <v>0.4268156424581</v>
      </c>
      <c r="DT1992" s="55"/>
      <c r="DY1992" s="1">
        <v>0</v>
      </c>
      <c r="DZ1992" s="1">
        <v>0</v>
      </c>
      <c r="EA1992" s="52">
        <v>-6.70391061452499</v>
      </c>
      <c r="ED1992" s="52">
        <v>-6.70391061452499</v>
      </c>
    </row>
    <row r="1993" customHeight="1" spans="1:134">
      <c r="A1993" s="54">
        <v>70</v>
      </c>
      <c r="B1993" s="4" t="s">
        <v>1599</v>
      </c>
      <c r="C1993" s="5" t="s">
        <v>874</v>
      </c>
      <c r="D1993" s="4" t="s">
        <v>300</v>
      </c>
      <c r="E1993" s="4" t="s">
        <v>1603</v>
      </c>
      <c r="N1993" s="4" t="s">
        <v>14</v>
      </c>
      <c r="O1993" s="4" t="s">
        <v>343</v>
      </c>
      <c r="P1993" s="4">
        <v>2</v>
      </c>
      <c r="Q1993" s="4" t="s">
        <v>539</v>
      </c>
      <c r="T1993" s="4">
        <v>2.73</v>
      </c>
      <c r="U1993" s="4">
        <v>0.008</v>
      </c>
      <c r="V1993" s="4">
        <v>272.73</v>
      </c>
      <c r="AG1993" s="4" t="s">
        <v>316</v>
      </c>
      <c r="AH1993" s="4" t="s">
        <v>1608</v>
      </c>
      <c r="AI1993" s="4" t="s">
        <v>1609</v>
      </c>
      <c r="AL1993" s="4" t="s">
        <v>1556</v>
      </c>
      <c r="AM1993" s="4">
        <v>6.56</v>
      </c>
      <c r="AN1993" s="4">
        <v>8.1</v>
      </c>
      <c r="AO1993" s="4">
        <v>168.17</v>
      </c>
      <c r="AQ1993" s="4" t="s">
        <v>7</v>
      </c>
      <c r="AR1993" s="4">
        <v>0.42</v>
      </c>
      <c r="AS1993" s="4" t="s">
        <v>13</v>
      </c>
      <c r="AT1993" s="4">
        <v>253.22</v>
      </c>
      <c r="AU1993" s="4" t="s">
        <v>15</v>
      </c>
      <c r="AV1993" s="4">
        <v>23.62</v>
      </c>
      <c r="AW1993" s="4" t="s">
        <v>12</v>
      </c>
      <c r="AX1993" s="4">
        <v>3.35</v>
      </c>
      <c r="AY1993" s="4" t="s">
        <v>14</v>
      </c>
      <c r="AZ1993" s="4">
        <v>9.55</v>
      </c>
      <c r="BI1993" s="4" t="s">
        <v>321</v>
      </c>
      <c r="BP1993" s="4">
        <v>0.05</v>
      </c>
      <c r="BV1993" s="4" t="s">
        <v>1606</v>
      </c>
      <c r="BW1993" s="4">
        <v>25</v>
      </c>
      <c r="BX1993" s="4">
        <v>75</v>
      </c>
      <c r="DO1993" s="57"/>
      <c r="DQ1993" s="58">
        <v>0.303910614525139</v>
      </c>
      <c r="DR1993" s="55"/>
      <c r="DS1993" s="58">
        <v>0.322905027932961</v>
      </c>
      <c r="DT1993" s="55"/>
      <c r="DY1993" s="1">
        <v>0</v>
      </c>
      <c r="DZ1993" s="1">
        <v>0</v>
      </c>
      <c r="EA1993" s="52">
        <v>-6.25000000000026</v>
      </c>
      <c r="ED1993" s="52">
        <v>-6.25000000000026</v>
      </c>
    </row>
    <row r="1994" customHeight="1" spans="1:134">
      <c r="A1994" s="54">
        <v>70</v>
      </c>
      <c r="B1994" s="4" t="s">
        <v>1599</v>
      </c>
      <c r="C1994" s="5" t="s">
        <v>874</v>
      </c>
      <c r="D1994" s="4" t="s">
        <v>300</v>
      </c>
      <c r="E1994" s="4" t="s">
        <v>1603</v>
      </c>
      <c r="N1994" s="4" t="s">
        <v>14</v>
      </c>
      <c r="O1994" s="4" t="s">
        <v>343</v>
      </c>
      <c r="P1994" s="4">
        <v>2</v>
      </c>
      <c r="Q1994" s="4" t="s">
        <v>539</v>
      </c>
      <c r="T1994" s="4">
        <v>2.73</v>
      </c>
      <c r="U1994" s="4">
        <v>0.008</v>
      </c>
      <c r="V1994" s="4">
        <v>272.73</v>
      </c>
      <c r="AG1994" s="4" t="s">
        <v>316</v>
      </c>
      <c r="AH1994" s="4" t="s">
        <v>1608</v>
      </c>
      <c r="AI1994" s="4" t="s">
        <v>1609</v>
      </c>
      <c r="AL1994" s="4" t="s">
        <v>1556</v>
      </c>
      <c r="AM1994" s="4">
        <v>6.56</v>
      </c>
      <c r="AN1994" s="4">
        <v>8.1</v>
      </c>
      <c r="AO1994" s="4">
        <v>168.17</v>
      </c>
      <c r="AQ1994" s="4" t="s">
        <v>7</v>
      </c>
      <c r="AR1994" s="4">
        <v>0.42</v>
      </c>
      <c r="AS1994" s="4" t="s">
        <v>13</v>
      </c>
      <c r="AT1994" s="4">
        <v>253.22</v>
      </c>
      <c r="AU1994" s="4" t="s">
        <v>15</v>
      </c>
      <c r="AV1994" s="4">
        <v>23.62</v>
      </c>
      <c r="AW1994" s="4" t="s">
        <v>12</v>
      </c>
      <c r="AX1994" s="4">
        <v>3.35</v>
      </c>
      <c r="AY1994" s="4" t="s">
        <v>14</v>
      </c>
      <c r="AZ1994" s="4">
        <v>9.55</v>
      </c>
      <c r="BI1994" s="4" t="s">
        <v>321</v>
      </c>
      <c r="BP1994" s="4">
        <v>0.05</v>
      </c>
      <c r="BV1994" s="4" t="s">
        <v>1607</v>
      </c>
      <c r="BW1994" s="4">
        <v>25</v>
      </c>
      <c r="BX1994" s="4">
        <v>75</v>
      </c>
      <c r="DO1994" s="57"/>
      <c r="DQ1994" s="58">
        <v>0.40558659217877</v>
      </c>
      <c r="DR1994" s="55"/>
      <c r="DS1994" s="58">
        <v>0.370949720670391</v>
      </c>
      <c r="DT1994" s="55"/>
      <c r="DY1994" s="1">
        <v>0</v>
      </c>
      <c r="DZ1994" s="1">
        <v>0</v>
      </c>
      <c r="EA1994" s="52">
        <v>8.53994490358107</v>
      </c>
      <c r="ED1994" s="52">
        <v>8.53994490358107</v>
      </c>
    </row>
    <row r="1995" customHeight="1" spans="1:134">
      <c r="A1995" s="54">
        <v>70</v>
      </c>
      <c r="B1995" s="4" t="s">
        <v>1599</v>
      </c>
      <c r="C1995" s="5" t="s">
        <v>874</v>
      </c>
      <c r="D1995" s="4" t="s">
        <v>300</v>
      </c>
      <c r="E1995" s="4" t="s">
        <v>1603</v>
      </c>
      <c r="N1995" s="4" t="s">
        <v>14</v>
      </c>
      <c r="O1995" s="4" t="s">
        <v>343</v>
      </c>
      <c r="P1995" s="4">
        <v>2</v>
      </c>
      <c r="Q1995" s="4" t="s">
        <v>539</v>
      </c>
      <c r="T1995" s="4">
        <v>2.73</v>
      </c>
      <c r="U1995" s="4">
        <v>0.008</v>
      </c>
      <c r="V1995" s="4">
        <v>272.73</v>
      </c>
      <c r="AG1995" s="4" t="s">
        <v>316</v>
      </c>
      <c r="AH1995" s="4" t="s">
        <v>1608</v>
      </c>
      <c r="AI1995" s="4" t="s">
        <v>1609</v>
      </c>
      <c r="AL1995" s="4" t="s">
        <v>1556</v>
      </c>
      <c r="AM1995" s="4">
        <v>6.56</v>
      </c>
      <c r="AN1995" s="4">
        <v>8.1</v>
      </c>
      <c r="AO1995" s="4">
        <v>168.17</v>
      </c>
      <c r="AQ1995" s="4" t="s">
        <v>7</v>
      </c>
      <c r="AR1995" s="4">
        <v>0.42</v>
      </c>
      <c r="AS1995" s="4" t="s">
        <v>13</v>
      </c>
      <c r="AT1995" s="4">
        <v>253.22</v>
      </c>
      <c r="AU1995" s="4" t="s">
        <v>15</v>
      </c>
      <c r="AV1995" s="4">
        <v>23.62</v>
      </c>
      <c r="AW1995" s="4" t="s">
        <v>12</v>
      </c>
      <c r="AX1995" s="4">
        <v>3.35</v>
      </c>
      <c r="AY1995" s="4" t="s">
        <v>14</v>
      </c>
      <c r="AZ1995" s="4">
        <v>9.55</v>
      </c>
      <c r="BI1995" s="4" t="s">
        <v>321</v>
      </c>
      <c r="BP1995" s="4">
        <v>0.05</v>
      </c>
      <c r="BV1995" s="4" t="s">
        <v>1552</v>
      </c>
      <c r="BW1995" s="4">
        <v>25</v>
      </c>
      <c r="BX1995" s="4">
        <v>75</v>
      </c>
      <c r="DO1995" s="57"/>
      <c r="DQ1995" s="58">
        <v>0.353072625698323</v>
      </c>
      <c r="DR1995" s="55"/>
      <c r="DS1995" s="58">
        <v>0.312849162011173</v>
      </c>
      <c r="DT1995" s="55"/>
      <c r="DY1995" s="1">
        <v>0</v>
      </c>
      <c r="DZ1995" s="1">
        <v>0</v>
      </c>
      <c r="EA1995" s="52">
        <v>11.3924050632909</v>
      </c>
      <c r="ED1995" s="52">
        <v>11.3924050632909</v>
      </c>
    </row>
    <row r="1996" customHeight="1" spans="1:134">
      <c r="A1996" s="54">
        <v>70</v>
      </c>
      <c r="B1996" s="4" t="s">
        <v>1599</v>
      </c>
      <c r="C1996" s="5" t="s">
        <v>874</v>
      </c>
      <c r="D1996" s="4" t="s">
        <v>300</v>
      </c>
      <c r="E1996" s="4" t="s">
        <v>1603</v>
      </c>
      <c r="N1996" s="4" t="s">
        <v>14</v>
      </c>
      <c r="O1996" s="4" t="s">
        <v>343</v>
      </c>
      <c r="P1996" s="4">
        <v>2</v>
      </c>
      <c r="Q1996" s="4" t="s">
        <v>539</v>
      </c>
      <c r="T1996" s="4">
        <v>2.73</v>
      </c>
      <c r="U1996" s="4">
        <v>0.008</v>
      </c>
      <c r="V1996" s="4">
        <v>272.73</v>
      </c>
      <c r="AG1996" s="4" t="s">
        <v>316</v>
      </c>
      <c r="AH1996" s="4" t="s">
        <v>1608</v>
      </c>
      <c r="AI1996" s="4" t="s">
        <v>1609</v>
      </c>
      <c r="AL1996" s="4" t="s">
        <v>1556</v>
      </c>
      <c r="AM1996" s="4">
        <v>6.56</v>
      </c>
      <c r="AN1996" s="4">
        <v>8.1</v>
      </c>
      <c r="AO1996" s="4">
        <v>168.17</v>
      </c>
      <c r="AQ1996" s="4" t="s">
        <v>7</v>
      </c>
      <c r="AR1996" s="4">
        <v>0.42</v>
      </c>
      <c r="AS1996" s="4" t="s">
        <v>13</v>
      </c>
      <c r="AT1996" s="4">
        <v>253.22</v>
      </c>
      <c r="AU1996" s="4" t="s">
        <v>15</v>
      </c>
      <c r="AV1996" s="4">
        <v>23.62</v>
      </c>
      <c r="AW1996" s="4" t="s">
        <v>12</v>
      </c>
      <c r="AX1996" s="4">
        <v>3.35</v>
      </c>
      <c r="AY1996" s="4" t="s">
        <v>14</v>
      </c>
      <c r="AZ1996" s="4">
        <v>9.55</v>
      </c>
      <c r="BI1996" s="4" t="s">
        <v>321</v>
      </c>
      <c r="BP1996" s="4">
        <v>0.05</v>
      </c>
      <c r="BV1996" s="4" t="s">
        <v>488</v>
      </c>
      <c r="BW1996" s="4">
        <v>25</v>
      </c>
      <c r="BX1996" s="4">
        <v>75</v>
      </c>
      <c r="DO1996" s="57"/>
      <c r="DQ1996" s="58">
        <v>0.4</v>
      </c>
      <c r="DR1996" s="55"/>
      <c r="DS1996" s="58">
        <v>0.408938547486033</v>
      </c>
      <c r="DT1996" s="55"/>
      <c r="DY1996" s="1">
        <v>0</v>
      </c>
      <c r="DZ1996" s="1">
        <v>0</v>
      </c>
      <c r="EA1996" s="52">
        <v>-2.23463687150824</v>
      </c>
      <c r="ED1996" s="52">
        <v>-2.23463687150824</v>
      </c>
    </row>
    <row r="1997" customHeight="1" spans="1:134">
      <c r="A1997" s="54">
        <v>70</v>
      </c>
      <c r="B1997" s="4" t="s">
        <v>1599</v>
      </c>
      <c r="C1997" s="5" t="s">
        <v>874</v>
      </c>
      <c r="D1997" s="4" t="s">
        <v>300</v>
      </c>
      <c r="E1997" s="4" t="s">
        <v>1603</v>
      </c>
      <c r="N1997" s="4" t="s">
        <v>14</v>
      </c>
      <c r="O1997" s="4" t="s">
        <v>343</v>
      </c>
      <c r="P1997" s="4">
        <v>2</v>
      </c>
      <c r="Q1997" s="4" t="s">
        <v>539</v>
      </c>
      <c r="T1997" s="4">
        <v>2.73</v>
      </c>
      <c r="U1997" s="4">
        <v>0.008</v>
      </c>
      <c r="V1997" s="4">
        <v>272.73</v>
      </c>
      <c r="AG1997" s="4" t="s">
        <v>316</v>
      </c>
      <c r="AH1997" s="4" t="s">
        <v>1608</v>
      </c>
      <c r="AI1997" s="4" t="s">
        <v>1609</v>
      </c>
      <c r="AL1997" s="4" t="s">
        <v>1556</v>
      </c>
      <c r="AM1997" s="4">
        <v>6.56</v>
      </c>
      <c r="AN1997" s="4">
        <v>8.1</v>
      </c>
      <c r="AO1997" s="4">
        <v>168.17</v>
      </c>
      <c r="AQ1997" s="4" t="s">
        <v>7</v>
      </c>
      <c r="AR1997" s="4">
        <v>0.42</v>
      </c>
      <c r="AS1997" s="4" t="s">
        <v>13</v>
      </c>
      <c r="AT1997" s="4">
        <v>253.22</v>
      </c>
      <c r="AU1997" s="4" t="s">
        <v>15</v>
      </c>
      <c r="AV1997" s="4">
        <v>23.62</v>
      </c>
      <c r="AW1997" s="4" t="s">
        <v>12</v>
      </c>
      <c r="AX1997" s="4">
        <v>3.35</v>
      </c>
      <c r="AY1997" s="4" t="s">
        <v>14</v>
      </c>
      <c r="AZ1997" s="4">
        <v>9.55</v>
      </c>
      <c r="BI1997" s="4" t="s">
        <v>321</v>
      </c>
      <c r="BP1997" s="4">
        <v>0.1</v>
      </c>
      <c r="BV1997" s="4" t="s">
        <v>1606</v>
      </c>
      <c r="BW1997" s="4">
        <v>25</v>
      </c>
      <c r="BX1997" s="4">
        <v>75</v>
      </c>
      <c r="DO1997" s="57"/>
      <c r="DQ1997" s="58">
        <v>0.303910614525139</v>
      </c>
      <c r="DR1997" s="55"/>
      <c r="DS1997" s="58">
        <v>0.259217877094972</v>
      </c>
      <c r="DT1997" s="55"/>
      <c r="DY1997" s="1">
        <v>0</v>
      </c>
      <c r="DZ1997" s="1">
        <v>0</v>
      </c>
      <c r="EA1997" s="52">
        <v>14.705882352941</v>
      </c>
      <c r="ED1997" s="52">
        <v>14.705882352941</v>
      </c>
    </row>
    <row r="1998" customHeight="1" spans="1:134">
      <c r="A1998" s="54">
        <v>70</v>
      </c>
      <c r="B1998" s="4" t="s">
        <v>1599</v>
      </c>
      <c r="C1998" s="5" t="s">
        <v>874</v>
      </c>
      <c r="D1998" s="4" t="s">
        <v>300</v>
      </c>
      <c r="E1998" s="4" t="s">
        <v>1603</v>
      </c>
      <c r="N1998" s="4" t="s">
        <v>14</v>
      </c>
      <c r="O1998" s="4" t="s">
        <v>343</v>
      </c>
      <c r="P1998" s="4">
        <v>2</v>
      </c>
      <c r="Q1998" s="4" t="s">
        <v>539</v>
      </c>
      <c r="T1998" s="4">
        <v>2.73</v>
      </c>
      <c r="U1998" s="4">
        <v>0.008</v>
      </c>
      <c r="V1998" s="4">
        <v>272.73</v>
      </c>
      <c r="AG1998" s="4" t="s">
        <v>316</v>
      </c>
      <c r="AH1998" s="4" t="s">
        <v>1608</v>
      </c>
      <c r="AI1998" s="4" t="s">
        <v>1609</v>
      </c>
      <c r="AL1998" s="4" t="s">
        <v>1556</v>
      </c>
      <c r="AM1998" s="4">
        <v>6.56</v>
      </c>
      <c r="AN1998" s="4">
        <v>8.1</v>
      </c>
      <c r="AO1998" s="4">
        <v>168.17</v>
      </c>
      <c r="AQ1998" s="4" t="s">
        <v>7</v>
      </c>
      <c r="AR1998" s="4">
        <v>0.42</v>
      </c>
      <c r="AS1998" s="4" t="s">
        <v>13</v>
      </c>
      <c r="AT1998" s="4">
        <v>253.22</v>
      </c>
      <c r="AU1998" s="4" t="s">
        <v>15</v>
      </c>
      <c r="AV1998" s="4">
        <v>23.62</v>
      </c>
      <c r="AW1998" s="4" t="s">
        <v>12</v>
      </c>
      <c r="AX1998" s="4">
        <v>3.35</v>
      </c>
      <c r="AY1998" s="4" t="s">
        <v>14</v>
      </c>
      <c r="AZ1998" s="4">
        <v>9.55</v>
      </c>
      <c r="BI1998" s="4" t="s">
        <v>321</v>
      </c>
      <c r="BP1998" s="4">
        <v>0.1</v>
      </c>
      <c r="BV1998" s="4" t="s">
        <v>1607</v>
      </c>
      <c r="BW1998" s="4">
        <v>25</v>
      </c>
      <c r="BX1998" s="4">
        <v>75</v>
      </c>
      <c r="DO1998" s="57"/>
      <c r="DQ1998" s="58">
        <v>0.40558659217877</v>
      </c>
      <c r="DR1998" s="55"/>
      <c r="DS1998" s="58">
        <v>0.35195530726257</v>
      </c>
      <c r="DT1998" s="55"/>
      <c r="DY1998" s="1">
        <v>0</v>
      </c>
      <c r="DZ1998" s="1">
        <v>0</v>
      </c>
      <c r="EA1998" s="52">
        <v>13.2231404958675</v>
      </c>
      <c r="ED1998" s="52">
        <v>13.2231404958675</v>
      </c>
    </row>
    <row r="1999" customHeight="1" spans="1:134">
      <c r="A1999" s="54">
        <v>70</v>
      </c>
      <c r="B1999" s="4" t="s">
        <v>1599</v>
      </c>
      <c r="C1999" s="5" t="s">
        <v>874</v>
      </c>
      <c r="D1999" s="4" t="s">
        <v>300</v>
      </c>
      <c r="E1999" s="4" t="s">
        <v>1603</v>
      </c>
      <c r="N1999" s="4" t="s">
        <v>14</v>
      </c>
      <c r="O1999" s="4" t="s">
        <v>343</v>
      </c>
      <c r="P1999" s="4">
        <v>2</v>
      </c>
      <c r="Q1999" s="4" t="s">
        <v>539</v>
      </c>
      <c r="T1999" s="4">
        <v>2.73</v>
      </c>
      <c r="U1999" s="4">
        <v>0.008</v>
      </c>
      <c r="V1999" s="4">
        <v>272.73</v>
      </c>
      <c r="AG1999" s="4" t="s">
        <v>316</v>
      </c>
      <c r="AH1999" s="4" t="s">
        <v>1608</v>
      </c>
      <c r="AI1999" s="4" t="s">
        <v>1609</v>
      </c>
      <c r="AL1999" s="4" t="s">
        <v>1556</v>
      </c>
      <c r="AM1999" s="4">
        <v>6.56</v>
      </c>
      <c r="AN1999" s="4">
        <v>8.1</v>
      </c>
      <c r="AO1999" s="4">
        <v>168.17</v>
      </c>
      <c r="AQ1999" s="4" t="s">
        <v>7</v>
      </c>
      <c r="AR1999" s="4">
        <v>0.42</v>
      </c>
      <c r="AS1999" s="4" t="s">
        <v>13</v>
      </c>
      <c r="AT1999" s="4">
        <v>253.22</v>
      </c>
      <c r="AU1999" s="4" t="s">
        <v>15</v>
      </c>
      <c r="AV1999" s="4">
        <v>23.62</v>
      </c>
      <c r="AW1999" s="4" t="s">
        <v>12</v>
      </c>
      <c r="AX1999" s="4">
        <v>3.35</v>
      </c>
      <c r="AY1999" s="4" t="s">
        <v>14</v>
      </c>
      <c r="AZ1999" s="4">
        <v>9.55</v>
      </c>
      <c r="BI1999" s="4" t="s">
        <v>321</v>
      </c>
      <c r="BP1999" s="4">
        <v>0.1</v>
      </c>
      <c r="BV1999" s="4" t="s">
        <v>1552</v>
      </c>
      <c r="BW1999" s="4">
        <v>25</v>
      </c>
      <c r="BX1999" s="4">
        <v>75</v>
      </c>
      <c r="DO1999" s="57"/>
      <c r="DQ1999" s="58">
        <v>0.353072625698323</v>
      </c>
      <c r="DR1999" s="55"/>
      <c r="DS1999" s="58">
        <v>0.308379888268156</v>
      </c>
      <c r="DT1999" s="55"/>
      <c r="DY1999" s="1">
        <v>0</v>
      </c>
      <c r="DZ1999" s="1">
        <v>0</v>
      </c>
      <c r="EA1999" s="52">
        <v>12.6582278481011</v>
      </c>
      <c r="ED1999" s="52">
        <v>12.6582278481011</v>
      </c>
    </row>
    <row r="2000" customHeight="1" spans="1:134">
      <c r="A2000" s="54">
        <v>70</v>
      </c>
      <c r="B2000" s="4" t="s">
        <v>1599</v>
      </c>
      <c r="C2000" s="5" t="s">
        <v>874</v>
      </c>
      <c r="D2000" s="4" t="s">
        <v>300</v>
      </c>
      <c r="E2000" s="4" t="s">
        <v>1603</v>
      </c>
      <c r="N2000" s="4" t="s">
        <v>14</v>
      </c>
      <c r="O2000" s="4" t="s">
        <v>343</v>
      </c>
      <c r="P2000" s="4">
        <v>2</v>
      </c>
      <c r="Q2000" s="4" t="s">
        <v>539</v>
      </c>
      <c r="T2000" s="4">
        <v>2.73</v>
      </c>
      <c r="U2000" s="4">
        <v>0.008</v>
      </c>
      <c r="V2000" s="4">
        <v>272.73</v>
      </c>
      <c r="AG2000" s="4" t="s">
        <v>316</v>
      </c>
      <c r="AH2000" s="4" t="s">
        <v>1608</v>
      </c>
      <c r="AI2000" s="4" t="s">
        <v>1609</v>
      </c>
      <c r="AL2000" s="4" t="s">
        <v>1556</v>
      </c>
      <c r="AM2000" s="4">
        <v>6.56</v>
      </c>
      <c r="AN2000" s="4">
        <v>8.1</v>
      </c>
      <c r="AO2000" s="4">
        <v>168.17</v>
      </c>
      <c r="AQ2000" s="4" t="s">
        <v>7</v>
      </c>
      <c r="AR2000" s="4">
        <v>0.42</v>
      </c>
      <c r="AS2000" s="4" t="s">
        <v>13</v>
      </c>
      <c r="AT2000" s="4">
        <v>253.22</v>
      </c>
      <c r="AU2000" s="4" t="s">
        <v>15</v>
      </c>
      <c r="AV2000" s="4">
        <v>23.62</v>
      </c>
      <c r="AW2000" s="4" t="s">
        <v>12</v>
      </c>
      <c r="AX2000" s="4">
        <v>3.35</v>
      </c>
      <c r="AY2000" s="4" t="s">
        <v>14</v>
      </c>
      <c r="AZ2000" s="4">
        <v>9.55</v>
      </c>
      <c r="BI2000" s="4" t="s">
        <v>321</v>
      </c>
      <c r="BP2000" s="4">
        <v>0.1</v>
      </c>
      <c r="BV2000" s="4" t="s">
        <v>488</v>
      </c>
      <c r="BW2000" s="4">
        <v>25</v>
      </c>
      <c r="BX2000" s="4">
        <v>75</v>
      </c>
      <c r="DO2000" s="57"/>
      <c r="DQ2000" s="58">
        <v>0.4</v>
      </c>
      <c r="DR2000" s="55"/>
      <c r="DS2000" s="58">
        <v>0.435754189944133</v>
      </c>
      <c r="DT2000" s="55"/>
      <c r="DY2000" s="1">
        <v>0</v>
      </c>
      <c r="DZ2000" s="1">
        <v>0</v>
      </c>
      <c r="EA2000" s="52">
        <v>-8.93854748603325</v>
      </c>
      <c r="ED2000" s="52">
        <v>-8.93854748603325</v>
      </c>
    </row>
    <row r="2001" customHeight="1" spans="1:134">
      <c r="A2001" s="54">
        <v>70</v>
      </c>
      <c r="B2001" s="4" t="s">
        <v>1599</v>
      </c>
      <c r="C2001" s="5" t="s">
        <v>1613</v>
      </c>
      <c r="D2001" s="4" t="s">
        <v>300</v>
      </c>
      <c r="E2001" s="4" t="s">
        <v>1603</v>
      </c>
      <c r="F2001" s="4" t="s">
        <v>328</v>
      </c>
      <c r="G2001" s="4" t="s">
        <v>1611</v>
      </c>
      <c r="N2001" s="4" t="s">
        <v>14</v>
      </c>
      <c r="O2001" s="4" t="s">
        <v>343</v>
      </c>
      <c r="P2001" s="4">
        <v>2</v>
      </c>
      <c r="Q2001" s="4" t="s">
        <v>539</v>
      </c>
      <c r="T2001" s="4">
        <v>50.86</v>
      </c>
      <c r="U2001" s="61">
        <v>0.32</v>
      </c>
      <c r="V2001" s="4">
        <v>33.36</v>
      </c>
      <c r="AG2001" s="4" t="s">
        <v>316</v>
      </c>
      <c r="AH2001" s="4" t="s">
        <v>1601</v>
      </c>
      <c r="AI2001" s="4" t="s">
        <v>1602</v>
      </c>
      <c r="AL2001" s="4" t="s">
        <v>1556</v>
      </c>
      <c r="AM2001" s="4">
        <v>8.78</v>
      </c>
      <c r="AN2001" s="4">
        <v>4.32</v>
      </c>
      <c r="AO2001" s="4">
        <v>180.29</v>
      </c>
      <c r="AQ2001" s="4" t="s">
        <v>7</v>
      </c>
      <c r="AR2001" s="4">
        <v>1.25</v>
      </c>
      <c r="AS2001" s="4" t="s">
        <v>13</v>
      </c>
      <c r="AT2001" s="4">
        <v>138.52</v>
      </c>
      <c r="AU2001" s="4" t="s">
        <v>15</v>
      </c>
      <c r="AV2001" s="4">
        <v>27.65</v>
      </c>
      <c r="AW2001" s="4" t="s">
        <v>12</v>
      </c>
      <c r="AX2001" s="4">
        <v>2.44</v>
      </c>
      <c r="AY2001" s="4" t="s">
        <v>14</v>
      </c>
      <c r="AZ2001" s="4">
        <v>5.56</v>
      </c>
      <c r="BI2001" s="4" t="s">
        <v>321</v>
      </c>
      <c r="BP2001" s="4">
        <v>0.1</v>
      </c>
      <c r="BV2001" s="4" t="s">
        <v>522</v>
      </c>
      <c r="BW2001" s="4">
        <v>25</v>
      </c>
      <c r="BX2001" s="4">
        <v>75</v>
      </c>
      <c r="CX2001" s="4" t="s">
        <v>314</v>
      </c>
      <c r="DD2001" s="4">
        <v>30.44</v>
      </c>
      <c r="DE2001" s="4">
        <v>26.97</v>
      </c>
      <c r="DO2001" s="57"/>
      <c r="DQ2001" s="58">
        <v>1.25270964061608</v>
      </c>
      <c r="DR2001" s="55">
        <v>0.03422703936109</v>
      </c>
      <c r="DS2001" s="58">
        <v>0.332857957786651</v>
      </c>
      <c r="DT2001" s="55">
        <v>0.024814603536794</v>
      </c>
      <c r="DY2001" s="1">
        <v>0</v>
      </c>
      <c r="DZ2001" s="1">
        <v>0</v>
      </c>
      <c r="EA2001" s="52">
        <v>73.4289617486338</v>
      </c>
      <c r="ED2001" s="52">
        <v>73.4289617486338</v>
      </c>
    </row>
    <row r="2002" customHeight="1" spans="1:134">
      <c r="A2002" s="54">
        <v>70</v>
      </c>
      <c r="B2002" s="4" t="s">
        <v>1599</v>
      </c>
      <c r="C2002" s="5" t="s">
        <v>1613</v>
      </c>
      <c r="D2002" s="4" t="s">
        <v>300</v>
      </c>
      <c r="E2002" s="4" t="s">
        <v>1603</v>
      </c>
      <c r="F2002" s="4" t="s">
        <v>328</v>
      </c>
      <c r="G2002" s="4" t="s">
        <v>1611</v>
      </c>
      <c r="N2002" s="4" t="s">
        <v>14</v>
      </c>
      <c r="O2002" s="4" t="s">
        <v>343</v>
      </c>
      <c r="P2002" s="4">
        <v>2</v>
      </c>
      <c r="Q2002" s="4" t="s">
        <v>539</v>
      </c>
      <c r="T2002" s="4">
        <v>50.86</v>
      </c>
      <c r="U2002" s="61">
        <v>0.32</v>
      </c>
      <c r="V2002" s="4">
        <v>33.36</v>
      </c>
      <c r="AG2002" s="4" t="s">
        <v>316</v>
      </c>
      <c r="AH2002" s="4" t="s">
        <v>346</v>
      </c>
      <c r="AI2002" s="4" t="s">
        <v>1604</v>
      </c>
      <c r="AL2002" s="4" t="s">
        <v>1556</v>
      </c>
      <c r="AM2002" s="4">
        <v>5.65</v>
      </c>
      <c r="AN2002" s="4">
        <v>7.53</v>
      </c>
      <c r="AO2002" s="4">
        <v>168.17</v>
      </c>
      <c r="AQ2002" s="4" t="s">
        <v>7</v>
      </c>
      <c r="AR2002" s="4">
        <v>0.89</v>
      </c>
      <c r="AS2002" s="4" t="s">
        <v>13</v>
      </c>
      <c r="AT2002" s="4">
        <v>380.94</v>
      </c>
      <c r="AU2002" s="4" t="s">
        <v>15</v>
      </c>
      <c r="AV2002" s="4">
        <v>58.78</v>
      </c>
      <c r="AW2002" s="4" t="s">
        <v>12</v>
      </c>
      <c r="AX2002" s="4">
        <v>5.9</v>
      </c>
      <c r="AY2002" s="4" t="s">
        <v>14</v>
      </c>
      <c r="AZ2002" s="4">
        <v>13.24</v>
      </c>
      <c r="BI2002" s="4" t="s">
        <v>321</v>
      </c>
      <c r="BP2002" s="4">
        <v>0.1</v>
      </c>
      <c r="BV2002" s="4" t="s">
        <v>522</v>
      </c>
      <c r="BW2002" s="4">
        <v>25</v>
      </c>
      <c r="BX2002" s="4">
        <v>75</v>
      </c>
      <c r="CX2002" s="4" t="s">
        <v>314</v>
      </c>
      <c r="DD2002" s="4">
        <v>30.44</v>
      </c>
      <c r="DE2002" s="4">
        <v>26.97</v>
      </c>
      <c r="DO2002" s="57"/>
      <c r="DQ2002" s="58">
        <v>0.899449035812672</v>
      </c>
      <c r="DR2002" s="55">
        <v>0.010330578512397</v>
      </c>
      <c r="DS2002" s="58">
        <v>0.203856749311294</v>
      </c>
      <c r="DT2002" s="50">
        <v>0.015151515151515</v>
      </c>
      <c r="DY2002" s="1">
        <v>0</v>
      </c>
      <c r="DZ2002" s="1">
        <v>0</v>
      </c>
      <c r="EA2002" s="52">
        <v>77.3353751914243</v>
      </c>
      <c r="ED2002" s="52">
        <v>77.3353751914243</v>
      </c>
    </row>
    <row r="2003" customHeight="1" spans="1:134">
      <c r="A2003" s="54">
        <v>70</v>
      </c>
      <c r="B2003" s="4" t="s">
        <v>1599</v>
      </c>
      <c r="C2003" s="5" t="s">
        <v>1613</v>
      </c>
      <c r="D2003" s="4" t="s">
        <v>300</v>
      </c>
      <c r="E2003" s="4" t="s">
        <v>1603</v>
      </c>
      <c r="F2003" s="4" t="s">
        <v>328</v>
      </c>
      <c r="G2003" s="4" t="s">
        <v>1611</v>
      </c>
      <c r="N2003" s="4" t="s">
        <v>14</v>
      </c>
      <c r="O2003" s="4" t="s">
        <v>343</v>
      </c>
      <c r="P2003" s="4">
        <v>2</v>
      </c>
      <c r="Q2003" s="4" t="s">
        <v>539</v>
      </c>
      <c r="T2003" s="4">
        <v>50.86</v>
      </c>
      <c r="U2003" s="61">
        <v>0.32</v>
      </c>
      <c r="V2003" s="4">
        <v>33.36</v>
      </c>
      <c r="AG2003" s="4" t="s">
        <v>316</v>
      </c>
      <c r="AH2003" s="4" t="s">
        <v>1601</v>
      </c>
      <c r="AI2003" s="4" t="s">
        <v>1602</v>
      </c>
      <c r="AL2003" s="4" t="s">
        <v>1556</v>
      </c>
      <c r="AM2003" s="4">
        <v>8.78</v>
      </c>
      <c r="AN2003" s="4">
        <v>4.32</v>
      </c>
      <c r="AO2003" s="4">
        <v>180.29</v>
      </c>
      <c r="AQ2003" s="4" t="s">
        <v>7</v>
      </c>
      <c r="AR2003" s="4">
        <v>1.25</v>
      </c>
      <c r="AS2003" s="4" t="s">
        <v>13</v>
      </c>
      <c r="AT2003" s="4">
        <v>138.52</v>
      </c>
      <c r="AU2003" s="4" t="s">
        <v>15</v>
      </c>
      <c r="AV2003" s="4">
        <v>27.65</v>
      </c>
      <c r="AW2003" s="4" t="s">
        <v>12</v>
      </c>
      <c r="AX2003" s="4">
        <v>2.44</v>
      </c>
      <c r="AY2003" s="4" t="s">
        <v>14</v>
      </c>
      <c r="AZ2003" s="4">
        <v>5.56</v>
      </c>
      <c r="BI2003" s="4" t="s">
        <v>321</v>
      </c>
      <c r="BP2003" s="4">
        <v>0.05</v>
      </c>
      <c r="BV2003" s="4" t="s">
        <v>522</v>
      </c>
      <c r="BW2003" s="4">
        <v>25</v>
      </c>
      <c r="BX2003" s="4">
        <v>75</v>
      </c>
      <c r="CX2003" s="4" t="s">
        <v>314</v>
      </c>
      <c r="DD2003" s="4">
        <v>30.44</v>
      </c>
      <c r="DE2003" s="4">
        <v>26.97</v>
      </c>
      <c r="DO2003" s="57"/>
      <c r="DQ2003" s="58">
        <v>1.25270964061608</v>
      </c>
      <c r="DR2003" s="55">
        <v>0.03422703936109</v>
      </c>
      <c r="DS2003" s="59">
        <v>0.366220735785953</v>
      </c>
      <c r="DT2003" s="50">
        <v>0.017558528428093</v>
      </c>
      <c r="DY2003" s="1">
        <v>0</v>
      </c>
      <c r="DZ2003" s="1">
        <v>0</v>
      </c>
      <c r="EA2003" s="52">
        <v>70.7657126669955</v>
      </c>
      <c r="ED2003" s="52">
        <v>70.7657126669955</v>
      </c>
    </row>
    <row r="2004" customHeight="1" spans="1:134">
      <c r="A2004" s="54">
        <v>70</v>
      </c>
      <c r="B2004" s="4" t="s">
        <v>1599</v>
      </c>
      <c r="C2004" s="5" t="s">
        <v>1613</v>
      </c>
      <c r="D2004" s="4" t="s">
        <v>300</v>
      </c>
      <c r="E2004" s="4" t="s">
        <v>1603</v>
      </c>
      <c r="F2004" s="4" t="s">
        <v>328</v>
      </c>
      <c r="G2004" s="4" t="s">
        <v>1611</v>
      </c>
      <c r="N2004" s="4" t="s">
        <v>14</v>
      </c>
      <c r="O2004" s="4" t="s">
        <v>343</v>
      </c>
      <c r="P2004" s="4">
        <v>2</v>
      </c>
      <c r="Q2004" s="4" t="s">
        <v>539</v>
      </c>
      <c r="T2004" s="4">
        <v>50.86</v>
      </c>
      <c r="U2004" s="61">
        <v>0.32</v>
      </c>
      <c r="V2004" s="4">
        <v>33.36</v>
      </c>
      <c r="AG2004" s="4" t="s">
        <v>316</v>
      </c>
      <c r="AH2004" s="4" t="s">
        <v>346</v>
      </c>
      <c r="AI2004" s="4" t="s">
        <v>1604</v>
      </c>
      <c r="AL2004" s="4" t="s">
        <v>1556</v>
      </c>
      <c r="AM2004" s="4">
        <v>5.65</v>
      </c>
      <c r="AN2004" s="4">
        <v>7.53</v>
      </c>
      <c r="AO2004" s="4">
        <v>168.17</v>
      </c>
      <c r="AQ2004" s="4" t="s">
        <v>7</v>
      </c>
      <c r="AR2004" s="4">
        <v>0.89</v>
      </c>
      <c r="AS2004" s="4" t="s">
        <v>13</v>
      </c>
      <c r="AT2004" s="4">
        <v>380.94</v>
      </c>
      <c r="AU2004" s="4" t="s">
        <v>15</v>
      </c>
      <c r="AV2004" s="4">
        <v>58.78</v>
      </c>
      <c r="AW2004" s="4" t="s">
        <v>12</v>
      </c>
      <c r="AX2004" s="4">
        <v>5.9</v>
      </c>
      <c r="AY2004" s="4" t="s">
        <v>14</v>
      </c>
      <c r="AZ2004" s="4">
        <v>13.24</v>
      </c>
      <c r="BI2004" s="4" t="s">
        <v>321</v>
      </c>
      <c r="BP2004" s="4">
        <v>0.05</v>
      </c>
      <c r="BV2004" s="4" t="s">
        <v>522</v>
      </c>
      <c r="BW2004" s="4">
        <v>25</v>
      </c>
      <c r="BX2004" s="4">
        <v>75</v>
      </c>
      <c r="CX2004" s="4" t="s">
        <v>314</v>
      </c>
      <c r="DD2004" s="4">
        <v>30.44</v>
      </c>
      <c r="DE2004" s="4">
        <v>26.97</v>
      </c>
      <c r="DO2004" s="57"/>
      <c r="DQ2004" s="58">
        <v>0.899449035812672</v>
      </c>
      <c r="DR2004" s="55">
        <v>0.010330578512397</v>
      </c>
      <c r="DS2004" s="50">
        <v>0.366391184573002</v>
      </c>
      <c r="DT2004" s="50">
        <v>0.013774104683195</v>
      </c>
      <c r="DY2004" s="1">
        <v>0</v>
      </c>
      <c r="DZ2004" s="1">
        <v>0</v>
      </c>
      <c r="EA2004" s="52">
        <v>59.2649310872895</v>
      </c>
      <c r="ED2004" s="52">
        <v>59.2649310872895</v>
      </c>
    </row>
    <row r="2005" customHeight="1" spans="1:134">
      <c r="A2005" s="54">
        <v>70</v>
      </c>
      <c r="B2005" s="4" t="s">
        <v>1599</v>
      </c>
      <c r="C2005" s="5" t="s">
        <v>1613</v>
      </c>
      <c r="D2005" s="4" t="s">
        <v>300</v>
      </c>
      <c r="E2005" s="4" t="s">
        <v>1603</v>
      </c>
      <c r="F2005" s="4" t="s">
        <v>328</v>
      </c>
      <c r="G2005" s="4" t="s">
        <v>1611</v>
      </c>
      <c r="N2005" s="4" t="s">
        <v>14</v>
      </c>
      <c r="O2005" s="4" t="s">
        <v>343</v>
      </c>
      <c r="P2005" s="4">
        <v>2</v>
      </c>
      <c r="Q2005" s="4" t="s">
        <v>539</v>
      </c>
      <c r="T2005" s="4">
        <v>50.86</v>
      </c>
      <c r="U2005" s="61">
        <v>0.32</v>
      </c>
      <c r="V2005" s="4">
        <v>33.36</v>
      </c>
      <c r="AG2005" s="4" t="s">
        <v>316</v>
      </c>
      <c r="AH2005" s="4" t="s">
        <v>1601</v>
      </c>
      <c r="AI2005" s="4" t="s">
        <v>1602</v>
      </c>
      <c r="AL2005" s="4" t="s">
        <v>1556</v>
      </c>
      <c r="AM2005" s="4">
        <v>8.78</v>
      </c>
      <c r="AN2005" s="4">
        <v>4.32</v>
      </c>
      <c r="AO2005" s="4">
        <v>180.29</v>
      </c>
      <c r="AQ2005" s="4" t="s">
        <v>7</v>
      </c>
      <c r="AR2005" s="4">
        <v>1.25</v>
      </c>
      <c r="AS2005" s="4" t="s">
        <v>13</v>
      </c>
      <c r="AT2005" s="4">
        <v>138.52</v>
      </c>
      <c r="AU2005" s="4" t="s">
        <v>15</v>
      </c>
      <c r="AV2005" s="4">
        <v>27.65</v>
      </c>
      <c r="AW2005" s="4" t="s">
        <v>12</v>
      </c>
      <c r="AX2005" s="4">
        <v>2.44</v>
      </c>
      <c r="AY2005" s="4" t="s">
        <v>14</v>
      </c>
      <c r="AZ2005" s="4">
        <v>5.56</v>
      </c>
      <c r="BI2005" s="4" t="s">
        <v>321</v>
      </c>
      <c r="BP2005" s="4">
        <v>0.025</v>
      </c>
      <c r="BV2005" s="4" t="s">
        <v>522</v>
      </c>
      <c r="BW2005" s="4">
        <v>25</v>
      </c>
      <c r="BX2005" s="4">
        <v>75</v>
      </c>
      <c r="CX2005" s="4" t="s">
        <v>314</v>
      </c>
      <c r="DD2005" s="4">
        <v>30.44</v>
      </c>
      <c r="DE2005" s="4">
        <v>26.97</v>
      </c>
      <c r="DO2005" s="57"/>
      <c r="DQ2005" s="58">
        <v>1.25270964061608</v>
      </c>
      <c r="DR2005" s="55">
        <v>0.03422703936109</v>
      </c>
      <c r="DS2005" s="50">
        <v>0.502508361204013</v>
      </c>
      <c r="DT2005" s="50">
        <v>0.01505016722408</v>
      </c>
      <c r="DY2005" s="1">
        <v>0</v>
      </c>
      <c r="DZ2005" s="1">
        <v>0</v>
      </c>
      <c r="EA2005" s="52">
        <v>59.8862861024299</v>
      </c>
      <c r="ED2005" s="52">
        <v>59.8862861024299</v>
      </c>
    </row>
    <row r="2006" customHeight="1" spans="1:134">
      <c r="A2006" s="54">
        <v>70</v>
      </c>
      <c r="B2006" s="4" t="s">
        <v>1599</v>
      </c>
      <c r="C2006" s="5" t="s">
        <v>1613</v>
      </c>
      <c r="D2006" s="4" t="s">
        <v>300</v>
      </c>
      <c r="E2006" s="4" t="s">
        <v>1603</v>
      </c>
      <c r="F2006" s="4" t="s">
        <v>328</v>
      </c>
      <c r="G2006" s="4" t="s">
        <v>1611</v>
      </c>
      <c r="N2006" s="4" t="s">
        <v>14</v>
      </c>
      <c r="O2006" s="4" t="s">
        <v>343</v>
      </c>
      <c r="P2006" s="4">
        <v>2</v>
      </c>
      <c r="Q2006" s="4" t="s">
        <v>539</v>
      </c>
      <c r="T2006" s="4">
        <v>50.86</v>
      </c>
      <c r="U2006" s="61">
        <v>0.32</v>
      </c>
      <c r="V2006" s="4">
        <v>33.36</v>
      </c>
      <c r="AG2006" s="4" t="s">
        <v>316</v>
      </c>
      <c r="AH2006" s="4" t="s">
        <v>346</v>
      </c>
      <c r="AI2006" s="4" t="s">
        <v>1604</v>
      </c>
      <c r="AL2006" s="4" t="s">
        <v>1556</v>
      </c>
      <c r="AM2006" s="4">
        <v>5.65</v>
      </c>
      <c r="AN2006" s="4">
        <v>7.53</v>
      </c>
      <c r="AO2006" s="4">
        <v>168.17</v>
      </c>
      <c r="AQ2006" s="4" t="s">
        <v>7</v>
      </c>
      <c r="AR2006" s="4">
        <v>0.89</v>
      </c>
      <c r="AS2006" s="4" t="s">
        <v>13</v>
      </c>
      <c r="AT2006" s="4">
        <v>380.94</v>
      </c>
      <c r="AU2006" s="4" t="s">
        <v>15</v>
      </c>
      <c r="AV2006" s="4">
        <v>58.78</v>
      </c>
      <c r="AW2006" s="4" t="s">
        <v>12</v>
      </c>
      <c r="AX2006" s="4">
        <v>5.9</v>
      </c>
      <c r="AY2006" s="4" t="s">
        <v>14</v>
      </c>
      <c r="AZ2006" s="4">
        <v>13.24</v>
      </c>
      <c r="BI2006" s="4" t="s">
        <v>321</v>
      </c>
      <c r="BP2006" s="4">
        <v>0.025</v>
      </c>
      <c r="BV2006" s="4" t="s">
        <v>522</v>
      </c>
      <c r="BW2006" s="4">
        <v>25</v>
      </c>
      <c r="BX2006" s="4">
        <v>75</v>
      </c>
      <c r="CX2006" s="4" t="s">
        <v>314</v>
      </c>
      <c r="DD2006" s="4">
        <v>30.44</v>
      </c>
      <c r="DE2006" s="4">
        <v>26.97</v>
      </c>
      <c r="DO2006" s="57"/>
      <c r="DQ2006" s="58">
        <v>0.899449035812672</v>
      </c>
      <c r="DR2006" s="55">
        <v>0.010330578512397</v>
      </c>
      <c r="DS2006" s="50">
        <v>0.504827586206896</v>
      </c>
      <c r="DT2006" s="50">
        <v>0.00965517241379305</v>
      </c>
      <c r="DY2006" s="1">
        <v>0</v>
      </c>
      <c r="DZ2006" s="1">
        <v>0</v>
      </c>
      <c r="EA2006" s="52">
        <v>43.8736864339653</v>
      </c>
      <c r="ED2006" s="52">
        <v>43.8736864339653</v>
      </c>
    </row>
    <row r="2007" customHeight="1" spans="1:134">
      <c r="A2007" s="54">
        <v>70</v>
      </c>
      <c r="B2007" s="4" t="s">
        <v>1599</v>
      </c>
      <c r="C2007" s="5" t="s">
        <v>1613</v>
      </c>
      <c r="D2007" s="4" t="s">
        <v>300</v>
      </c>
      <c r="E2007" s="4" t="s">
        <v>1603</v>
      </c>
      <c r="F2007" s="4" t="s">
        <v>328</v>
      </c>
      <c r="G2007" s="4" t="s">
        <v>1611</v>
      </c>
      <c r="N2007" s="4" t="s">
        <v>14</v>
      </c>
      <c r="O2007" s="4" t="s">
        <v>343</v>
      </c>
      <c r="P2007" s="4">
        <v>2</v>
      </c>
      <c r="Q2007" s="4" t="s">
        <v>539</v>
      </c>
      <c r="T2007" s="4">
        <v>50.86</v>
      </c>
      <c r="U2007" s="61">
        <v>0.32</v>
      </c>
      <c r="V2007" s="4">
        <v>33.36</v>
      </c>
      <c r="AG2007" s="4" t="s">
        <v>316</v>
      </c>
      <c r="AH2007" s="4" t="s">
        <v>1601</v>
      </c>
      <c r="AI2007" s="4" t="s">
        <v>1605</v>
      </c>
      <c r="AL2007" s="4" t="s">
        <v>1556</v>
      </c>
      <c r="AM2007" s="4">
        <v>7.73</v>
      </c>
      <c r="AN2007" s="4">
        <v>4.28</v>
      </c>
      <c r="AO2007" s="4">
        <v>207.91</v>
      </c>
      <c r="AQ2007" s="4" t="s">
        <v>7</v>
      </c>
      <c r="AR2007" s="4">
        <v>1.12</v>
      </c>
      <c r="AS2007" s="4" t="s">
        <v>13</v>
      </c>
      <c r="AT2007" s="4">
        <v>52.39</v>
      </c>
      <c r="AU2007" s="4" t="s">
        <v>15</v>
      </c>
      <c r="AV2007" s="4">
        <v>96</v>
      </c>
      <c r="AW2007" s="4" t="s">
        <v>12</v>
      </c>
      <c r="AX2007" s="4">
        <v>3.45</v>
      </c>
      <c r="AY2007" s="4" t="s">
        <v>14</v>
      </c>
      <c r="AZ2007" s="4">
        <v>4.95</v>
      </c>
      <c r="BI2007" s="4" t="s">
        <v>321</v>
      </c>
      <c r="BP2007" s="4">
        <v>0.025</v>
      </c>
      <c r="BV2007" s="4" t="s">
        <v>1606</v>
      </c>
      <c r="BW2007" s="4">
        <v>25</v>
      </c>
      <c r="BX2007" s="4">
        <v>75</v>
      </c>
      <c r="CX2007" s="4" t="s">
        <v>314</v>
      </c>
      <c r="DD2007" s="4">
        <v>30.44</v>
      </c>
      <c r="DE2007" s="4">
        <v>26.97</v>
      </c>
      <c r="DO2007" s="57"/>
      <c r="DQ2007" s="60">
        <v>1.11958762886597</v>
      </c>
      <c r="DR2007" s="55"/>
      <c r="DS2007" s="58">
        <v>0.612435233160621</v>
      </c>
      <c r="DT2007" s="55"/>
      <c r="DY2007" s="1">
        <v>0</v>
      </c>
      <c r="DZ2007" s="1">
        <v>0</v>
      </c>
      <c r="EA2007" s="52">
        <v>45.2981421578446</v>
      </c>
      <c r="ED2007" s="52">
        <v>45.2981421578446</v>
      </c>
    </row>
    <row r="2008" customHeight="1" spans="1:134">
      <c r="A2008" s="54">
        <v>70</v>
      </c>
      <c r="B2008" s="4" t="s">
        <v>1599</v>
      </c>
      <c r="C2008" s="5" t="s">
        <v>1613</v>
      </c>
      <c r="D2008" s="4" t="s">
        <v>300</v>
      </c>
      <c r="E2008" s="4" t="s">
        <v>1603</v>
      </c>
      <c r="F2008" s="4" t="s">
        <v>328</v>
      </c>
      <c r="G2008" s="4" t="s">
        <v>1611</v>
      </c>
      <c r="N2008" s="4" t="s">
        <v>14</v>
      </c>
      <c r="O2008" s="4" t="s">
        <v>343</v>
      </c>
      <c r="P2008" s="4">
        <v>2</v>
      </c>
      <c r="Q2008" s="4" t="s">
        <v>539</v>
      </c>
      <c r="T2008" s="4">
        <v>50.86</v>
      </c>
      <c r="U2008" s="61">
        <v>0.32</v>
      </c>
      <c r="V2008" s="4">
        <v>33.36</v>
      </c>
      <c r="AG2008" s="4" t="s">
        <v>316</v>
      </c>
      <c r="AH2008" s="4" t="s">
        <v>1601</v>
      </c>
      <c r="AI2008" s="4" t="s">
        <v>1605</v>
      </c>
      <c r="AL2008" s="4" t="s">
        <v>1556</v>
      </c>
      <c r="AM2008" s="4">
        <v>7.73</v>
      </c>
      <c r="AN2008" s="4">
        <v>4.28</v>
      </c>
      <c r="AO2008" s="4">
        <v>207.91</v>
      </c>
      <c r="AQ2008" s="4" t="s">
        <v>7</v>
      </c>
      <c r="AR2008" s="4">
        <v>1.12</v>
      </c>
      <c r="AS2008" s="4" t="s">
        <v>13</v>
      </c>
      <c r="AT2008" s="4">
        <v>52.39</v>
      </c>
      <c r="AU2008" s="4" t="s">
        <v>15</v>
      </c>
      <c r="AV2008" s="4">
        <v>96</v>
      </c>
      <c r="AW2008" s="4" t="s">
        <v>12</v>
      </c>
      <c r="AX2008" s="4">
        <v>3.45</v>
      </c>
      <c r="AY2008" s="4" t="s">
        <v>14</v>
      </c>
      <c r="AZ2008" s="4">
        <v>4.95</v>
      </c>
      <c r="BI2008" s="4" t="s">
        <v>321</v>
      </c>
      <c r="BP2008" s="4">
        <v>0.025</v>
      </c>
      <c r="BV2008" s="4" t="s">
        <v>1607</v>
      </c>
      <c r="BW2008" s="4">
        <v>25</v>
      </c>
      <c r="BX2008" s="4">
        <v>75</v>
      </c>
      <c r="CX2008" s="4" t="s">
        <v>314</v>
      </c>
      <c r="DD2008" s="4">
        <v>30.44</v>
      </c>
      <c r="DE2008" s="4">
        <v>26.97</v>
      </c>
      <c r="DO2008" s="57"/>
      <c r="DQ2008" s="60">
        <v>1.2680412371134</v>
      </c>
      <c r="DR2008" s="55"/>
      <c r="DS2008" s="58">
        <v>0.830051813471502</v>
      </c>
      <c r="DT2008" s="55"/>
      <c r="DY2008" s="1">
        <v>0</v>
      </c>
      <c r="DZ2008" s="1">
        <v>0</v>
      </c>
      <c r="EA2008" s="52">
        <v>34.5406293441172</v>
      </c>
      <c r="ED2008" s="52">
        <v>34.5406293441172</v>
      </c>
    </row>
    <row r="2009" customHeight="1" spans="1:134">
      <c r="A2009" s="54">
        <v>70</v>
      </c>
      <c r="B2009" s="4" t="s">
        <v>1599</v>
      </c>
      <c r="C2009" s="5" t="s">
        <v>1613</v>
      </c>
      <c r="D2009" s="4" t="s">
        <v>300</v>
      </c>
      <c r="E2009" s="4" t="s">
        <v>1603</v>
      </c>
      <c r="F2009" s="4" t="s">
        <v>328</v>
      </c>
      <c r="G2009" s="4" t="s">
        <v>1611</v>
      </c>
      <c r="N2009" s="4" t="s">
        <v>14</v>
      </c>
      <c r="O2009" s="4" t="s">
        <v>343</v>
      </c>
      <c r="P2009" s="4">
        <v>2</v>
      </c>
      <c r="Q2009" s="4" t="s">
        <v>539</v>
      </c>
      <c r="T2009" s="4">
        <v>50.86</v>
      </c>
      <c r="U2009" s="61">
        <v>0.32</v>
      </c>
      <c r="V2009" s="4">
        <v>33.36</v>
      </c>
      <c r="AG2009" s="4" t="s">
        <v>316</v>
      </c>
      <c r="AH2009" s="4" t="s">
        <v>1601</v>
      </c>
      <c r="AI2009" s="4" t="s">
        <v>1605</v>
      </c>
      <c r="AL2009" s="4" t="s">
        <v>1556</v>
      </c>
      <c r="AM2009" s="4">
        <v>7.73</v>
      </c>
      <c r="AN2009" s="4">
        <v>4.28</v>
      </c>
      <c r="AO2009" s="4">
        <v>207.91</v>
      </c>
      <c r="AQ2009" s="4" t="s">
        <v>7</v>
      </c>
      <c r="AR2009" s="4">
        <v>1.12</v>
      </c>
      <c r="AS2009" s="4" t="s">
        <v>13</v>
      </c>
      <c r="AT2009" s="4">
        <v>52.39</v>
      </c>
      <c r="AU2009" s="4" t="s">
        <v>15</v>
      </c>
      <c r="AV2009" s="4">
        <v>96</v>
      </c>
      <c r="AW2009" s="4" t="s">
        <v>12</v>
      </c>
      <c r="AX2009" s="4">
        <v>3.45</v>
      </c>
      <c r="AY2009" s="4" t="s">
        <v>14</v>
      </c>
      <c r="AZ2009" s="4">
        <v>4.95</v>
      </c>
      <c r="BI2009" s="4" t="s">
        <v>321</v>
      </c>
      <c r="BP2009" s="4">
        <v>0.025</v>
      </c>
      <c r="BV2009" s="4" t="s">
        <v>1552</v>
      </c>
      <c r="BW2009" s="4">
        <v>25</v>
      </c>
      <c r="BX2009" s="4">
        <v>75</v>
      </c>
      <c r="CX2009" s="4" t="s">
        <v>314</v>
      </c>
      <c r="DD2009" s="4">
        <v>30.44</v>
      </c>
      <c r="DE2009" s="4">
        <v>26.97</v>
      </c>
      <c r="DO2009" s="57"/>
      <c r="DQ2009" s="60">
        <v>1.11649484536082</v>
      </c>
      <c r="DR2009" s="55"/>
      <c r="DS2009" s="58">
        <v>0.587564766839377</v>
      </c>
      <c r="DT2009" s="55"/>
      <c r="DY2009" s="1">
        <v>0</v>
      </c>
      <c r="DZ2009" s="1">
        <v>0</v>
      </c>
      <c r="EA2009" s="52">
        <v>47.3741621575071</v>
      </c>
      <c r="ED2009" s="52">
        <v>47.3741621575071</v>
      </c>
    </row>
    <row r="2010" customHeight="1" spans="1:134">
      <c r="A2010" s="54">
        <v>70</v>
      </c>
      <c r="B2010" s="4" t="s">
        <v>1599</v>
      </c>
      <c r="C2010" s="5" t="s">
        <v>1613</v>
      </c>
      <c r="D2010" s="4" t="s">
        <v>300</v>
      </c>
      <c r="E2010" s="4" t="s">
        <v>1603</v>
      </c>
      <c r="F2010" s="4" t="s">
        <v>328</v>
      </c>
      <c r="G2010" s="4" t="s">
        <v>1611</v>
      </c>
      <c r="N2010" s="4" t="s">
        <v>14</v>
      </c>
      <c r="O2010" s="4" t="s">
        <v>343</v>
      </c>
      <c r="P2010" s="4">
        <v>2</v>
      </c>
      <c r="Q2010" s="4" t="s">
        <v>539</v>
      </c>
      <c r="T2010" s="4">
        <v>50.86</v>
      </c>
      <c r="U2010" s="61">
        <v>0.32</v>
      </c>
      <c r="V2010" s="4">
        <v>33.36</v>
      </c>
      <c r="AG2010" s="4" t="s">
        <v>316</v>
      </c>
      <c r="AH2010" s="4" t="s">
        <v>1601</v>
      </c>
      <c r="AI2010" s="4" t="s">
        <v>1605</v>
      </c>
      <c r="AL2010" s="4" t="s">
        <v>1556</v>
      </c>
      <c r="AM2010" s="4">
        <v>7.73</v>
      </c>
      <c r="AN2010" s="4">
        <v>4.28</v>
      </c>
      <c r="AO2010" s="4">
        <v>207.91</v>
      </c>
      <c r="AQ2010" s="4" t="s">
        <v>7</v>
      </c>
      <c r="AR2010" s="4">
        <v>1.12</v>
      </c>
      <c r="AS2010" s="4" t="s">
        <v>13</v>
      </c>
      <c r="AT2010" s="4">
        <v>52.39</v>
      </c>
      <c r="AU2010" s="4" t="s">
        <v>15</v>
      </c>
      <c r="AV2010" s="4">
        <v>96</v>
      </c>
      <c r="AW2010" s="4" t="s">
        <v>12</v>
      </c>
      <c r="AX2010" s="4">
        <v>3.45</v>
      </c>
      <c r="AY2010" s="4" t="s">
        <v>14</v>
      </c>
      <c r="AZ2010" s="4">
        <v>4.95</v>
      </c>
      <c r="BI2010" s="4" t="s">
        <v>321</v>
      </c>
      <c r="BP2010" s="4">
        <v>0.025</v>
      </c>
      <c r="BV2010" s="4" t="s">
        <v>488</v>
      </c>
      <c r="BW2010" s="4">
        <v>25</v>
      </c>
      <c r="BX2010" s="4">
        <v>75</v>
      </c>
      <c r="CX2010" s="4" t="s">
        <v>314</v>
      </c>
      <c r="DD2010" s="4">
        <v>30.44</v>
      </c>
      <c r="DE2010" s="4">
        <v>26.97</v>
      </c>
      <c r="DO2010" s="57"/>
      <c r="DQ2010" s="60">
        <v>1.24329896907216</v>
      </c>
      <c r="DR2010" s="55"/>
      <c r="DS2010" s="58">
        <v>0.369948186528497</v>
      </c>
      <c r="DT2010" s="55"/>
      <c r="DY2010" s="1">
        <v>0</v>
      </c>
      <c r="DZ2010" s="1">
        <v>0</v>
      </c>
      <c r="EA2010" s="52">
        <v>70.2446317634624</v>
      </c>
      <c r="ED2010" s="52">
        <v>70.2446317634624</v>
      </c>
    </row>
    <row r="2011" customHeight="1" spans="1:134">
      <c r="A2011" s="54">
        <v>70</v>
      </c>
      <c r="B2011" s="4" t="s">
        <v>1599</v>
      </c>
      <c r="C2011" s="5" t="s">
        <v>1613</v>
      </c>
      <c r="D2011" s="4" t="s">
        <v>300</v>
      </c>
      <c r="E2011" s="4" t="s">
        <v>1603</v>
      </c>
      <c r="F2011" s="4" t="s">
        <v>328</v>
      </c>
      <c r="G2011" s="4" t="s">
        <v>1611</v>
      </c>
      <c r="N2011" s="4" t="s">
        <v>14</v>
      </c>
      <c r="O2011" s="4" t="s">
        <v>343</v>
      </c>
      <c r="P2011" s="4">
        <v>2</v>
      </c>
      <c r="Q2011" s="4" t="s">
        <v>539</v>
      </c>
      <c r="T2011" s="4">
        <v>50.86</v>
      </c>
      <c r="U2011" s="61">
        <v>0.32</v>
      </c>
      <c r="V2011" s="4">
        <v>33.36</v>
      </c>
      <c r="AG2011" s="4" t="s">
        <v>316</v>
      </c>
      <c r="AH2011" s="4" t="s">
        <v>1601</v>
      </c>
      <c r="AI2011" s="4" t="s">
        <v>1605</v>
      </c>
      <c r="AL2011" s="4" t="s">
        <v>1556</v>
      </c>
      <c r="AM2011" s="4">
        <v>7.73</v>
      </c>
      <c r="AN2011" s="4">
        <v>4.28</v>
      </c>
      <c r="AO2011" s="4">
        <v>207.91</v>
      </c>
      <c r="AQ2011" s="4" t="s">
        <v>7</v>
      </c>
      <c r="AR2011" s="4">
        <v>1.12</v>
      </c>
      <c r="AS2011" s="4" t="s">
        <v>13</v>
      </c>
      <c r="AT2011" s="4">
        <v>52.39</v>
      </c>
      <c r="AU2011" s="4" t="s">
        <v>15</v>
      </c>
      <c r="AV2011" s="4">
        <v>96</v>
      </c>
      <c r="AW2011" s="4" t="s">
        <v>12</v>
      </c>
      <c r="AX2011" s="4">
        <v>3.45</v>
      </c>
      <c r="AY2011" s="4" t="s">
        <v>14</v>
      </c>
      <c r="AZ2011" s="4">
        <v>4.95</v>
      </c>
      <c r="BI2011" s="4" t="s">
        <v>321</v>
      </c>
      <c r="BP2011" s="4">
        <v>0.05</v>
      </c>
      <c r="BV2011" s="4" t="s">
        <v>1606</v>
      </c>
      <c r="BW2011" s="4">
        <v>25</v>
      </c>
      <c r="BX2011" s="4">
        <v>75</v>
      </c>
      <c r="CX2011" s="4" t="s">
        <v>314</v>
      </c>
      <c r="DD2011" s="4">
        <v>30.44</v>
      </c>
      <c r="DE2011" s="4">
        <v>26.97</v>
      </c>
      <c r="DO2011" s="57"/>
      <c r="DQ2011" s="60">
        <v>1.11958762886597</v>
      </c>
      <c r="DR2011" s="55"/>
      <c r="DS2011" s="58">
        <v>0.506735751295336</v>
      </c>
      <c r="DT2011" s="55"/>
      <c r="DY2011" s="1">
        <v>0</v>
      </c>
      <c r="DZ2011" s="1">
        <v>0</v>
      </c>
      <c r="EA2011" s="52">
        <v>54.739071937709</v>
      </c>
      <c r="ED2011" s="52">
        <v>54.739071937709</v>
      </c>
    </row>
    <row r="2012" customHeight="1" spans="1:134">
      <c r="A2012" s="54">
        <v>70</v>
      </c>
      <c r="B2012" s="4" t="s">
        <v>1599</v>
      </c>
      <c r="C2012" s="5" t="s">
        <v>1613</v>
      </c>
      <c r="D2012" s="4" t="s">
        <v>300</v>
      </c>
      <c r="E2012" s="4" t="s">
        <v>1603</v>
      </c>
      <c r="F2012" s="4" t="s">
        <v>328</v>
      </c>
      <c r="G2012" s="4" t="s">
        <v>1611</v>
      </c>
      <c r="N2012" s="4" t="s">
        <v>14</v>
      </c>
      <c r="O2012" s="4" t="s">
        <v>343</v>
      </c>
      <c r="P2012" s="4">
        <v>2</v>
      </c>
      <c r="Q2012" s="4" t="s">
        <v>539</v>
      </c>
      <c r="T2012" s="4">
        <v>50.86</v>
      </c>
      <c r="U2012" s="61">
        <v>0.32</v>
      </c>
      <c r="V2012" s="4">
        <v>33.36</v>
      </c>
      <c r="AG2012" s="4" t="s">
        <v>316</v>
      </c>
      <c r="AH2012" s="4" t="s">
        <v>1601</v>
      </c>
      <c r="AI2012" s="4" t="s">
        <v>1605</v>
      </c>
      <c r="AL2012" s="4" t="s">
        <v>1556</v>
      </c>
      <c r="AM2012" s="4">
        <v>7.73</v>
      </c>
      <c r="AN2012" s="4">
        <v>4.28</v>
      </c>
      <c r="AO2012" s="4">
        <v>207.91</v>
      </c>
      <c r="AQ2012" s="4" t="s">
        <v>7</v>
      </c>
      <c r="AR2012" s="4">
        <v>1.12</v>
      </c>
      <c r="AS2012" s="4" t="s">
        <v>13</v>
      </c>
      <c r="AT2012" s="4">
        <v>52.39</v>
      </c>
      <c r="AU2012" s="4" t="s">
        <v>15</v>
      </c>
      <c r="AV2012" s="4">
        <v>96</v>
      </c>
      <c r="AW2012" s="4" t="s">
        <v>12</v>
      </c>
      <c r="AX2012" s="4">
        <v>3.45</v>
      </c>
      <c r="AY2012" s="4" t="s">
        <v>14</v>
      </c>
      <c r="AZ2012" s="4">
        <v>4.95</v>
      </c>
      <c r="BI2012" s="4" t="s">
        <v>321</v>
      </c>
      <c r="BP2012" s="4">
        <v>0.05</v>
      </c>
      <c r="BV2012" s="4" t="s">
        <v>1607</v>
      </c>
      <c r="BW2012" s="4">
        <v>25</v>
      </c>
      <c r="BX2012" s="4">
        <v>75</v>
      </c>
      <c r="CX2012" s="4" t="s">
        <v>314</v>
      </c>
      <c r="DD2012" s="4">
        <v>30.44</v>
      </c>
      <c r="DE2012" s="4">
        <v>26.97</v>
      </c>
      <c r="DO2012" s="57"/>
      <c r="DQ2012" s="60">
        <v>1.2680412371134</v>
      </c>
      <c r="DR2012" s="55"/>
      <c r="DS2012" s="58">
        <v>0.749222797927461</v>
      </c>
      <c r="DT2012" s="55"/>
      <c r="DY2012" s="1">
        <v>0</v>
      </c>
      <c r="DZ2012" s="1">
        <v>0</v>
      </c>
      <c r="EA2012" s="52">
        <v>40.9149500821432</v>
      </c>
      <c r="ED2012" s="52">
        <v>40.9149500821432</v>
      </c>
    </row>
    <row r="2013" customHeight="1" spans="1:134">
      <c r="A2013" s="54">
        <v>70</v>
      </c>
      <c r="B2013" s="4" t="s">
        <v>1599</v>
      </c>
      <c r="C2013" s="5" t="s">
        <v>1613</v>
      </c>
      <c r="D2013" s="4" t="s">
        <v>300</v>
      </c>
      <c r="E2013" s="4" t="s">
        <v>1603</v>
      </c>
      <c r="F2013" s="4" t="s">
        <v>328</v>
      </c>
      <c r="G2013" s="4" t="s">
        <v>1611</v>
      </c>
      <c r="N2013" s="4" t="s">
        <v>14</v>
      </c>
      <c r="O2013" s="4" t="s">
        <v>343</v>
      </c>
      <c r="P2013" s="4">
        <v>2</v>
      </c>
      <c r="Q2013" s="4" t="s">
        <v>539</v>
      </c>
      <c r="T2013" s="4">
        <v>50.86</v>
      </c>
      <c r="U2013" s="61">
        <v>0.32</v>
      </c>
      <c r="V2013" s="4">
        <v>33.36</v>
      </c>
      <c r="AG2013" s="4" t="s">
        <v>316</v>
      </c>
      <c r="AH2013" s="4" t="s">
        <v>1601</v>
      </c>
      <c r="AI2013" s="4" t="s">
        <v>1605</v>
      </c>
      <c r="AL2013" s="4" t="s">
        <v>1556</v>
      </c>
      <c r="AM2013" s="4">
        <v>7.73</v>
      </c>
      <c r="AN2013" s="4">
        <v>4.28</v>
      </c>
      <c r="AO2013" s="4">
        <v>207.91</v>
      </c>
      <c r="AQ2013" s="4" t="s">
        <v>7</v>
      </c>
      <c r="AR2013" s="4">
        <v>1.12</v>
      </c>
      <c r="AS2013" s="4" t="s">
        <v>13</v>
      </c>
      <c r="AT2013" s="4">
        <v>52.39</v>
      </c>
      <c r="AU2013" s="4" t="s">
        <v>15</v>
      </c>
      <c r="AV2013" s="4">
        <v>96</v>
      </c>
      <c r="AW2013" s="4" t="s">
        <v>12</v>
      </c>
      <c r="AX2013" s="4">
        <v>3.45</v>
      </c>
      <c r="AY2013" s="4" t="s">
        <v>14</v>
      </c>
      <c r="AZ2013" s="4">
        <v>4.95</v>
      </c>
      <c r="BI2013" s="4" t="s">
        <v>321</v>
      </c>
      <c r="BP2013" s="4">
        <v>0.05</v>
      </c>
      <c r="BV2013" s="4" t="s">
        <v>1552</v>
      </c>
      <c r="BW2013" s="4">
        <v>25</v>
      </c>
      <c r="BX2013" s="4">
        <v>75</v>
      </c>
      <c r="CX2013" s="4" t="s">
        <v>314</v>
      </c>
      <c r="DD2013" s="4">
        <v>30.44</v>
      </c>
      <c r="DE2013" s="4">
        <v>26.97</v>
      </c>
      <c r="DO2013" s="57"/>
      <c r="DQ2013" s="60">
        <v>1.11649484536082</v>
      </c>
      <c r="DR2013" s="55"/>
      <c r="DS2013" s="58">
        <v>0.655958549222797</v>
      </c>
      <c r="DT2013" s="55"/>
      <c r="DY2013" s="1">
        <v>0</v>
      </c>
      <c r="DZ2013" s="1">
        <v>0</v>
      </c>
      <c r="EA2013" s="52">
        <v>41.2484032552063</v>
      </c>
      <c r="ED2013" s="52">
        <v>41.2484032552063</v>
      </c>
    </row>
    <row r="2014" customHeight="1" spans="1:134">
      <c r="A2014" s="54">
        <v>70</v>
      </c>
      <c r="B2014" s="4" t="s">
        <v>1599</v>
      </c>
      <c r="C2014" s="5" t="s">
        <v>1613</v>
      </c>
      <c r="D2014" s="4" t="s">
        <v>300</v>
      </c>
      <c r="E2014" s="4" t="s">
        <v>1603</v>
      </c>
      <c r="F2014" s="4" t="s">
        <v>328</v>
      </c>
      <c r="G2014" s="4" t="s">
        <v>1611</v>
      </c>
      <c r="N2014" s="4" t="s">
        <v>14</v>
      </c>
      <c r="O2014" s="4" t="s">
        <v>343</v>
      </c>
      <c r="P2014" s="4">
        <v>2</v>
      </c>
      <c r="Q2014" s="4" t="s">
        <v>539</v>
      </c>
      <c r="T2014" s="4">
        <v>50.86</v>
      </c>
      <c r="U2014" s="61">
        <v>0.32</v>
      </c>
      <c r="V2014" s="4">
        <v>33.36</v>
      </c>
      <c r="AG2014" s="4" t="s">
        <v>316</v>
      </c>
      <c r="AH2014" s="4" t="s">
        <v>1601</v>
      </c>
      <c r="AI2014" s="4" t="s">
        <v>1605</v>
      </c>
      <c r="AL2014" s="4" t="s">
        <v>1556</v>
      </c>
      <c r="AM2014" s="4">
        <v>7.73</v>
      </c>
      <c r="AN2014" s="4">
        <v>4.28</v>
      </c>
      <c r="AO2014" s="4">
        <v>207.91</v>
      </c>
      <c r="AQ2014" s="4" t="s">
        <v>7</v>
      </c>
      <c r="AR2014" s="4">
        <v>1.12</v>
      </c>
      <c r="AS2014" s="4" t="s">
        <v>13</v>
      </c>
      <c r="AT2014" s="4">
        <v>52.39</v>
      </c>
      <c r="AU2014" s="4" t="s">
        <v>15</v>
      </c>
      <c r="AV2014" s="4">
        <v>96</v>
      </c>
      <c r="AW2014" s="4" t="s">
        <v>12</v>
      </c>
      <c r="AX2014" s="4">
        <v>3.45</v>
      </c>
      <c r="AY2014" s="4" t="s">
        <v>14</v>
      </c>
      <c r="AZ2014" s="4">
        <v>4.95</v>
      </c>
      <c r="BI2014" s="4" t="s">
        <v>321</v>
      </c>
      <c r="BP2014" s="4">
        <v>0.05</v>
      </c>
      <c r="BV2014" s="4" t="s">
        <v>488</v>
      </c>
      <c r="BW2014" s="4">
        <v>25</v>
      </c>
      <c r="BX2014" s="4">
        <v>75</v>
      </c>
      <c r="CX2014" s="4" t="s">
        <v>314</v>
      </c>
      <c r="DD2014" s="4">
        <v>30.44</v>
      </c>
      <c r="DE2014" s="4">
        <v>26.97</v>
      </c>
      <c r="DO2014" s="57"/>
      <c r="DQ2014" s="60">
        <v>1.24329896907216</v>
      </c>
      <c r="DR2014" s="55"/>
      <c r="DS2014" s="58">
        <v>0.357512953367875</v>
      </c>
      <c r="DT2014" s="55"/>
      <c r="DY2014" s="1">
        <v>0</v>
      </c>
      <c r="DZ2014" s="1">
        <v>0</v>
      </c>
      <c r="EA2014" s="52">
        <v>71.2448122083881</v>
      </c>
      <c r="ED2014" s="52">
        <v>71.2448122083881</v>
      </c>
    </row>
    <row r="2015" customHeight="1" spans="1:134">
      <c r="A2015" s="54">
        <v>70</v>
      </c>
      <c r="B2015" s="4" t="s">
        <v>1599</v>
      </c>
      <c r="C2015" s="5" t="s">
        <v>1613</v>
      </c>
      <c r="D2015" s="4" t="s">
        <v>300</v>
      </c>
      <c r="E2015" s="4" t="s">
        <v>1603</v>
      </c>
      <c r="F2015" s="4" t="s">
        <v>328</v>
      </c>
      <c r="G2015" s="4" t="s">
        <v>1611</v>
      </c>
      <c r="N2015" s="4" t="s">
        <v>14</v>
      </c>
      <c r="O2015" s="4" t="s">
        <v>343</v>
      </c>
      <c r="P2015" s="4">
        <v>2</v>
      </c>
      <c r="Q2015" s="4" t="s">
        <v>539</v>
      </c>
      <c r="T2015" s="4">
        <v>50.86</v>
      </c>
      <c r="U2015" s="61">
        <v>0.32</v>
      </c>
      <c r="V2015" s="4">
        <v>33.36</v>
      </c>
      <c r="AG2015" s="4" t="s">
        <v>316</v>
      </c>
      <c r="AH2015" s="4" t="s">
        <v>1601</v>
      </c>
      <c r="AI2015" s="4" t="s">
        <v>1605</v>
      </c>
      <c r="AL2015" s="4" t="s">
        <v>1556</v>
      </c>
      <c r="AM2015" s="4">
        <v>7.73</v>
      </c>
      <c r="AN2015" s="4">
        <v>4.28</v>
      </c>
      <c r="AO2015" s="4">
        <v>207.91</v>
      </c>
      <c r="AQ2015" s="4" t="s">
        <v>7</v>
      </c>
      <c r="AR2015" s="4">
        <v>1.12</v>
      </c>
      <c r="AS2015" s="4" t="s">
        <v>13</v>
      </c>
      <c r="AT2015" s="4">
        <v>52.39</v>
      </c>
      <c r="AU2015" s="4" t="s">
        <v>15</v>
      </c>
      <c r="AV2015" s="4">
        <v>96</v>
      </c>
      <c r="AW2015" s="4" t="s">
        <v>12</v>
      </c>
      <c r="AX2015" s="4">
        <v>3.45</v>
      </c>
      <c r="AY2015" s="4" t="s">
        <v>14</v>
      </c>
      <c r="AZ2015" s="4">
        <v>4.95</v>
      </c>
      <c r="BI2015" s="4" t="s">
        <v>321</v>
      </c>
      <c r="BP2015" s="4">
        <v>0.1</v>
      </c>
      <c r="BV2015" s="4" t="s">
        <v>1606</v>
      </c>
      <c r="BW2015" s="4">
        <v>25</v>
      </c>
      <c r="BX2015" s="4">
        <v>75</v>
      </c>
      <c r="CX2015" s="4" t="s">
        <v>314</v>
      </c>
      <c r="DD2015" s="4">
        <v>30.44</v>
      </c>
      <c r="DE2015" s="4">
        <v>26.97</v>
      </c>
      <c r="DO2015" s="57"/>
      <c r="DQ2015" s="60">
        <v>1.11958762886597</v>
      </c>
      <c r="DR2015" s="55"/>
      <c r="DS2015" s="58">
        <v>0.469430051813471</v>
      </c>
      <c r="DT2015" s="55"/>
      <c r="DY2015" s="1">
        <v>0</v>
      </c>
      <c r="DZ2015" s="1">
        <v>0</v>
      </c>
      <c r="EA2015" s="52">
        <v>58.0711648011905</v>
      </c>
      <c r="ED2015" s="52">
        <v>58.0711648011905</v>
      </c>
    </row>
    <row r="2016" customHeight="1" spans="1:134">
      <c r="A2016" s="54">
        <v>70</v>
      </c>
      <c r="B2016" s="4" t="s">
        <v>1599</v>
      </c>
      <c r="C2016" s="5" t="s">
        <v>1613</v>
      </c>
      <c r="D2016" s="4" t="s">
        <v>300</v>
      </c>
      <c r="E2016" s="4" t="s">
        <v>1603</v>
      </c>
      <c r="F2016" s="4" t="s">
        <v>328</v>
      </c>
      <c r="G2016" s="4" t="s">
        <v>1611</v>
      </c>
      <c r="N2016" s="4" t="s">
        <v>14</v>
      </c>
      <c r="O2016" s="4" t="s">
        <v>343</v>
      </c>
      <c r="P2016" s="4">
        <v>2</v>
      </c>
      <c r="Q2016" s="4" t="s">
        <v>539</v>
      </c>
      <c r="T2016" s="4">
        <v>50.86</v>
      </c>
      <c r="U2016" s="61">
        <v>0.32</v>
      </c>
      <c r="V2016" s="4">
        <v>33.36</v>
      </c>
      <c r="AG2016" s="4" t="s">
        <v>316</v>
      </c>
      <c r="AH2016" s="4" t="s">
        <v>1601</v>
      </c>
      <c r="AI2016" s="4" t="s">
        <v>1605</v>
      </c>
      <c r="AL2016" s="4" t="s">
        <v>1556</v>
      </c>
      <c r="AM2016" s="4">
        <v>7.73</v>
      </c>
      <c r="AN2016" s="4">
        <v>4.28</v>
      </c>
      <c r="AO2016" s="4">
        <v>207.91</v>
      </c>
      <c r="AQ2016" s="4" t="s">
        <v>7</v>
      </c>
      <c r="AR2016" s="4">
        <v>1.12</v>
      </c>
      <c r="AS2016" s="4" t="s">
        <v>13</v>
      </c>
      <c r="AT2016" s="4">
        <v>52.39</v>
      </c>
      <c r="AU2016" s="4" t="s">
        <v>15</v>
      </c>
      <c r="AV2016" s="4">
        <v>96</v>
      </c>
      <c r="AW2016" s="4" t="s">
        <v>12</v>
      </c>
      <c r="AX2016" s="4">
        <v>3.45</v>
      </c>
      <c r="AY2016" s="4" t="s">
        <v>14</v>
      </c>
      <c r="AZ2016" s="4">
        <v>4.95</v>
      </c>
      <c r="BI2016" s="4" t="s">
        <v>321</v>
      </c>
      <c r="BP2016" s="4">
        <v>0.1</v>
      </c>
      <c r="BV2016" s="4" t="s">
        <v>1607</v>
      </c>
      <c r="BW2016" s="4">
        <v>25</v>
      </c>
      <c r="BX2016" s="4">
        <v>75</v>
      </c>
      <c r="CX2016" s="4" t="s">
        <v>314</v>
      </c>
      <c r="DD2016" s="4">
        <v>30.44</v>
      </c>
      <c r="DE2016" s="4">
        <v>26.97</v>
      </c>
      <c r="DO2016" s="57"/>
      <c r="DQ2016" s="60">
        <v>1.2680412371134</v>
      </c>
      <c r="DR2016" s="55"/>
      <c r="DS2016" s="58">
        <v>0.693264248704663</v>
      </c>
      <c r="DT2016" s="55"/>
      <c r="DY2016" s="1">
        <v>0</v>
      </c>
      <c r="DZ2016" s="1">
        <v>0</v>
      </c>
      <c r="EA2016" s="52">
        <v>45.3279413623151</v>
      </c>
      <c r="ED2016" s="52">
        <v>45.3279413623151</v>
      </c>
    </row>
    <row r="2017" customHeight="1" spans="1:134">
      <c r="A2017" s="54">
        <v>70</v>
      </c>
      <c r="B2017" s="4" t="s">
        <v>1599</v>
      </c>
      <c r="C2017" s="5" t="s">
        <v>1613</v>
      </c>
      <c r="D2017" s="4" t="s">
        <v>300</v>
      </c>
      <c r="E2017" s="4" t="s">
        <v>1603</v>
      </c>
      <c r="F2017" s="4" t="s">
        <v>328</v>
      </c>
      <c r="G2017" s="4" t="s">
        <v>1611</v>
      </c>
      <c r="N2017" s="4" t="s">
        <v>14</v>
      </c>
      <c r="O2017" s="4" t="s">
        <v>343</v>
      </c>
      <c r="P2017" s="4">
        <v>2</v>
      </c>
      <c r="Q2017" s="4" t="s">
        <v>539</v>
      </c>
      <c r="T2017" s="4">
        <v>50.86</v>
      </c>
      <c r="U2017" s="61">
        <v>0.32</v>
      </c>
      <c r="V2017" s="4">
        <v>33.36</v>
      </c>
      <c r="AG2017" s="4" t="s">
        <v>316</v>
      </c>
      <c r="AH2017" s="4" t="s">
        <v>1601</v>
      </c>
      <c r="AI2017" s="4" t="s">
        <v>1605</v>
      </c>
      <c r="AL2017" s="4" t="s">
        <v>1556</v>
      </c>
      <c r="AM2017" s="4">
        <v>7.73</v>
      </c>
      <c r="AN2017" s="4">
        <v>4.28</v>
      </c>
      <c r="AO2017" s="4">
        <v>207.91</v>
      </c>
      <c r="AQ2017" s="4" t="s">
        <v>7</v>
      </c>
      <c r="AR2017" s="4">
        <v>1.12</v>
      </c>
      <c r="AS2017" s="4" t="s">
        <v>13</v>
      </c>
      <c r="AT2017" s="4">
        <v>52.39</v>
      </c>
      <c r="AU2017" s="4" t="s">
        <v>15</v>
      </c>
      <c r="AV2017" s="4">
        <v>96</v>
      </c>
      <c r="AW2017" s="4" t="s">
        <v>12</v>
      </c>
      <c r="AX2017" s="4">
        <v>3.45</v>
      </c>
      <c r="AY2017" s="4" t="s">
        <v>14</v>
      </c>
      <c r="AZ2017" s="4">
        <v>4.95</v>
      </c>
      <c r="BI2017" s="4" t="s">
        <v>321</v>
      </c>
      <c r="BP2017" s="4">
        <v>0.1</v>
      </c>
      <c r="BV2017" s="4" t="s">
        <v>1552</v>
      </c>
      <c r="BW2017" s="4">
        <v>25</v>
      </c>
      <c r="BX2017" s="4">
        <v>75</v>
      </c>
      <c r="CX2017" s="4" t="s">
        <v>314</v>
      </c>
      <c r="DD2017" s="4">
        <v>30.44</v>
      </c>
      <c r="DE2017" s="4">
        <v>26.97</v>
      </c>
      <c r="DO2017" s="57"/>
      <c r="DQ2017" s="60">
        <v>1.11649484536082</v>
      </c>
      <c r="DR2017" s="55"/>
      <c r="DS2017" s="58">
        <v>0.441450777202072</v>
      </c>
      <c r="DT2017" s="55"/>
      <c r="DY2017" s="1">
        <v>0</v>
      </c>
      <c r="DZ2017" s="1">
        <v>0</v>
      </c>
      <c r="EA2017" s="52">
        <v>60.4610107215132</v>
      </c>
      <c r="ED2017" s="52">
        <v>60.4610107215132</v>
      </c>
    </row>
    <row r="2018" customHeight="1" spans="1:134">
      <c r="A2018" s="54">
        <v>70</v>
      </c>
      <c r="B2018" s="4" t="s">
        <v>1599</v>
      </c>
      <c r="C2018" s="5" t="s">
        <v>1613</v>
      </c>
      <c r="D2018" s="4" t="s">
        <v>300</v>
      </c>
      <c r="E2018" s="4" t="s">
        <v>1603</v>
      </c>
      <c r="F2018" s="4" t="s">
        <v>328</v>
      </c>
      <c r="G2018" s="4" t="s">
        <v>1611</v>
      </c>
      <c r="N2018" s="4" t="s">
        <v>14</v>
      </c>
      <c r="O2018" s="4" t="s">
        <v>343</v>
      </c>
      <c r="P2018" s="4">
        <v>2</v>
      </c>
      <c r="Q2018" s="4" t="s">
        <v>539</v>
      </c>
      <c r="T2018" s="4">
        <v>50.86</v>
      </c>
      <c r="U2018" s="61">
        <v>0.32</v>
      </c>
      <c r="V2018" s="4">
        <v>33.36</v>
      </c>
      <c r="AG2018" s="4" t="s">
        <v>316</v>
      </c>
      <c r="AH2018" s="4" t="s">
        <v>1601</v>
      </c>
      <c r="AI2018" s="4" t="s">
        <v>1605</v>
      </c>
      <c r="AL2018" s="4" t="s">
        <v>1556</v>
      </c>
      <c r="AM2018" s="4">
        <v>7.73</v>
      </c>
      <c r="AN2018" s="4">
        <v>4.28</v>
      </c>
      <c r="AO2018" s="4">
        <v>207.91</v>
      </c>
      <c r="AQ2018" s="4" t="s">
        <v>7</v>
      </c>
      <c r="AR2018" s="4">
        <v>1.12</v>
      </c>
      <c r="AS2018" s="4" t="s">
        <v>13</v>
      </c>
      <c r="AT2018" s="4">
        <v>52.39</v>
      </c>
      <c r="AU2018" s="4" t="s">
        <v>15</v>
      </c>
      <c r="AV2018" s="4">
        <v>96</v>
      </c>
      <c r="AW2018" s="4" t="s">
        <v>12</v>
      </c>
      <c r="AX2018" s="4">
        <v>3.45</v>
      </c>
      <c r="AY2018" s="4" t="s">
        <v>14</v>
      </c>
      <c r="AZ2018" s="4">
        <v>4.95</v>
      </c>
      <c r="BI2018" s="4" t="s">
        <v>321</v>
      </c>
      <c r="BP2018" s="4">
        <v>0.1</v>
      </c>
      <c r="BV2018" s="4" t="s">
        <v>488</v>
      </c>
      <c r="BW2018" s="4">
        <v>25</v>
      </c>
      <c r="BX2018" s="4">
        <v>75</v>
      </c>
      <c r="CX2018" s="4" t="s">
        <v>314</v>
      </c>
      <c r="DD2018" s="4">
        <v>30.44</v>
      </c>
      <c r="DE2018" s="4">
        <v>26.97</v>
      </c>
      <c r="DO2018" s="57"/>
      <c r="DQ2018" s="60">
        <v>1.24329896907216</v>
      </c>
      <c r="DR2018" s="55"/>
      <c r="DS2018" s="58">
        <v>0.245595854922279</v>
      </c>
      <c r="DT2018" s="55"/>
      <c r="DY2018" s="1">
        <v>0</v>
      </c>
      <c r="DZ2018" s="1">
        <v>0</v>
      </c>
      <c r="EA2018" s="52">
        <v>80.2464362127188</v>
      </c>
      <c r="ED2018" s="52">
        <v>80.2464362127188</v>
      </c>
    </row>
    <row r="2019" customHeight="1" spans="1:134">
      <c r="A2019" s="54">
        <v>70</v>
      </c>
      <c r="B2019" s="4" t="s">
        <v>1599</v>
      </c>
      <c r="C2019" s="5" t="s">
        <v>1613</v>
      </c>
      <c r="D2019" s="4" t="s">
        <v>300</v>
      </c>
      <c r="E2019" s="4" t="s">
        <v>1603</v>
      </c>
      <c r="F2019" s="4" t="s">
        <v>328</v>
      </c>
      <c r="G2019" s="4" t="s">
        <v>1611</v>
      </c>
      <c r="N2019" s="4" t="s">
        <v>14</v>
      </c>
      <c r="O2019" s="4" t="s">
        <v>343</v>
      </c>
      <c r="P2019" s="4">
        <v>2</v>
      </c>
      <c r="Q2019" s="4" t="s">
        <v>539</v>
      </c>
      <c r="T2019" s="4">
        <v>50.86</v>
      </c>
      <c r="U2019" s="61">
        <v>0.32</v>
      </c>
      <c r="V2019" s="4">
        <v>33.36</v>
      </c>
      <c r="AG2019" s="4" t="s">
        <v>316</v>
      </c>
      <c r="AH2019" s="4" t="s">
        <v>1608</v>
      </c>
      <c r="AI2019" s="4" t="s">
        <v>1609</v>
      </c>
      <c r="AL2019" s="4" t="s">
        <v>1556</v>
      </c>
      <c r="AM2019" s="4">
        <v>6.56</v>
      </c>
      <c r="AN2019" s="4">
        <v>8.1</v>
      </c>
      <c r="AO2019" s="4">
        <v>168.17</v>
      </c>
      <c r="AQ2019" s="4" t="s">
        <v>7</v>
      </c>
      <c r="AR2019" s="4">
        <v>0.42</v>
      </c>
      <c r="AS2019" s="4" t="s">
        <v>13</v>
      </c>
      <c r="AT2019" s="4">
        <v>253.22</v>
      </c>
      <c r="AU2019" s="4" t="s">
        <v>15</v>
      </c>
      <c r="AV2019" s="4">
        <v>23.62</v>
      </c>
      <c r="AW2019" s="4" t="s">
        <v>12</v>
      </c>
      <c r="AX2019" s="4">
        <v>3.35</v>
      </c>
      <c r="AY2019" s="4" t="s">
        <v>14</v>
      </c>
      <c r="AZ2019" s="4">
        <v>9.55</v>
      </c>
      <c r="BI2019" s="4" t="s">
        <v>321</v>
      </c>
      <c r="BP2019" s="4">
        <v>0.025</v>
      </c>
      <c r="BV2019" s="4" t="s">
        <v>1606</v>
      </c>
      <c r="BW2019" s="4">
        <v>25</v>
      </c>
      <c r="BX2019" s="4">
        <v>75</v>
      </c>
      <c r="CX2019" s="4" t="s">
        <v>314</v>
      </c>
      <c r="DD2019" s="4">
        <v>30.44</v>
      </c>
      <c r="DE2019" s="4">
        <v>26.97</v>
      </c>
      <c r="DO2019" s="57"/>
      <c r="DQ2019" s="58">
        <v>0.303910614525139</v>
      </c>
      <c r="DR2019" s="55"/>
      <c r="DS2019" s="58">
        <v>0.0491620111731845</v>
      </c>
      <c r="DT2019" s="55"/>
      <c r="DY2019" s="1">
        <v>0</v>
      </c>
      <c r="DZ2019" s="1">
        <v>0</v>
      </c>
      <c r="EA2019" s="52">
        <v>83.8235294117646</v>
      </c>
      <c r="ED2019" s="52">
        <v>83.8235294117646</v>
      </c>
    </row>
    <row r="2020" customHeight="1" spans="1:134">
      <c r="A2020" s="54">
        <v>70</v>
      </c>
      <c r="B2020" s="4" t="s">
        <v>1599</v>
      </c>
      <c r="C2020" s="5" t="s">
        <v>1613</v>
      </c>
      <c r="D2020" s="4" t="s">
        <v>300</v>
      </c>
      <c r="E2020" s="4" t="s">
        <v>1603</v>
      </c>
      <c r="F2020" s="4" t="s">
        <v>328</v>
      </c>
      <c r="G2020" s="4" t="s">
        <v>1611</v>
      </c>
      <c r="N2020" s="4" t="s">
        <v>14</v>
      </c>
      <c r="O2020" s="4" t="s">
        <v>343</v>
      </c>
      <c r="P2020" s="4">
        <v>2</v>
      </c>
      <c r="Q2020" s="4" t="s">
        <v>539</v>
      </c>
      <c r="T2020" s="4">
        <v>50.86</v>
      </c>
      <c r="U2020" s="61">
        <v>0.32</v>
      </c>
      <c r="V2020" s="4">
        <v>33.36</v>
      </c>
      <c r="AG2020" s="4" t="s">
        <v>316</v>
      </c>
      <c r="AH2020" s="4" t="s">
        <v>1608</v>
      </c>
      <c r="AI2020" s="4" t="s">
        <v>1609</v>
      </c>
      <c r="AL2020" s="4" t="s">
        <v>1556</v>
      </c>
      <c r="AM2020" s="4">
        <v>6.56</v>
      </c>
      <c r="AN2020" s="4">
        <v>8.1</v>
      </c>
      <c r="AO2020" s="4">
        <v>168.17</v>
      </c>
      <c r="AQ2020" s="4" t="s">
        <v>7</v>
      </c>
      <c r="AR2020" s="4">
        <v>0.42</v>
      </c>
      <c r="AS2020" s="4" t="s">
        <v>13</v>
      </c>
      <c r="AT2020" s="4">
        <v>253.22</v>
      </c>
      <c r="AU2020" s="4" t="s">
        <v>15</v>
      </c>
      <c r="AV2020" s="4">
        <v>23.62</v>
      </c>
      <c r="AW2020" s="4" t="s">
        <v>12</v>
      </c>
      <c r="AX2020" s="4">
        <v>3.35</v>
      </c>
      <c r="AY2020" s="4" t="s">
        <v>14</v>
      </c>
      <c r="AZ2020" s="4">
        <v>9.55</v>
      </c>
      <c r="BI2020" s="4" t="s">
        <v>321</v>
      </c>
      <c r="BP2020" s="4">
        <v>0.025</v>
      </c>
      <c r="BV2020" s="4" t="s">
        <v>1607</v>
      </c>
      <c r="BW2020" s="4">
        <v>25</v>
      </c>
      <c r="BX2020" s="4">
        <v>75</v>
      </c>
      <c r="CX2020" s="4" t="s">
        <v>314</v>
      </c>
      <c r="DD2020" s="4">
        <v>30.44</v>
      </c>
      <c r="DE2020" s="4">
        <v>26.97</v>
      </c>
      <c r="DO2020" s="57"/>
      <c r="DQ2020" s="58">
        <v>0.40558659217877</v>
      </c>
      <c r="DR2020" s="55"/>
      <c r="DS2020" s="58">
        <v>0.0670391061452519</v>
      </c>
      <c r="DT2020" s="55"/>
      <c r="DY2020" s="1">
        <v>0</v>
      </c>
      <c r="DZ2020" s="1">
        <v>0</v>
      </c>
      <c r="EA2020" s="52">
        <v>83.4710743801651</v>
      </c>
      <c r="ED2020" s="52">
        <v>83.4710743801651</v>
      </c>
    </row>
    <row r="2021" customHeight="1" spans="1:134">
      <c r="A2021" s="54">
        <v>70</v>
      </c>
      <c r="B2021" s="4" t="s">
        <v>1599</v>
      </c>
      <c r="C2021" s="5" t="s">
        <v>1613</v>
      </c>
      <c r="D2021" s="4" t="s">
        <v>300</v>
      </c>
      <c r="E2021" s="4" t="s">
        <v>1603</v>
      </c>
      <c r="F2021" s="4" t="s">
        <v>328</v>
      </c>
      <c r="G2021" s="4" t="s">
        <v>1611</v>
      </c>
      <c r="N2021" s="4" t="s">
        <v>14</v>
      </c>
      <c r="O2021" s="4" t="s">
        <v>343</v>
      </c>
      <c r="P2021" s="4">
        <v>2</v>
      </c>
      <c r="Q2021" s="4" t="s">
        <v>539</v>
      </c>
      <c r="T2021" s="4">
        <v>50.86</v>
      </c>
      <c r="U2021" s="61">
        <v>0.32</v>
      </c>
      <c r="V2021" s="4">
        <v>33.36</v>
      </c>
      <c r="AG2021" s="4" t="s">
        <v>316</v>
      </c>
      <c r="AH2021" s="4" t="s">
        <v>1608</v>
      </c>
      <c r="AI2021" s="4" t="s">
        <v>1609</v>
      </c>
      <c r="AL2021" s="4" t="s">
        <v>1556</v>
      </c>
      <c r="AM2021" s="4">
        <v>6.56</v>
      </c>
      <c r="AN2021" s="4">
        <v>8.1</v>
      </c>
      <c r="AO2021" s="4">
        <v>168.17</v>
      </c>
      <c r="AQ2021" s="4" t="s">
        <v>7</v>
      </c>
      <c r="AR2021" s="4">
        <v>0.42</v>
      </c>
      <c r="AS2021" s="4" t="s">
        <v>13</v>
      </c>
      <c r="AT2021" s="4">
        <v>253.22</v>
      </c>
      <c r="AU2021" s="4" t="s">
        <v>15</v>
      </c>
      <c r="AV2021" s="4">
        <v>23.62</v>
      </c>
      <c r="AW2021" s="4" t="s">
        <v>12</v>
      </c>
      <c r="AX2021" s="4">
        <v>3.35</v>
      </c>
      <c r="AY2021" s="4" t="s">
        <v>14</v>
      </c>
      <c r="AZ2021" s="4">
        <v>9.55</v>
      </c>
      <c r="BI2021" s="4" t="s">
        <v>321</v>
      </c>
      <c r="BP2021" s="4">
        <v>0.025</v>
      </c>
      <c r="BV2021" s="4" t="s">
        <v>1552</v>
      </c>
      <c r="BW2021" s="4">
        <v>25</v>
      </c>
      <c r="BX2021" s="4">
        <v>75</v>
      </c>
      <c r="CX2021" s="4" t="s">
        <v>314</v>
      </c>
      <c r="DD2021" s="4">
        <v>30.44</v>
      </c>
      <c r="DE2021" s="4">
        <v>26.97</v>
      </c>
      <c r="DO2021" s="57"/>
      <c r="DQ2021" s="58">
        <v>0.353072625698323</v>
      </c>
      <c r="DR2021" s="55"/>
      <c r="DS2021" s="58">
        <v>0.0402234636871508</v>
      </c>
      <c r="DT2021" s="55"/>
      <c r="DY2021" s="1">
        <v>0</v>
      </c>
      <c r="DZ2021" s="1">
        <v>0</v>
      </c>
      <c r="EA2021" s="52">
        <v>88.6075949367088</v>
      </c>
      <c r="ED2021" s="52">
        <v>88.6075949367088</v>
      </c>
    </row>
    <row r="2022" customHeight="1" spans="1:134">
      <c r="A2022" s="54">
        <v>70</v>
      </c>
      <c r="B2022" s="4" t="s">
        <v>1599</v>
      </c>
      <c r="C2022" s="5" t="s">
        <v>1613</v>
      </c>
      <c r="D2022" s="4" t="s">
        <v>300</v>
      </c>
      <c r="E2022" s="4" t="s">
        <v>1603</v>
      </c>
      <c r="F2022" s="4" t="s">
        <v>328</v>
      </c>
      <c r="G2022" s="4" t="s">
        <v>1611</v>
      </c>
      <c r="N2022" s="4" t="s">
        <v>14</v>
      </c>
      <c r="O2022" s="4" t="s">
        <v>343</v>
      </c>
      <c r="P2022" s="4">
        <v>2</v>
      </c>
      <c r="Q2022" s="4" t="s">
        <v>539</v>
      </c>
      <c r="T2022" s="4">
        <v>50.86</v>
      </c>
      <c r="U2022" s="61">
        <v>0.32</v>
      </c>
      <c r="V2022" s="4">
        <v>33.36</v>
      </c>
      <c r="AG2022" s="4" t="s">
        <v>316</v>
      </c>
      <c r="AH2022" s="4" t="s">
        <v>1608</v>
      </c>
      <c r="AI2022" s="4" t="s">
        <v>1609</v>
      </c>
      <c r="AL2022" s="4" t="s">
        <v>1556</v>
      </c>
      <c r="AM2022" s="4">
        <v>6.56</v>
      </c>
      <c r="AN2022" s="4">
        <v>8.1</v>
      </c>
      <c r="AO2022" s="4">
        <v>168.17</v>
      </c>
      <c r="AQ2022" s="4" t="s">
        <v>7</v>
      </c>
      <c r="AR2022" s="4">
        <v>0.42</v>
      </c>
      <c r="AS2022" s="4" t="s">
        <v>13</v>
      </c>
      <c r="AT2022" s="4">
        <v>253.22</v>
      </c>
      <c r="AU2022" s="4" t="s">
        <v>15</v>
      </c>
      <c r="AV2022" s="4">
        <v>23.62</v>
      </c>
      <c r="AW2022" s="4" t="s">
        <v>12</v>
      </c>
      <c r="AX2022" s="4">
        <v>3.35</v>
      </c>
      <c r="AY2022" s="4" t="s">
        <v>14</v>
      </c>
      <c r="AZ2022" s="4">
        <v>9.55</v>
      </c>
      <c r="BI2022" s="4" t="s">
        <v>321</v>
      </c>
      <c r="BP2022" s="4">
        <v>0.025</v>
      </c>
      <c r="BV2022" s="4" t="s">
        <v>488</v>
      </c>
      <c r="BW2022" s="4">
        <v>25</v>
      </c>
      <c r="BX2022" s="4">
        <v>75</v>
      </c>
      <c r="CX2022" s="4" t="s">
        <v>314</v>
      </c>
      <c r="DD2022" s="4">
        <v>30.44</v>
      </c>
      <c r="DE2022" s="4">
        <v>26.97</v>
      </c>
      <c r="DO2022" s="57"/>
      <c r="DQ2022" s="58">
        <v>0.4</v>
      </c>
      <c r="DR2022" s="55"/>
      <c r="DS2022" s="58">
        <v>0.0636871508379887</v>
      </c>
      <c r="DT2022" s="55"/>
      <c r="DY2022" s="1">
        <v>0</v>
      </c>
      <c r="DZ2022" s="1">
        <v>0</v>
      </c>
      <c r="EA2022" s="52">
        <v>84.0782122905028</v>
      </c>
      <c r="ED2022" s="52">
        <v>84.0782122905028</v>
      </c>
    </row>
    <row r="2023" customHeight="1" spans="1:134">
      <c r="A2023" s="54">
        <v>70</v>
      </c>
      <c r="B2023" s="4" t="s">
        <v>1599</v>
      </c>
      <c r="C2023" s="5" t="s">
        <v>1613</v>
      </c>
      <c r="D2023" s="4" t="s">
        <v>300</v>
      </c>
      <c r="E2023" s="4" t="s">
        <v>1603</v>
      </c>
      <c r="F2023" s="4" t="s">
        <v>328</v>
      </c>
      <c r="G2023" s="4" t="s">
        <v>1611</v>
      </c>
      <c r="N2023" s="4" t="s">
        <v>14</v>
      </c>
      <c r="O2023" s="4" t="s">
        <v>343</v>
      </c>
      <c r="P2023" s="4">
        <v>2</v>
      </c>
      <c r="Q2023" s="4" t="s">
        <v>539</v>
      </c>
      <c r="T2023" s="4">
        <v>50.86</v>
      </c>
      <c r="U2023" s="61">
        <v>0.32</v>
      </c>
      <c r="V2023" s="4">
        <v>33.36</v>
      </c>
      <c r="AG2023" s="4" t="s">
        <v>316</v>
      </c>
      <c r="AH2023" s="4" t="s">
        <v>1608</v>
      </c>
      <c r="AI2023" s="4" t="s">
        <v>1609</v>
      </c>
      <c r="AL2023" s="4" t="s">
        <v>1556</v>
      </c>
      <c r="AM2023" s="4">
        <v>6.56</v>
      </c>
      <c r="AN2023" s="4">
        <v>8.1</v>
      </c>
      <c r="AO2023" s="4">
        <v>168.17</v>
      </c>
      <c r="AQ2023" s="4" t="s">
        <v>7</v>
      </c>
      <c r="AR2023" s="4">
        <v>0.42</v>
      </c>
      <c r="AS2023" s="4" t="s">
        <v>13</v>
      </c>
      <c r="AT2023" s="4">
        <v>253.22</v>
      </c>
      <c r="AU2023" s="4" t="s">
        <v>15</v>
      </c>
      <c r="AV2023" s="4">
        <v>23.62</v>
      </c>
      <c r="AW2023" s="4" t="s">
        <v>12</v>
      </c>
      <c r="AX2023" s="4">
        <v>3.35</v>
      </c>
      <c r="AY2023" s="4" t="s">
        <v>14</v>
      </c>
      <c r="AZ2023" s="4">
        <v>9.55</v>
      </c>
      <c r="BI2023" s="4" t="s">
        <v>321</v>
      </c>
      <c r="BP2023" s="4">
        <v>0.05</v>
      </c>
      <c r="BV2023" s="4" t="s">
        <v>1606</v>
      </c>
      <c r="BW2023" s="4">
        <v>25</v>
      </c>
      <c r="BX2023" s="4">
        <v>75</v>
      </c>
      <c r="CX2023" s="4" t="s">
        <v>314</v>
      </c>
      <c r="DD2023" s="4">
        <v>30.44</v>
      </c>
      <c r="DE2023" s="4">
        <v>26.97</v>
      </c>
      <c r="DO2023" s="57"/>
      <c r="DQ2023" s="58">
        <v>0.303910614525139</v>
      </c>
      <c r="DR2023" s="55"/>
      <c r="DS2023" s="58">
        <v>0.035754189944134</v>
      </c>
      <c r="DT2023" s="55"/>
      <c r="DY2023" s="1">
        <v>0</v>
      </c>
      <c r="DZ2023" s="1">
        <v>0</v>
      </c>
      <c r="EA2023" s="52">
        <v>88.2352941176471</v>
      </c>
      <c r="ED2023" s="52">
        <v>88.2352941176471</v>
      </c>
    </row>
    <row r="2024" customHeight="1" spans="1:134">
      <c r="A2024" s="54">
        <v>70</v>
      </c>
      <c r="B2024" s="4" t="s">
        <v>1599</v>
      </c>
      <c r="C2024" s="5" t="s">
        <v>1613</v>
      </c>
      <c r="D2024" s="4" t="s">
        <v>300</v>
      </c>
      <c r="E2024" s="4" t="s">
        <v>1603</v>
      </c>
      <c r="F2024" s="4" t="s">
        <v>328</v>
      </c>
      <c r="G2024" s="4" t="s">
        <v>1611</v>
      </c>
      <c r="N2024" s="4" t="s">
        <v>14</v>
      </c>
      <c r="O2024" s="4" t="s">
        <v>343</v>
      </c>
      <c r="P2024" s="4">
        <v>2</v>
      </c>
      <c r="Q2024" s="4" t="s">
        <v>539</v>
      </c>
      <c r="T2024" s="4">
        <v>50.86</v>
      </c>
      <c r="U2024" s="61">
        <v>0.32</v>
      </c>
      <c r="V2024" s="4">
        <v>33.36</v>
      </c>
      <c r="AG2024" s="4" t="s">
        <v>316</v>
      </c>
      <c r="AH2024" s="4" t="s">
        <v>1608</v>
      </c>
      <c r="AI2024" s="4" t="s">
        <v>1609</v>
      </c>
      <c r="AL2024" s="4" t="s">
        <v>1556</v>
      </c>
      <c r="AM2024" s="4">
        <v>6.56</v>
      </c>
      <c r="AN2024" s="4">
        <v>8.1</v>
      </c>
      <c r="AO2024" s="4">
        <v>168.17</v>
      </c>
      <c r="AQ2024" s="4" t="s">
        <v>7</v>
      </c>
      <c r="AR2024" s="4">
        <v>0.42</v>
      </c>
      <c r="AS2024" s="4" t="s">
        <v>13</v>
      </c>
      <c r="AT2024" s="4">
        <v>253.22</v>
      </c>
      <c r="AU2024" s="4" t="s">
        <v>15</v>
      </c>
      <c r="AV2024" s="4">
        <v>23.62</v>
      </c>
      <c r="AW2024" s="4" t="s">
        <v>12</v>
      </c>
      <c r="AX2024" s="4">
        <v>3.35</v>
      </c>
      <c r="AY2024" s="4" t="s">
        <v>14</v>
      </c>
      <c r="AZ2024" s="4">
        <v>9.55</v>
      </c>
      <c r="BI2024" s="4" t="s">
        <v>321</v>
      </c>
      <c r="BP2024" s="4">
        <v>0.05</v>
      </c>
      <c r="BV2024" s="4" t="s">
        <v>1607</v>
      </c>
      <c r="BW2024" s="4">
        <v>25</v>
      </c>
      <c r="BX2024" s="4">
        <v>75</v>
      </c>
      <c r="CX2024" s="4" t="s">
        <v>314</v>
      </c>
      <c r="DD2024" s="4">
        <v>30.44</v>
      </c>
      <c r="DE2024" s="4">
        <v>26.97</v>
      </c>
      <c r="DO2024" s="57"/>
      <c r="DQ2024" s="58">
        <v>0.40558659217877</v>
      </c>
      <c r="DR2024" s="55"/>
      <c r="DS2024" s="58">
        <v>0.0581005586592178</v>
      </c>
      <c r="DT2024" s="55"/>
      <c r="DY2024" s="1">
        <v>0</v>
      </c>
      <c r="DZ2024" s="1">
        <v>0</v>
      </c>
      <c r="EA2024" s="52">
        <v>85.6749311294766</v>
      </c>
      <c r="ED2024" s="52">
        <v>85.6749311294766</v>
      </c>
    </row>
    <row r="2025" customHeight="1" spans="1:134">
      <c r="A2025" s="54">
        <v>70</v>
      </c>
      <c r="B2025" s="4" t="s">
        <v>1599</v>
      </c>
      <c r="C2025" s="5" t="s">
        <v>1613</v>
      </c>
      <c r="D2025" s="4" t="s">
        <v>300</v>
      </c>
      <c r="E2025" s="4" t="s">
        <v>1603</v>
      </c>
      <c r="F2025" s="4" t="s">
        <v>328</v>
      </c>
      <c r="G2025" s="4" t="s">
        <v>1611</v>
      </c>
      <c r="N2025" s="4" t="s">
        <v>14</v>
      </c>
      <c r="O2025" s="4" t="s">
        <v>343</v>
      </c>
      <c r="P2025" s="4">
        <v>2</v>
      </c>
      <c r="Q2025" s="4" t="s">
        <v>539</v>
      </c>
      <c r="T2025" s="4">
        <v>50.86</v>
      </c>
      <c r="U2025" s="61">
        <v>0.32</v>
      </c>
      <c r="V2025" s="4">
        <v>33.36</v>
      </c>
      <c r="AG2025" s="4" t="s">
        <v>316</v>
      </c>
      <c r="AH2025" s="4" t="s">
        <v>1608</v>
      </c>
      <c r="AI2025" s="4" t="s">
        <v>1609</v>
      </c>
      <c r="AL2025" s="4" t="s">
        <v>1556</v>
      </c>
      <c r="AM2025" s="4">
        <v>6.56</v>
      </c>
      <c r="AN2025" s="4">
        <v>8.1</v>
      </c>
      <c r="AO2025" s="4">
        <v>168.17</v>
      </c>
      <c r="AQ2025" s="4" t="s">
        <v>7</v>
      </c>
      <c r="AR2025" s="4">
        <v>0.42</v>
      </c>
      <c r="AS2025" s="4" t="s">
        <v>13</v>
      </c>
      <c r="AT2025" s="4">
        <v>253.22</v>
      </c>
      <c r="AU2025" s="4" t="s">
        <v>15</v>
      </c>
      <c r="AV2025" s="4">
        <v>23.62</v>
      </c>
      <c r="AW2025" s="4" t="s">
        <v>12</v>
      </c>
      <c r="AX2025" s="4">
        <v>3.35</v>
      </c>
      <c r="AY2025" s="4" t="s">
        <v>14</v>
      </c>
      <c r="AZ2025" s="4">
        <v>9.55</v>
      </c>
      <c r="BI2025" s="4" t="s">
        <v>321</v>
      </c>
      <c r="BP2025" s="4">
        <v>0.05</v>
      </c>
      <c r="BV2025" s="4" t="s">
        <v>1552</v>
      </c>
      <c r="BW2025" s="4">
        <v>25</v>
      </c>
      <c r="BX2025" s="4">
        <v>75</v>
      </c>
      <c r="CX2025" s="4" t="s">
        <v>314</v>
      </c>
      <c r="DD2025" s="4">
        <v>30.44</v>
      </c>
      <c r="DE2025" s="4">
        <v>26.97</v>
      </c>
      <c r="DO2025" s="57"/>
      <c r="DQ2025" s="58">
        <v>0.353072625698323</v>
      </c>
      <c r="DR2025" s="55"/>
      <c r="DS2025" s="58">
        <v>0.0368715083798876</v>
      </c>
      <c r="DT2025" s="55"/>
      <c r="DY2025" s="1">
        <v>0</v>
      </c>
      <c r="DZ2025" s="1">
        <v>0</v>
      </c>
      <c r="EA2025" s="52">
        <v>89.5569620253166</v>
      </c>
      <c r="ED2025" s="52">
        <v>89.5569620253166</v>
      </c>
    </row>
    <row r="2026" customHeight="1" spans="1:134">
      <c r="A2026" s="54">
        <v>70</v>
      </c>
      <c r="B2026" s="4" t="s">
        <v>1599</v>
      </c>
      <c r="C2026" s="5" t="s">
        <v>1613</v>
      </c>
      <c r="D2026" s="4" t="s">
        <v>300</v>
      </c>
      <c r="E2026" s="4" t="s">
        <v>1603</v>
      </c>
      <c r="F2026" s="4" t="s">
        <v>328</v>
      </c>
      <c r="G2026" s="4" t="s">
        <v>1611</v>
      </c>
      <c r="N2026" s="4" t="s">
        <v>14</v>
      </c>
      <c r="O2026" s="4" t="s">
        <v>343</v>
      </c>
      <c r="P2026" s="4">
        <v>2</v>
      </c>
      <c r="Q2026" s="4" t="s">
        <v>539</v>
      </c>
      <c r="T2026" s="4">
        <v>50.86</v>
      </c>
      <c r="U2026" s="61">
        <v>0.32</v>
      </c>
      <c r="V2026" s="4">
        <v>33.36</v>
      </c>
      <c r="AG2026" s="4" t="s">
        <v>316</v>
      </c>
      <c r="AH2026" s="4" t="s">
        <v>1608</v>
      </c>
      <c r="AI2026" s="4" t="s">
        <v>1609</v>
      </c>
      <c r="AL2026" s="4" t="s">
        <v>1556</v>
      </c>
      <c r="AM2026" s="4">
        <v>6.56</v>
      </c>
      <c r="AN2026" s="4">
        <v>8.1</v>
      </c>
      <c r="AO2026" s="4">
        <v>168.17</v>
      </c>
      <c r="AQ2026" s="4" t="s">
        <v>7</v>
      </c>
      <c r="AR2026" s="4">
        <v>0.42</v>
      </c>
      <c r="AS2026" s="4" t="s">
        <v>13</v>
      </c>
      <c r="AT2026" s="4">
        <v>253.22</v>
      </c>
      <c r="AU2026" s="4" t="s">
        <v>15</v>
      </c>
      <c r="AV2026" s="4">
        <v>23.62</v>
      </c>
      <c r="AW2026" s="4" t="s">
        <v>12</v>
      </c>
      <c r="AX2026" s="4">
        <v>3.35</v>
      </c>
      <c r="AY2026" s="4" t="s">
        <v>14</v>
      </c>
      <c r="AZ2026" s="4">
        <v>9.55</v>
      </c>
      <c r="BI2026" s="4" t="s">
        <v>321</v>
      </c>
      <c r="BP2026" s="4">
        <v>0.05</v>
      </c>
      <c r="BV2026" s="4" t="s">
        <v>488</v>
      </c>
      <c r="BW2026" s="4">
        <v>25</v>
      </c>
      <c r="BX2026" s="4">
        <v>75</v>
      </c>
      <c r="CX2026" s="4" t="s">
        <v>314</v>
      </c>
      <c r="DD2026" s="4">
        <v>30.44</v>
      </c>
      <c r="DE2026" s="4">
        <v>26.97</v>
      </c>
      <c r="DO2026" s="57"/>
      <c r="DQ2026" s="58">
        <v>0.4</v>
      </c>
      <c r="DR2026" s="55"/>
      <c r="DS2026" s="58">
        <v>0.035754189944134</v>
      </c>
      <c r="DT2026" s="55"/>
      <c r="DY2026" s="1">
        <v>0</v>
      </c>
      <c r="DZ2026" s="1">
        <v>0</v>
      </c>
      <c r="EA2026" s="52">
        <v>91.0614525139665</v>
      </c>
      <c r="ED2026" s="52">
        <v>91.0614525139665</v>
      </c>
    </row>
    <row r="2027" customHeight="1" spans="1:134">
      <c r="A2027" s="54">
        <v>70</v>
      </c>
      <c r="B2027" s="4" t="s">
        <v>1599</v>
      </c>
      <c r="C2027" s="5" t="s">
        <v>1613</v>
      </c>
      <c r="D2027" s="4" t="s">
        <v>300</v>
      </c>
      <c r="E2027" s="4" t="s">
        <v>1603</v>
      </c>
      <c r="F2027" s="4" t="s">
        <v>328</v>
      </c>
      <c r="G2027" s="4" t="s">
        <v>1611</v>
      </c>
      <c r="N2027" s="4" t="s">
        <v>14</v>
      </c>
      <c r="O2027" s="4" t="s">
        <v>343</v>
      </c>
      <c r="P2027" s="4">
        <v>2</v>
      </c>
      <c r="Q2027" s="4" t="s">
        <v>539</v>
      </c>
      <c r="T2027" s="4">
        <v>50.86</v>
      </c>
      <c r="U2027" s="61">
        <v>0.32</v>
      </c>
      <c r="V2027" s="4">
        <v>33.36</v>
      </c>
      <c r="AG2027" s="4" t="s">
        <v>316</v>
      </c>
      <c r="AH2027" s="4" t="s">
        <v>1608</v>
      </c>
      <c r="AI2027" s="4" t="s">
        <v>1609</v>
      </c>
      <c r="AL2027" s="4" t="s">
        <v>1556</v>
      </c>
      <c r="AM2027" s="4">
        <v>6.56</v>
      </c>
      <c r="AN2027" s="4">
        <v>8.1</v>
      </c>
      <c r="AO2027" s="4">
        <v>168.17</v>
      </c>
      <c r="AQ2027" s="4" t="s">
        <v>7</v>
      </c>
      <c r="AR2027" s="4">
        <v>0.42</v>
      </c>
      <c r="AS2027" s="4" t="s">
        <v>13</v>
      </c>
      <c r="AT2027" s="4">
        <v>253.22</v>
      </c>
      <c r="AU2027" s="4" t="s">
        <v>15</v>
      </c>
      <c r="AV2027" s="4">
        <v>23.62</v>
      </c>
      <c r="AW2027" s="4" t="s">
        <v>12</v>
      </c>
      <c r="AX2027" s="4">
        <v>3.35</v>
      </c>
      <c r="AY2027" s="4" t="s">
        <v>14</v>
      </c>
      <c r="AZ2027" s="4">
        <v>9.55</v>
      </c>
      <c r="BI2027" s="4" t="s">
        <v>321</v>
      </c>
      <c r="BP2027" s="4">
        <v>0.1</v>
      </c>
      <c r="BV2027" s="4" t="s">
        <v>1606</v>
      </c>
      <c r="BW2027" s="4">
        <v>25</v>
      </c>
      <c r="BX2027" s="4">
        <v>75</v>
      </c>
      <c r="CX2027" s="4" t="s">
        <v>314</v>
      </c>
      <c r="DD2027" s="4">
        <v>30.44</v>
      </c>
      <c r="DE2027" s="4">
        <v>26.97</v>
      </c>
      <c r="DO2027" s="57"/>
      <c r="DQ2027" s="58">
        <v>0.303910614525139</v>
      </c>
      <c r="DR2027" s="55"/>
      <c r="DS2027" s="58">
        <v>0.054748603351955</v>
      </c>
      <c r="DT2027" s="55"/>
      <c r="DY2027" s="1">
        <v>0</v>
      </c>
      <c r="DZ2027" s="1">
        <v>0</v>
      </c>
      <c r="EA2027" s="52">
        <v>81.9852941176471</v>
      </c>
      <c r="ED2027" s="52">
        <v>81.9852941176471</v>
      </c>
    </row>
    <row r="2028" customHeight="1" spans="1:134">
      <c r="A2028" s="54">
        <v>70</v>
      </c>
      <c r="B2028" s="4" t="s">
        <v>1599</v>
      </c>
      <c r="C2028" s="5" t="s">
        <v>1613</v>
      </c>
      <c r="D2028" s="4" t="s">
        <v>300</v>
      </c>
      <c r="E2028" s="4" t="s">
        <v>1603</v>
      </c>
      <c r="F2028" s="4" t="s">
        <v>328</v>
      </c>
      <c r="G2028" s="4" t="s">
        <v>1611</v>
      </c>
      <c r="N2028" s="4" t="s">
        <v>14</v>
      </c>
      <c r="O2028" s="4" t="s">
        <v>343</v>
      </c>
      <c r="P2028" s="4">
        <v>2</v>
      </c>
      <c r="Q2028" s="4" t="s">
        <v>539</v>
      </c>
      <c r="T2028" s="4">
        <v>50.86</v>
      </c>
      <c r="U2028" s="61">
        <v>0.32</v>
      </c>
      <c r="V2028" s="4">
        <v>33.36</v>
      </c>
      <c r="AG2028" s="4" t="s">
        <v>316</v>
      </c>
      <c r="AH2028" s="4" t="s">
        <v>1608</v>
      </c>
      <c r="AI2028" s="4" t="s">
        <v>1609</v>
      </c>
      <c r="AL2028" s="4" t="s">
        <v>1556</v>
      </c>
      <c r="AM2028" s="4">
        <v>6.56</v>
      </c>
      <c r="AN2028" s="4">
        <v>8.1</v>
      </c>
      <c r="AO2028" s="4">
        <v>168.17</v>
      </c>
      <c r="AQ2028" s="4" t="s">
        <v>7</v>
      </c>
      <c r="AR2028" s="4">
        <v>0.42</v>
      </c>
      <c r="AS2028" s="4" t="s">
        <v>13</v>
      </c>
      <c r="AT2028" s="4">
        <v>253.22</v>
      </c>
      <c r="AU2028" s="4" t="s">
        <v>15</v>
      </c>
      <c r="AV2028" s="4">
        <v>23.62</v>
      </c>
      <c r="AW2028" s="4" t="s">
        <v>12</v>
      </c>
      <c r="AX2028" s="4">
        <v>3.35</v>
      </c>
      <c r="AY2028" s="4" t="s">
        <v>14</v>
      </c>
      <c r="AZ2028" s="4">
        <v>9.55</v>
      </c>
      <c r="BI2028" s="4" t="s">
        <v>321</v>
      </c>
      <c r="BP2028" s="4">
        <v>0.1</v>
      </c>
      <c r="BV2028" s="4" t="s">
        <v>1607</v>
      </c>
      <c r="BW2028" s="4">
        <v>25</v>
      </c>
      <c r="BX2028" s="4">
        <v>75</v>
      </c>
      <c r="CX2028" s="4" t="s">
        <v>314</v>
      </c>
      <c r="DD2028" s="4">
        <v>30.44</v>
      </c>
      <c r="DE2028" s="4">
        <v>26.97</v>
      </c>
      <c r="DO2028" s="57"/>
      <c r="DQ2028" s="58">
        <v>0.40558659217877</v>
      </c>
      <c r="DR2028" s="55"/>
      <c r="DS2028" s="58">
        <v>0.0670391061452515</v>
      </c>
      <c r="DT2028" s="55"/>
      <c r="DY2028" s="1">
        <v>0</v>
      </c>
      <c r="DZ2028" s="1">
        <v>0</v>
      </c>
      <c r="EA2028" s="52">
        <v>83.4710743801652</v>
      </c>
      <c r="ED2028" s="52">
        <v>83.4710743801652</v>
      </c>
    </row>
    <row r="2029" customHeight="1" spans="1:134">
      <c r="A2029" s="54">
        <v>70</v>
      </c>
      <c r="B2029" s="4" t="s">
        <v>1599</v>
      </c>
      <c r="C2029" s="5" t="s">
        <v>1613</v>
      </c>
      <c r="D2029" s="4" t="s">
        <v>300</v>
      </c>
      <c r="E2029" s="4" t="s">
        <v>1603</v>
      </c>
      <c r="F2029" s="4" t="s">
        <v>328</v>
      </c>
      <c r="G2029" s="4" t="s">
        <v>1611</v>
      </c>
      <c r="N2029" s="4" t="s">
        <v>14</v>
      </c>
      <c r="O2029" s="4" t="s">
        <v>343</v>
      </c>
      <c r="P2029" s="4">
        <v>2</v>
      </c>
      <c r="Q2029" s="4" t="s">
        <v>539</v>
      </c>
      <c r="T2029" s="4">
        <v>50.86</v>
      </c>
      <c r="U2029" s="61">
        <v>0.32</v>
      </c>
      <c r="V2029" s="4">
        <v>33.36</v>
      </c>
      <c r="AG2029" s="4" t="s">
        <v>316</v>
      </c>
      <c r="AH2029" s="4" t="s">
        <v>1608</v>
      </c>
      <c r="AI2029" s="4" t="s">
        <v>1609</v>
      </c>
      <c r="AL2029" s="4" t="s">
        <v>1556</v>
      </c>
      <c r="AM2029" s="4">
        <v>6.56</v>
      </c>
      <c r="AN2029" s="4">
        <v>8.1</v>
      </c>
      <c r="AO2029" s="4">
        <v>168.17</v>
      </c>
      <c r="AQ2029" s="4" t="s">
        <v>7</v>
      </c>
      <c r="AR2029" s="4">
        <v>0.42</v>
      </c>
      <c r="AS2029" s="4" t="s">
        <v>13</v>
      </c>
      <c r="AT2029" s="4">
        <v>253.22</v>
      </c>
      <c r="AU2029" s="4" t="s">
        <v>15</v>
      </c>
      <c r="AV2029" s="4">
        <v>23.62</v>
      </c>
      <c r="AW2029" s="4" t="s">
        <v>12</v>
      </c>
      <c r="AX2029" s="4">
        <v>3.35</v>
      </c>
      <c r="AY2029" s="4" t="s">
        <v>14</v>
      </c>
      <c r="AZ2029" s="4">
        <v>9.55</v>
      </c>
      <c r="BI2029" s="4" t="s">
        <v>321</v>
      </c>
      <c r="BP2029" s="4">
        <v>0.1</v>
      </c>
      <c r="BV2029" s="4" t="s">
        <v>1552</v>
      </c>
      <c r="BW2029" s="4">
        <v>25</v>
      </c>
      <c r="BX2029" s="4">
        <v>75</v>
      </c>
      <c r="CX2029" s="4" t="s">
        <v>314</v>
      </c>
      <c r="DD2029" s="4">
        <v>30.44</v>
      </c>
      <c r="DE2029" s="4">
        <v>26.97</v>
      </c>
      <c r="DO2029" s="57"/>
      <c r="DQ2029" s="58">
        <v>0.353072625698323</v>
      </c>
      <c r="DR2029" s="55"/>
      <c r="DS2029" s="58">
        <v>0.0335195530726255</v>
      </c>
      <c r="DT2029" s="55"/>
      <c r="DY2029" s="1">
        <v>0</v>
      </c>
      <c r="DZ2029" s="1">
        <v>0</v>
      </c>
      <c r="EA2029" s="52">
        <v>90.5063291139241</v>
      </c>
      <c r="ED2029" s="52">
        <v>90.5063291139241</v>
      </c>
    </row>
    <row r="2030" customHeight="1" spans="1:134">
      <c r="A2030" s="54">
        <v>70</v>
      </c>
      <c r="B2030" s="4" t="s">
        <v>1599</v>
      </c>
      <c r="C2030" s="5" t="s">
        <v>1613</v>
      </c>
      <c r="D2030" s="4" t="s">
        <v>300</v>
      </c>
      <c r="E2030" s="4" t="s">
        <v>1603</v>
      </c>
      <c r="F2030" s="4" t="s">
        <v>328</v>
      </c>
      <c r="G2030" s="4" t="s">
        <v>1611</v>
      </c>
      <c r="N2030" s="4" t="s">
        <v>14</v>
      </c>
      <c r="O2030" s="4" t="s">
        <v>343</v>
      </c>
      <c r="P2030" s="4">
        <v>2</v>
      </c>
      <c r="Q2030" s="4" t="s">
        <v>539</v>
      </c>
      <c r="T2030" s="4">
        <v>50.86</v>
      </c>
      <c r="U2030" s="61">
        <v>0.32</v>
      </c>
      <c r="V2030" s="4">
        <v>33.36</v>
      </c>
      <c r="AG2030" s="4" t="s">
        <v>316</v>
      </c>
      <c r="AH2030" s="4" t="s">
        <v>1608</v>
      </c>
      <c r="AI2030" s="4" t="s">
        <v>1609</v>
      </c>
      <c r="AL2030" s="4" t="s">
        <v>1556</v>
      </c>
      <c r="AM2030" s="4">
        <v>6.56</v>
      </c>
      <c r="AN2030" s="4">
        <v>8.1</v>
      </c>
      <c r="AO2030" s="4">
        <v>168.17</v>
      </c>
      <c r="AQ2030" s="4" t="s">
        <v>7</v>
      </c>
      <c r="AR2030" s="4">
        <v>0.42</v>
      </c>
      <c r="AS2030" s="4" t="s">
        <v>13</v>
      </c>
      <c r="AT2030" s="4">
        <v>253.22</v>
      </c>
      <c r="AU2030" s="4" t="s">
        <v>15</v>
      </c>
      <c r="AV2030" s="4">
        <v>23.62</v>
      </c>
      <c r="AW2030" s="4" t="s">
        <v>12</v>
      </c>
      <c r="AX2030" s="4">
        <v>3.35</v>
      </c>
      <c r="AY2030" s="4" t="s">
        <v>14</v>
      </c>
      <c r="AZ2030" s="4">
        <v>9.55</v>
      </c>
      <c r="BI2030" s="4" t="s">
        <v>321</v>
      </c>
      <c r="BP2030" s="4">
        <v>0.1</v>
      </c>
      <c r="BV2030" s="4" t="s">
        <v>488</v>
      </c>
      <c r="BW2030" s="4">
        <v>25</v>
      </c>
      <c r="BX2030" s="4">
        <v>75</v>
      </c>
      <c r="CX2030" s="4" t="s">
        <v>314</v>
      </c>
      <c r="DD2030" s="4">
        <v>30.44</v>
      </c>
      <c r="DE2030" s="4">
        <v>26.97</v>
      </c>
      <c r="DO2030" s="57"/>
      <c r="DQ2030" s="58">
        <v>0.4</v>
      </c>
      <c r="DR2030" s="55"/>
      <c r="DS2030" s="58">
        <v>0.0491620111731845</v>
      </c>
      <c r="DT2030" s="55"/>
      <c r="DY2030" s="1">
        <v>0</v>
      </c>
      <c r="DZ2030" s="1">
        <v>0</v>
      </c>
      <c r="EA2030" s="52">
        <v>87.7094972067039</v>
      </c>
      <c r="ED2030" s="52">
        <v>87.7094972067039</v>
      </c>
    </row>
    <row r="2031" customHeight="1" spans="1:134">
      <c r="A2031" s="54">
        <v>70</v>
      </c>
      <c r="B2031" s="4" t="s">
        <v>1599</v>
      </c>
      <c r="C2031" s="5" t="s">
        <v>1614</v>
      </c>
      <c r="D2031" s="4" t="s">
        <v>300</v>
      </c>
      <c r="E2031" s="4" t="s">
        <v>1603</v>
      </c>
      <c r="F2031" s="4" t="s">
        <v>328</v>
      </c>
      <c r="G2031" s="4" t="s">
        <v>1611</v>
      </c>
      <c r="N2031" s="4" t="s">
        <v>14</v>
      </c>
      <c r="O2031" s="4" t="s">
        <v>343</v>
      </c>
      <c r="P2031" s="4">
        <v>2</v>
      </c>
      <c r="Q2031" s="4" t="s">
        <v>539</v>
      </c>
      <c r="T2031" s="4">
        <v>110.13</v>
      </c>
      <c r="U2031" s="4">
        <v>0.519</v>
      </c>
      <c r="V2031" s="4">
        <v>17.37</v>
      </c>
      <c r="AG2031" s="4" t="s">
        <v>316</v>
      </c>
      <c r="AH2031" s="4" t="s">
        <v>1601</v>
      </c>
      <c r="AI2031" s="4" t="s">
        <v>1602</v>
      </c>
      <c r="AL2031" s="4" t="s">
        <v>1556</v>
      </c>
      <c r="AM2031" s="4">
        <v>8.78</v>
      </c>
      <c r="AN2031" s="4">
        <v>4.32</v>
      </c>
      <c r="AO2031" s="4">
        <v>180.29</v>
      </c>
      <c r="AQ2031" s="4" t="s">
        <v>7</v>
      </c>
      <c r="AR2031" s="4">
        <v>1.25</v>
      </c>
      <c r="AS2031" s="4" t="s">
        <v>13</v>
      </c>
      <c r="AT2031" s="4">
        <v>138.52</v>
      </c>
      <c r="AU2031" s="4" t="s">
        <v>15</v>
      </c>
      <c r="AV2031" s="4">
        <v>27.65</v>
      </c>
      <c r="AW2031" s="4" t="s">
        <v>12</v>
      </c>
      <c r="AX2031" s="4">
        <v>2.44</v>
      </c>
      <c r="AY2031" s="4" t="s">
        <v>14</v>
      </c>
      <c r="AZ2031" s="4">
        <v>5.56</v>
      </c>
      <c r="BI2031" s="4" t="s">
        <v>321</v>
      </c>
      <c r="BP2031" s="4">
        <v>0.1</v>
      </c>
      <c r="BV2031" s="4" t="s">
        <v>522</v>
      </c>
      <c r="BW2031" s="4">
        <v>25</v>
      </c>
      <c r="BX2031" s="4">
        <v>75</v>
      </c>
      <c r="CX2031" s="4" t="s">
        <v>314</v>
      </c>
      <c r="DD2031" s="4">
        <v>36.25</v>
      </c>
      <c r="DE2031" s="4">
        <v>29.63</v>
      </c>
      <c r="DO2031" s="57"/>
      <c r="DQ2031" s="58">
        <v>1.25270964061608</v>
      </c>
      <c r="DR2031" s="55">
        <v>0.03422703936109</v>
      </c>
      <c r="DS2031" s="58">
        <v>0.183114660581859</v>
      </c>
      <c r="DT2031" s="55">
        <v>0.027381631488876</v>
      </c>
      <c r="DY2031" s="1">
        <v>0</v>
      </c>
      <c r="DZ2031" s="1">
        <v>0</v>
      </c>
      <c r="EA2031" s="52">
        <v>85.3825136612022</v>
      </c>
      <c r="ED2031" s="52">
        <v>85.3825136612022</v>
      </c>
    </row>
    <row r="2032" customHeight="1" spans="1:134">
      <c r="A2032" s="54">
        <v>70</v>
      </c>
      <c r="B2032" s="4" t="s">
        <v>1599</v>
      </c>
      <c r="C2032" s="5" t="s">
        <v>1614</v>
      </c>
      <c r="D2032" s="4" t="s">
        <v>300</v>
      </c>
      <c r="E2032" s="4" t="s">
        <v>1603</v>
      </c>
      <c r="F2032" s="4" t="s">
        <v>328</v>
      </c>
      <c r="G2032" s="4" t="s">
        <v>1611</v>
      </c>
      <c r="N2032" s="4" t="s">
        <v>14</v>
      </c>
      <c r="O2032" s="4" t="s">
        <v>343</v>
      </c>
      <c r="P2032" s="4">
        <v>2</v>
      </c>
      <c r="Q2032" s="4" t="s">
        <v>539</v>
      </c>
      <c r="T2032" s="4">
        <v>110.13</v>
      </c>
      <c r="U2032" s="4">
        <v>0.519</v>
      </c>
      <c r="V2032" s="4">
        <v>17.37</v>
      </c>
      <c r="AG2032" s="4" t="s">
        <v>316</v>
      </c>
      <c r="AH2032" s="4" t="s">
        <v>346</v>
      </c>
      <c r="AI2032" s="4" t="s">
        <v>1604</v>
      </c>
      <c r="AL2032" s="4" t="s">
        <v>1556</v>
      </c>
      <c r="AM2032" s="4">
        <v>5.65</v>
      </c>
      <c r="AN2032" s="4">
        <v>7.53</v>
      </c>
      <c r="AO2032" s="4">
        <v>168.17</v>
      </c>
      <c r="AQ2032" s="4" t="s">
        <v>7</v>
      </c>
      <c r="AR2032" s="4">
        <v>0.89</v>
      </c>
      <c r="AS2032" s="4" t="s">
        <v>13</v>
      </c>
      <c r="AT2032" s="4">
        <v>380.94</v>
      </c>
      <c r="AU2032" s="4" t="s">
        <v>15</v>
      </c>
      <c r="AV2032" s="4">
        <v>58.78</v>
      </c>
      <c r="AW2032" s="4" t="s">
        <v>12</v>
      </c>
      <c r="AX2032" s="4">
        <v>5.9</v>
      </c>
      <c r="AY2032" s="4" t="s">
        <v>14</v>
      </c>
      <c r="AZ2032" s="4">
        <v>13.24</v>
      </c>
      <c r="BI2032" s="4" t="s">
        <v>321</v>
      </c>
      <c r="BP2032" s="4">
        <v>0.1</v>
      </c>
      <c r="BV2032" s="4" t="s">
        <v>522</v>
      </c>
      <c r="BW2032" s="4">
        <v>25</v>
      </c>
      <c r="BX2032" s="4">
        <v>75</v>
      </c>
      <c r="CX2032" s="4" t="s">
        <v>314</v>
      </c>
      <c r="DD2032" s="4">
        <v>36.25</v>
      </c>
      <c r="DE2032" s="4">
        <v>29.63</v>
      </c>
      <c r="DO2032" s="57"/>
      <c r="DQ2032" s="58">
        <v>0.899449035812672</v>
      </c>
      <c r="DR2032" s="55">
        <v>0.010330578512397</v>
      </c>
      <c r="DS2032" s="58">
        <v>0.148071625344352</v>
      </c>
      <c r="DT2032" s="50">
        <v>0.00964187327823701</v>
      </c>
      <c r="DY2032" s="1">
        <v>0</v>
      </c>
      <c r="DZ2032" s="1">
        <v>0</v>
      </c>
      <c r="EA2032" s="52">
        <v>83.5375191424197</v>
      </c>
      <c r="ED2032" s="52">
        <v>83.5375191424197</v>
      </c>
    </row>
    <row r="2033" customHeight="1" spans="1:134">
      <c r="A2033" s="54">
        <v>70</v>
      </c>
      <c r="B2033" s="4" t="s">
        <v>1599</v>
      </c>
      <c r="C2033" s="5" t="s">
        <v>1614</v>
      </c>
      <c r="D2033" s="4" t="s">
        <v>300</v>
      </c>
      <c r="E2033" s="4" t="s">
        <v>1603</v>
      </c>
      <c r="F2033" s="4" t="s">
        <v>328</v>
      </c>
      <c r="G2033" s="4" t="s">
        <v>1611</v>
      </c>
      <c r="N2033" s="4" t="s">
        <v>14</v>
      </c>
      <c r="O2033" s="4" t="s">
        <v>343</v>
      </c>
      <c r="P2033" s="4">
        <v>2</v>
      </c>
      <c r="Q2033" s="4" t="s">
        <v>539</v>
      </c>
      <c r="T2033" s="4">
        <v>110.13</v>
      </c>
      <c r="U2033" s="4">
        <v>0.519</v>
      </c>
      <c r="V2033" s="4">
        <v>17.37</v>
      </c>
      <c r="AG2033" s="4" t="s">
        <v>316</v>
      </c>
      <c r="AH2033" s="4" t="s">
        <v>1601</v>
      </c>
      <c r="AI2033" s="4" t="s">
        <v>1602</v>
      </c>
      <c r="AL2033" s="4" t="s">
        <v>1556</v>
      </c>
      <c r="AM2033" s="4">
        <v>8.78</v>
      </c>
      <c r="AN2033" s="4">
        <v>4.32</v>
      </c>
      <c r="AO2033" s="4">
        <v>180.29</v>
      </c>
      <c r="AQ2033" s="4" t="s">
        <v>7</v>
      </c>
      <c r="AR2033" s="4">
        <v>1.25</v>
      </c>
      <c r="AS2033" s="4" t="s">
        <v>13</v>
      </c>
      <c r="AT2033" s="4">
        <v>138.52</v>
      </c>
      <c r="AU2033" s="4" t="s">
        <v>15</v>
      </c>
      <c r="AV2033" s="4">
        <v>27.65</v>
      </c>
      <c r="AW2033" s="4" t="s">
        <v>12</v>
      </c>
      <c r="AX2033" s="4">
        <v>2.44</v>
      </c>
      <c r="AY2033" s="4" t="s">
        <v>14</v>
      </c>
      <c r="AZ2033" s="4">
        <v>5.56</v>
      </c>
      <c r="BI2033" s="4" t="s">
        <v>321</v>
      </c>
      <c r="BP2033" s="4">
        <v>0.05</v>
      </c>
      <c r="BV2033" s="4" t="s">
        <v>522</v>
      </c>
      <c r="BW2033" s="4">
        <v>25</v>
      </c>
      <c r="BX2033" s="4">
        <v>75</v>
      </c>
      <c r="CX2033" s="4" t="s">
        <v>314</v>
      </c>
      <c r="DD2033" s="4">
        <v>36.25</v>
      </c>
      <c r="DE2033" s="4">
        <v>29.63</v>
      </c>
      <c r="DO2033" s="57"/>
      <c r="DQ2033" s="58">
        <v>1.25270964061608</v>
      </c>
      <c r="DR2033" s="55">
        <v>0.03422703936109</v>
      </c>
      <c r="DS2033" s="59">
        <v>0.431438127090301</v>
      </c>
      <c r="DT2033" s="50">
        <v>0.035953177257525</v>
      </c>
      <c r="DY2033" s="1">
        <v>0</v>
      </c>
      <c r="DZ2033" s="1">
        <v>0</v>
      </c>
      <c r="EA2033" s="52">
        <v>65.5596067035837</v>
      </c>
      <c r="ED2033" s="52">
        <v>65.5596067035837</v>
      </c>
    </row>
    <row r="2034" customHeight="1" spans="1:134">
      <c r="A2034" s="54">
        <v>70</v>
      </c>
      <c r="B2034" s="4" t="s">
        <v>1599</v>
      </c>
      <c r="C2034" s="5" t="s">
        <v>1614</v>
      </c>
      <c r="D2034" s="4" t="s">
        <v>300</v>
      </c>
      <c r="E2034" s="4" t="s">
        <v>1603</v>
      </c>
      <c r="F2034" s="4" t="s">
        <v>328</v>
      </c>
      <c r="G2034" s="4" t="s">
        <v>1611</v>
      </c>
      <c r="N2034" s="4" t="s">
        <v>14</v>
      </c>
      <c r="O2034" s="4" t="s">
        <v>343</v>
      </c>
      <c r="P2034" s="4">
        <v>2</v>
      </c>
      <c r="Q2034" s="4" t="s">
        <v>539</v>
      </c>
      <c r="T2034" s="4">
        <v>110.13</v>
      </c>
      <c r="U2034" s="4">
        <v>0.519</v>
      </c>
      <c r="V2034" s="4">
        <v>17.37</v>
      </c>
      <c r="AG2034" s="4" t="s">
        <v>316</v>
      </c>
      <c r="AH2034" s="4" t="s">
        <v>346</v>
      </c>
      <c r="AI2034" s="4" t="s">
        <v>1604</v>
      </c>
      <c r="AL2034" s="4" t="s">
        <v>1556</v>
      </c>
      <c r="AM2034" s="4">
        <v>5.65</v>
      </c>
      <c r="AN2034" s="4">
        <v>7.53</v>
      </c>
      <c r="AO2034" s="4">
        <v>168.17</v>
      </c>
      <c r="AQ2034" s="4" t="s">
        <v>7</v>
      </c>
      <c r="AR2034" s="4">
        <v>0.89</v>
      </c>
      <c r="AS2034" s="4" t="s">
        <v>13</v>
      </c>
      <c r="AT2034" s="4">
        <v>380.94</v>
      </c>
      <c r="AU2034" s="4" t="s">
        <v>15</v>
      </c>
      <c r="AV2034" s="4">
        <v>58.78</v>
      </c>
      <c r="AW2034" s="4" t="s">
        <v>12</v>
      </c>
      <c r="AX2034" s="4">
        <v>5.9</v>
      </c>
      <c r="AY2034" s="4" t="s">
        <v>14</v>
      </c>
      <c r="AZ2034" s="4">
        <v>13.24</v>
      </c>
      <c r="BI2034" s="4" t="s">
        <v>321</v>
      </c>
      <c r="BP2034" s="4">
        <v>0.05</v>
      </c>
      <c r="BV2034" s="4" t="s">
        <v>522</v>
      </c>
      <c r="BW2034" s="4">
        <v>25</v>
      </c>
      <c r="BX2034" s="4">
        <v>75</v>
      </c>
      <c r="CX2034" s="4" t="s">
        <v>314</v>
      </c>
      <c r="DD2034" s="4">
        <v>36.25</v>
      </c>
      <c r="DE2034" s="4">
        <v>29.63</v>
      </c>
      <c r="DO2034" s="57"/>
      <c r="DQ2034" s="58">
        <v>0.899449035812672</v>
      </c>
      <c r="DR2034" s="55">
        <v>0.010330578512397</v>
      </c>
      <c r="DS2034" s="50">
        <v>0.287878787878787</v>
      </c>
      <c r="DT2034" s="50">
        <v>0.00826446280991699</v>
      </c>
      <c r="DY2034" s="1">
        <v>0</v>
      </c>
      <c r="DZ2034" s="1">
        <v>0</v>
      </c>
      <c r="EA2034" s="52">
        <v>67.9938744257275</v>
      </c>
      <c r="ED2034" s="52">
        <v>67.9938744257275</v>
      </c>
    </row>
    <row r="2035" customHeight="1" spans="1:134">
      <c r="A2035" s="54">
        <v>70</v>
      </c>
      <c r="B2035" s="4" t="s">
        <v>1599</v>
      </c>
      <c r="C2035" s="5" t="s">
        <v>1614</v>
      </c>
      <c r="D2035" s="4" t="s">
        <v>300</v>
      </c>
      <c r="E2035" s="4" t="s">
        <v>1603</v>
      </c>
      <c r="F2035" s="4" t="s">
        <v>328</v>
      </c>
      <c r="G2035" s="4" t="s">
        <v>1611</v>
      </c>
      <c r="N2035" s="4" t="s">
        <v>14</v>
      </c>
      <c r="O2035" s="4" t="s">
        <v>343</v>
      </c>
      <c r="P2035" s="4">
        <v>2</v>
      </c>
      <c r="Q2035" s="4" t="s">
        <v>539</v>
      </c>
      <c r="T2035" s="4">
        <v>110.13</v>
      </c>
      <c r="U2035" s="4">
        <v>0.519</v>
      </c>
      <c r="V2035" s="4">
        <v>17.37</v>
      </c>
      <c r="AG2035" s="4" t="s">
        <v>316</v>
      </c>
      <c r="AH2035" s="4" t="s">
        <v>1601</v>
      </c>
      <c r="AI2035" s="4" t="s">
        <v>1602</v>
      </c>
      <c r="AL2035" s="4" t="s">
        <v>1556</v>
      </c>
      <c r="AM2035" s="4">
        <v>8.78</v>
      </c>
      <c r="AN2035" s="4">
        <v>4.32</v>
      </c>
      <c r="AO2035" s="4">
        <v>180.29</v>
      </c>
      <c r="AQ2035" s="4" t="s">
        <v>7</v>
      </c>
      <c r="AR2035" s="4">
        <v>1.25</v>
      </c>
      <c r="AS2035" s="4" t="s">
        <v>13</v>
      </c>
      <c r="AT2035" s="4">
        <v>138.52</v>
      </c>
      <c r="AU2035" s="4" t="s">
        <v>15</v>
      </c>
      <c r="AV2035" s="4">
        <v>27.65</v>
      </c>
      <c r="AW2035" s="4" t="s">
        <v>12</v>
      </c>
      <c r="AX2035" s="4">
        <v>2.44</v>
      </c>
      <c r="AY2035" s="4" t="s">
        <v>14</v>
      </c>
      <c r="AZ2035" s="4">
        <v>5.56</v>
      </c>
      <c r="BI2035" s="4" t="s">
        <v>321</v>
      </c>
      <c r="BP2035" s="4">
        <v>0.025</v>
      </c>
      <c r="BV2035" s="4" t="s">
        <v>522</v>
      </c>
      <c r="BW2035" s="4">
        <v>25</v>
      </c>
      <c r="BX2035" s="4">
        <v>75</v>
      </c>
      <c r="CX2035" s="4" t="s">
        <v>314</v>
      </c>
      <c r="DD2035" s="4">
        <v>36.25</v>
      </c>
      <c r="DE2035" s="4">
        <v>29.63</v>
      </c>
      <c r="DO2035" s="57"/>
      <c r="DQ2035" s="58">
        <v>1.25270964061608</v>
      </c>
      <c r="DR2035" s="55">
        <v>0.03422703936109</v>
      </c>
      <c r="DS2035" s="50">
        <v>0.576086956521739</v>
      </c>
      <c r="DT2035" s="50">
        <v>0.027591973244147</v>
      </c>
      <c r="DY2035" s="1">
        <v>0</v>
      </c>
      <c r="DZ2035" s="1">
        <v>0</v>
      </c>
      <c r="EA2035" s="52">
        <v>54.0127306565294</v>
      </c>
      <c r="ED2035" s="52">
        <v>54.0127306565294</v>
      </c>
    </row>
    <row r="2036" customHeight="1" spans="1:134">
      <c r="A2036" s="54">
        <v>70</v>
      </c>
      <c r="B2036" s="4" t="s">
        <v>1599</v>
      </c>
      <c r="C2036" s="5" t="s">
        <v>1614</v>
      </c>
      <c r="D2036" s="4" t="s">
        <v>300</v>
      </c>
      <c r="E2036" s="4" t="s">
        <v>1603</v>
      </c>
      <c r="F2036" s="4" t="s">
        <v>328</v>
      </c>
      <c r="G2036" s="4" t="s">
        <v>1611</v>
      </c>
      <c r="N2036" s="4" t="s">
        <v>14</v>
      </c>
      <c r="O2036" s="4" t="s">
        <v>343</v>
      </c>
      <c r="P2036" s="4">
        <v>2</v>
      </c>
      <c r="Q2036" s="4" t="s">
        <v>539</v>
      </c>
      <c r="T2036" s="4">
        <v>110.13</v>
      </c>
      <c r="U2036" s="4">
        <v>0.519</v>
      </c>
      <c r="V2036" s="4">
        <v>17.37</v>
      </c>
      <c r="AG2036" s="4" t="s">
        <v>316</v>
      </c>
      <c r="AH2036" s="4" t="s">
        <v>346</v>
      </c>
      <c r="AI2036" s="4" t="s">
        <v>1604</v>
      </c>
      <c r="AL2036" s="4" t="s">
        <v>1556</v>
      </c>
      <c r="AM2036" s="4">
        <v>5.65</v>
      </c>
      <c r="AN2036" s="4">
        <v>7.53</v>
      </c>
      <c r="AO2036" s="4">
        <v>168.17</v>
      </c>
      <c r="AQ2036" s="4" t="s">
        <v>7</v>
      </c>
      <c r="AR2036" s="4">
        <v>0.89</v>
      </c>
      <c r="AS2036" s="4" t="s">
        <v>13</v>
      </c>
      <c r="AT2036" s="4">
        <v>380.94</v>
      </c>
      <c r="AU2036" s="4" t="s">
        <v>15</v>
      </c>
      <c r="AV2036" s="4">
        <v>58.78</v>
      </c>
      <c r="AW2036" s="4" t="s">
        <v>12</v>
      </c>
      <c r="AX2036" s="4">
        <v>5.9</v>
      </c>
      <c r="AY2036" s="4" t="s">
        <v>14</v>
      </c>
      <c r="AZ2036" s="4">
        <v>13.24</v>
      </c>
      <c r="BI2036" s="4" t="s">
        <v>321</v>
      </c>
      <c r="BP2036" s="4">
        <v>0.025</v>
      </c>
      <c r="BV2036" s="4" t="s">
        <v>522</v>
      </c>
      <c r="BW2036" s="4">
        <v>25</v>
      </c>
      <c r="BX2036" s="4">
        <v>75</v>
      </c>
      <c r="CX2036" s="4" t="s">
        <v>314</v>
      </c>
      <c r="DD2036" s="4">
        <v>36.25</v>
      </c>
      <c r="DE2036" s="4">
        <v>29.63</v>
      </c>
      <c r="DO2036" s="57"/>
      <c r="DQ2036" s="58">
        <v>0.899449035812672</v>
      </c>
      <c r="DR2036" s="55">
        <v>0.010330578512397</v>
      </c>
      <c r="DS2036" s="50">
        <v>0.386206896551724</v>
      </c>
      <c r="DT2036" s="50">
        <v>0.00344827586206903</v>
      </c>
      <c r="DY2036" s="1">
        <v>0</v>
      </c>
      <c r="DZ2036" s="1">
        <v>0</v>
      </c>
      <c r="EA2036" s="52">
        <v>57.0618366161483</v>
      </c>
      <c r="ED2036" s="52">
        <v>57.0618366161483</v>
      </c>
    </row>
    <row r="2037" customHeight="1" spans="1:134">
      <c r="A2037" s="54">
        <v>70</v>
      </c>
      <c r="B2037" s="4" t="s">
        <v>1599</v>
      </c>
      <c r="C2037" s="5" t="s">
        <v>1614</v>
      </c>
      <c r="D2037" s="4" t="s">
        <v>300</v>
      </c>
      <c r="E2037" s="4" t="s">
        <v>1603</v>
      </c>
      <c r="F2037" s="4" t="s">
        <v>328</v>
      </c>
      <c r="G2037" s="4" t="s">
        <v>1611</v>
      </c>
      <c r="N2037" s="4" t="s">
        <v>14</v>
      </c>
      <c r="O2037" s="4" t="s">
        <v>343</v>
      </c>
      <c r="P2037" s="4">
        <v>2</v>
      </c>
      <c r="Q2037" s="4" t="s">
        <v>539</v>
      </c>
      <c r="T2037" s="4">
        <v>110.13</v>
      </c>
      <c r="U2037" s="4">
        <v>0.519</v>
      </c>
      <c r="V2037" s="4">
        <v>17.37</v>
      </c>
      <c r="AG2037" s="4" t="s">
        <v>316</v>
      </c>
      <c r="AH2037" s="4" t="s">
        <v>1601</v>
      </c>
      <c r="AI2037" s="4" t="s">
        <v>1605</v>
      </c>
      <c r="AL2037" s="4" t="s">
        <v>1556</v>
      </c>
      <c r="AM2037" s="4">
        <v>7.73</v>
      </c>
      <c r="AN2037" s="4">
        <v>4.28</v>
      </c>
      <c r="AO2037" s="4">
        <v>207.91</v>
      </c>
      <c r="AQ2037" s="4" t="s">
        <v>7</v>
      </c>
      <c r="AR2037" s="4">
        <v>1.12</v>
      </c>
      <c r="AS2037" s="4" t="s">
        <v>13</v>
      </c>
      <c r="AT2037" s="4">
        <v>52.39</v>
      </c>
      <c r="AU2037" s="4" t="s">
        <v>15</v>
      </c>
      <c r="AV2037" s="4">
        <v>96</v>
      </c>
      <c r="AW2037" s="4" t="s">
        <v>12</v>
      </c>
      <c r="AX2037" s="4">
        <v>3.45</v>
      </c>
      <c r="AY2037" s="4" t="s">
        <v>14</v>
      </c>
      <c r="AZ2037" s="4">
        <v>4.95</v>
      </c>
      <c r="BI2037" s="4" t="s">
        <v>321</v>
      </c>
      <c r="BP2037" s="4">
        <v>0.025</v>
      </c>
      <c r="BV2037" s="4" t="s">
        <v>1606</v>
      </c>
      <c r="BW2037" s="4">
        <v>25</v>
      </c>
      <c r="BX2037" s="4">
        <v>75</v>
      </c>
      <c r="CX2037" s="4" t="s">
        <v>314</v>
      </c>
      <c r="DD2037" s="4">
        <v>36.25</v>
      </c>
      <c r="DE2037" s="4">
        <v>29.63</v>
      </c>
      <c r="DO2037" s="57"/>
      <c r="DQ2037" s="60">
        <v>1.11958762886597</v>
      </c>
      <c r="DT2037" s="55">
        <v>0.643523316062176</v>
      </c>
      <c r="DY2037" s="1">
        <v>0</v>
      </c>
      <c r="DZ2037" s="1">
        <v>0</v>
      </c>
      <c r="EA2037" s="52">
        <v>100</v>
      </c>
      <c r="ED2037" s="52">
        <v>100</v>
      </c>
    </row>
    <row r="2038" customHeight="1" spans="1:134">
      <c r="A2038" s="54">
        <v>70</v>
      </c>
      <c r="B2038" s="4" t="s">
        <v>1599</v>
      </c>
      <c r="C2038" s="5" t="s">
        <v>1614</v>
      </c>
      <c r="D2038" s="4" t="s">
        <v>300</v>
      </c>
      <c r="E2038" s="4" t="s">
        <v>1603</v>
      </c>
      <c r="F2038" s="4" t="s">
        <v>328</v>
      </c>
      <c r="G2038" s="4" t="s">
        <v>1611</v>
      </c>
      <c r="N2038" s="4" t="s">
        <v>14</v>
      </c>
      <c r="O2038" s="4" t="s">
        <v>343</v>
      </c>
      <c r="P2038" s="4">
        <v>2</v>
      </c>
      <c r="Q2038" s="4" t="s">
        <v>539</v>
      </c>
      <c r="T2038" s="4">
        <v>110.13</v>
      </c>
      <c r="U2038" s="4">
        <v>0.519</v>
      </c>
      <c r="V2038" s="4">
        <v>17.37</v>
      </c>
      <c r="AG2038" s="4" t="s">
        <v>316</v>
      </c>
      <c r="AH2038" s="4" t="s">
        <v>1601</v>
      </c>
      <c r="AI2038" s="4" t="s">
        <v>1605</v>
      </c>
      <c r="AL2038" s="4" t="s">
        <v>1556</v>
      </c>
      <c r="AM2038" s="4">
        <v>7.73</v>
      </c>
      <c r="AN2038" s="4">
        <v>4.28</v>
      </c>
      <c r="AO2038" s="4">
        <v>207.91</v>
      </c>
      <c r="AQ2038" s="4" t="s">
        <v>7</v>
      </c>
      <c r="AR2038" s="4">
        <v>1.12</v>
      </c>
      <c r="AS2038" s="4" t="s">
        <v>13</v>
      </c>
      <c r="AT2038" s="4">
        <v>52.39</v>
      </c>
      <c r="AU2038" s="4" t="s">
        <v>15</v>
      </c>
      <c r="AV2038" s="4">
        <v>96</v>
      </c>
      <c r="AW2038" s="4" t="s">
        <v>12</v>
      </c>
      <c r="AX2038" s="4">
        <v>3.45</v>
      </c>
      <c r="AY2038" s="4" t="s">
        <v>14</v>
      </c>
      <c r="AZ2038" s="4">
        <v>4.95</v>
      </c>
      <c r="BI2038" s="4" t="s">
        <v>321</v>
      </c>
      <c r="BP2038" s="4">
        <v>0.025</v>
      </c>
      <c r="BV2038" s="4" t="s">
        <v>1607</v>
      </c>
      <c r="BW2038" s="4">
        <v>25</v>
      </c>
      <c r="BX2038" s="4">
        <v>75</v>
      </c>
      <c r="CX2038" s="4" t="s">
        <v>314</v>
      </c>
      <c r="DD2038" s="4">
        <v>36.25</v>
      </c>
      <c r="DE2038" s="4">
        <v>29.63</v>
      </c>
      <c r="DO2038" s="57"/>
      <c r="DQ2038" s="60">
        <v>1.2680412371134</v>
      </c>
      <c r="DT2038" s="55">
        <v>0.845595854922279</v>
      </c>
      <c r="DY2038" s="1">
        <v>0</v>
      </c>
      <c r="DZ2038" s="1">
        <v>0</v>
      </c>
      <c r="EA2038" s="52">
        <v>100</v>
      </c>
      <c r="ED2038" s="52">
        <v>100</v>
      </c>
    </row>
    <row r="2039" customHeight="1" spans="1:134">
      <c r="A2039" s="54">
        <v>70</v>
      </c>
      <c r="B2039" s="4" t="s">
        <v>1599</v>
      </c>
      <c r="C2039" s="5" t="s">
        <v>1614</v>
      </c>
      <c r="D2039" s="4" t="s">
        <v>300</v>
      </c>
      <c r="E2039" s="4" t="s">
        <v>1603</v>
      </c>
      <c r="F2039" s="4" t="s">
        <v>328</v>
      </c>
      <c r="G2039" s="4" t="s">
        <v>1611</v>
      </c>
      <c r="N2039" s="4" t="s">
        <v>14</v>
      </c>
      <c r="O2039" s="4" t="s">
        <v>343</v>
      </c>
      <c r="P2039" s="4">
        <v>2</v>
      </c>
      <c r="Q2039" s="4" t="s">
        <v>539</v>
      </c>
      <c r="T2039" s="4">
        <v>110.13</v>
      </c>
      <c r="U2039" s="4">
        <v>0.519</v>
      </c>
      <c r="V2039" s="4">
        <v>17.37</v>
      </c>
      <c r="AG2039" s="4" t="s">
        <v>316</v>
      </c>
      <c r="AH2039" s="4" t="s">
        <v>1601</v>
      </c>
      <c r="AI2039" s="4" t="s">
        <v>1605</v>
      </c>
      <c r="AL2039" s="4" t="s">
        <v>1556</v>
      </c>
      <c r="AM2039" s="4">
        <v>7.73</v>
      </c>
      <c r="AN2039" s="4">
        <v>4.28</v>
      </c>
      <c r="AO2039" s="4">
        <v>207.91</v>
      </c>
      <c r="AQ2039" s="4" t="s">
        <v>7</v>
      </c>
      <c r="AR2039" s="4">
        <v>1.12</v>
      </c>
      <c r="AS2039" s="4" t="s">
        <v>13</v>
      </c>
      <c r="AT2039" s="4">
        <v>52.39</v>
      </c>
      <c r="AU2039" s="4" t="s">
        <v>15</v>
      </c>
      <c r="AV2039" s="4">
        <v>96</v>
      </c>
      <c r="AW2039" s="4" t="s">
        <v>12</v>
      </c>
      <c r="AX2039" s="4">
        <v>3.45</v>
      </c>
      <c r="AY2039" s="4" t="s">
        <v>14</v>
      </c>
      <c r="AZ2039" s="4">
        <v>4.95</v>
      </c>
      <c r="BI2039" s="4" t="s">
        <v>321</v>
      </c>
      <c r="BP2039" s="4">
        <v>0.025</v>
      </c>
      <c r="BV2039" s="4" t="s">
        <v>1552</v>
      </c>
      <c r="BW2039" s="4">
        <v>25</v>
      </c>
      <c r="BX2039" s="4">
        <v>75</v>
      </c>
      <c r="CX2039" s="4" t="s">
        <v>314</v>
      </c>
      <c r="DD2039" s="4">
        <v>36.25</v>
      </c>
      <c r="DE2039" s="4">
        <v>29.63</v>
      </c>
      <c r="DO2039" s="57"/>
      <c r="DQ2039" s="60">
        <v>1.11649484536082</v>
      </c>
      <c r="DT2039" s="55">
        <v>0.74922279792746</v>
      </c>
      <c r="DY2039" s="1">
        <v>0</v>
      </c>
      <c r="DZ2039" s="1">
        <v>0</v>
      </c>
      <c r="EA2039" s="52">
        <v>100</v>
      </c>
      <c r="ED2039" s="52">
        <v>100</v>
      </c>
    </row>
    <row r="2040" customHeight="1" spans="1:134">
      <c r="A2040" s="54">
        <v>70</v>
      </c>
      <c r="B2040" s="4" t="s">
        <v>1599</v>
      </c>
      <c r="C2040" s="5" t="s">
        <v>1614</v>
      </c>
      <c r="D2040" s="4" t="s">
        <v>300</v>
      </c>
      <c r="E2040" s="4" t="s">
        <v>1603</v>
      </c>
      <c r="F2040" s="4" t="s">
        <v>328</v>
      </c>
      <c r="G2040" s="4" t="s">
        <v>1611</v>
      </c>
      <c r="N2040" s="4" t="s">
        <v>14</v>
      </c>
      <c r="O2040" s="4" t="s">
        <v>343</v>
      </c>
      <c r="P2040" s="4">
        <v>2</v>
      </c>
      <c r="Q2040" s="4" t="s">
        <v>539</v>
      </c>
      <c r="T2040" s="4">
        <v>110.13</v>
      </c>
      <c r="U2040" s="4">
        <v>0.519</v>
      </c>
      <c r="V2040" s="4">
        <v>17.37</v>
      </c>
      <c r="AG2040" s="4" t="s">
        <v>316</v>
      </c>
      <c r="AH2040" s="4" t="s">
        <v>1601</v>
      </c>
      <c r="AI2040" s="4" t="s">
        <v>1605</v>
      </c>
      <c r="AL2040" s="4" t="s">
        <v>1556</v>
      </c>
      <c r="AM2040" s="4">
        <v>7.73</v>
      </c>
      <c r="AN2040" s="4">
        <v>4.28</v>
      </c>
      <c r="AO2040" s="4">
        <v>207.91</v>
      </c>
      <c r="AQ2040" s="4" t="s">
        <v>7</v>
      </c>
      <c r="AR2040" s="4">
        <v>1.12</v>
      </c>
      <c r="AS2040" s="4" t="s">
        <v>13</v>
      </c>
      <c r="AT2040" s="4">
        <v>52.39</v>
      </c>
      <c r="AU2040" s="4" t="s">
        <v>15</v>
      </c>
      <c r="AV2040" s="4">
        <v>96</v>
      </c>
      <c r="AW2040" s="4" t="s">
        <v>12</v>
      </c>
      <c r="AX2040" s="4">
        <v>3.45</v>
      </c>
      <c r="AY2040" s="4" t="s">
        <v>14</v>
      </c>
      <c r="AZ2040" s="4">
        <v>4.95</v>
      </c>
      <c r="BI2040" s="4" t="s">
        <v>321</v>
      </c>
      <c r="BP2040" s="4">
        <v>0.025</v>
      </c>
      <c r="BV2040" s="4" t="s">
        <v>488</v>
      </c>
      <c r="BW2040" s="4">
        <v>25</v>
      </c>
      <c r="BX2040" s="4">
        <v>75</v>
      </c>
      <c r="CX2040" s="4" t="s">
        <v>314</v>
      </c>
      <c r="DD2040" s="4">
        <v>36.25</v>
      </c>
      <c r="DE2040" s="4">
        <v>29.63</v>
      </c>
      <c r="DO2040" s="57"/>
      <c r="DQ2040" s="60">
        <v>1.24329896907216</v>
      </c>
      <c r="DT2040" s="55">
        <v>0.500518134715025</v>
      </c>
      <c r="DY2040" s="1">
        <v>0</v>
      </c>
      <c r="DZ2040" s="1">
        <v>0</v>
      </c>
      <c r="EA2040" s="52">
        <v>100</v>
      </c>
      <c r="ED2040" s="52">
        <v>100</v>
      </c>
    </row>
    <row r="2041" customHeight="1" spans="1:134">
      <c r="A2041" s="54">
        <v>70</v>
      </c>
      <c r="B2041" s="4" t="s">
        <v>1599</v>
      </c>
      <c r="C2041" s="5" t="s">
        <v>1614</v>
      </c>
      <c r="D2041" s="4" t="s">
        <v>300</v>
      </c>
      <c r="E2041" s="4" t="s">
        <v>1603</v>
      </c>
      <c r="F2041" s="4" t="s">
        <v>328</v>
      </c>
      <c r="G2041" s="4" t="s">
        <v>1611</v>
      </c>
      <c r="N2041" s="4" t="s">
        <v>14</v>
      </c>
      <c r="O2041" s="4" t="s">
        <v>343</v>
      </c>
      <c r="P2041" s="4">
        <v>2</v>
      </c>
      <c r="Q2041" s="4" t="s">
        <v>539</v>
      </c>
      <c r="T2041" s="4">
        <v>110.13</v>
      </c>
      <c r="U2041" s="4">
        <v>0.519</v>
      </c>
      <c r="V2041" s="4">
        <v>17.37</v>
      </c>
      <c r="AG2041" s="4" t="s">
        <v>316</v>
      </c>
      <c r="AH2041" s="4" t="s">
        <v>1601</v>
      </c>
      <c r="AI2041" s="4" t="s">
        <v>1605</v>
      </c>
      <c r="AL2041" s="4" t="s">
        <v>1556</v>
      </c>
      <c r="AM2041" s="4">
        <v>7.73</v>
      </c>
      <c r="AN2041" s="4">
        <v>4.28</v>
      </c>
      <c r="AO2041" s="4">
        <v>207.91</v>
      </c>
      <c r="AQ2041" s="4" t="s">
        <v>7</v>
      </c>
      <c r="AR2041" s="4">
        <v>1.12</v>
      </c>
      <c r="AS2041" s="4" t="s">
        <v>13</v>
      </c>
      <c r="AT2041" s="4">
        <v>52.39</v>
      </c>
      <c r="AU2041" s="4" t="s">
        <v>15</v>
      </c>
      <c r="AV2041" s="4">
        <v>96</v>
      </c>
      <c r="AW2041" s="4" t="s">
        <v>12</v>
      </c>
      <c r="AX2041" s="4">
        <v>3.45</v>
      </c>
      <c r="AY2041" s="4" t="s">
        <v>14</v>
      </c>
      <c r="AZ2041" s="4">
        <v>4.95</v>
      </c>
      <c r="BI2041" s="4" t="s">
        <v>321</v>
      </c>
      <c r="BP2041" s="4">
        <v>0.05</v>
      </c>
      <c r="BV2041" s="4" t="s">
        <v>1606</v>
      </c>
      <c r="BW2041" s="4">
        <v>25</v>
      </c>
      <c r="BX2041" s="4">
        <v>75</v>
      </c>
      <c r="CX2041" s="4" t="s">
        <v>314</v>
      </c>
      <c r="DD2041" s="4">
        <v>36.25</v>
      </c>
      <c r="DE2041" s="4">
        <v>29.63</v>
      </c>
      <c r="DO2041" s="57"/>
      <c r="DQ2041" s="60">
        <v>1.11958762886597</v>
      </c>
      <c r="DT2041" s="55">
        <v>0.556476683937823</v>
      </c>
      <c r="DY2041" s="1">
        <v>0</v>
      </c>
      <c r="DZ2041" s="1">
        <v>0</v>
      </c>
      <c r="EA2041" s="52">
        <v>100</v>
      </c>
      <c r="ED2041" s="52">
        <v>100</v>
      </c>
    </row>
    <row r="2042" customHeight="1" spans="1:134">
      <c r="A2042" s="54">
        <v>70</v>
      </c>
      <c r="B2042" s="4" t="s">
        <v>1599</v>
      </c>
      <c r="C2042" s="5" t="s">
        <v>1614</v>
      </c>
      <c r="D2042" s="4" t="s">
        <v>300</v>
      </c>
      <c r="E2042" s="4" t="s">
        <v>1603</v>
      </c>
      <c r="F2042" s="4" t="s">
        <v>328</v>
      </c>
      <c r="G2042" s="4" t="s">
        <v>1611</v>
      </c>
      <c r="N2042" s="4" t="s">
        <v>14</v>
      </c>
      <c r="O2042" s="4" t="s">
        <v>343</v>
      </c>
      <c r="P2042" s="4">
        <v>2</v>
      </c>
      <c r="Q2042" s="4" t="s">
        <v>539</v>
      </c>
      <c r="T2042" s="4">
        <v>110.13</v>
      </c>
      <c r="U2042" s="4">
        <v>0.519</v>
      </c>
      <c r="V2042" s="4">
        <v>17.37</v>
      </c>
      <c r="AG2042" s="4" t="s">
        <v>316</v>
      </c>
      <c r="AH2042" s="4" t="s">
        <v>1601</v>
      </c>
      <c r="AI2042" s="4" t="s">
        <v>1605</v>
      </c>
      <c r="AL2042" s="4" t="s">
        <v>1556</v>
      </c>
      <c r="AM2042" s="4">
        <v>7.73</v>
      </c>
      <c r="AN2042" s="4">
        <v>4.28</v>
      </c>
      <c r="AO2042" s="4">
        <v>207.91</v>
      </c>
      <c r="AQ2042" s="4" t="s">
        <v>7</v>
      </c>
      <c r="AR2042" s="4">
        <v>1.12</v>
      </c>
      <c r="AS2042" s="4" t="s">
        <v>13</v>
      </c>
      <c r="AT2042" s="4">
        <v>52.39</v>
      </c>
      <c r="AU2042" s="4" t="s">
        <v>15</v>
      </c>
      <c r="AV2042" s="4">
        <v>96</v>
      </c>
      <c r="AW2042" s="4" t="s">
        <v>12</v>
      </c>
      <c r="AX2042" s="4">
        <v>3.45</v>
      </c>
      <c r="AY2042" s="4" t="s">
        <v>14</v>
      </c>
      <c r="AZ2042" s="4">
        <v>4.95</v>
      </c>
      <c r="BI2042" s="4" t="s">
        <v>321</v>
      </c>
      <c r="BP2042" s="4">
        <v>0.05</v>
      </c>
      <c r="BV2042" s="4" t="s">
        <v>1607</v>
      </c>
      <c r="BW2042" s="4">
        <v>25</v>
      </c>
      <c r="BX2042" s="4">
        <v>75</v>
      </c>
      <c r="CX2042" s="4" t="s">
        <v>314</v>
      </c>
      <c r="DD2042" s="4">
        <v>36.25</v>
      </c>
      <c r="DE2042" s="4">
        <v>29.63</v>
      </c>
      <c r="DO2042" s="57"/>
      <c r="DQ2042" s="60">
        <v>1.2680412371134</v>
      </c>
      <c r="DT2042" s="55">
        <v>0.814507772020725</v>
      </c>
      <c r="DY2042" s="1">
        <v>0</v>
      </c>
      <c r="DZ2042" s="1">
        <v>0</v>
      </c>
      <c r="EA2042" s="52">
        <v>100</v>
      </c>
      <c r="ED2042" s="52">
        <v>100</v>
      </c>
    </row>
    <row r="2043" customHeight="1" spans="1:134">
      <c r="A2043" s="54">
        <v>70</v>
      </c>
      <c r="B2043" s="4" t="s">
        <v>1599</v>
      </c>
      <c r="C2043" s="5" t="s">
        <v>1614</v>
      </c>
      <c r="D2043" s="4" t="s">
        <v>300</v>
      </c>
      <c r="E2043" s="4" t="s">
        <v>1603</v>
      </c>
      <c r="F2043" s="4" t="s">
        <v>328</v>
      </c>
      <c r="G2043" s="4" t="s">
        <v>1611</v>
      </c>
      <c r="N2043" s="4" t="s">
        <v>14</v>
      </c>
      <c r="O2043" s="4" t="s">
        <v>343</v>
      </c>
      <c r="P2043" s="4">
        <v>2</v>
      </c>
      <c r="Q2043" s="4" t="s">
        <v>539</v>
      </c>
      <c r="T2043" s="4">
        <v>110.13</v>
      </c>
      <c r="U2043" s="4">
        <v>0.519</v>
      </c>
      <c r="V2043" s="4">
        <v>17.37</v>
      </c>
      <c r="AG2043" s="4" t="s">
        <v>316</v>
      </c>
      <c r="AH2043" s="4" t="s">
        <v>1601</v>
      </c>
      <c r="AI2043" s="4" t="s">
        <v>1605</v>
      </c>
      <c r="AL2043" s="4" t="s">
        <v>1556</v>
      </c>
      <c r="AM2043" s="4">
        <v>7.73</v>
      </c>
      <c r="AN2043" s="4">
        <v>4.28</v>
      </c>
      <c r="AO2043" s="4">
        <v>207.91</v>
      </c>
      <c r="AQ2043" s="4" t="s">
        <v>7</v>
      </c>
      <c r="AR2043" s="4">
        <v>1.12</v>
      </c>
      <c r="AS2043" s="4" t="s">
        <v>13</v>
      </c>
      <c r="AT2043" s="4">
        <v>52.39</v>
      </c>
      <c r="AU2043" s="4" t="s">
        <v>15</v>
      </c>
      <c r="AV2043" s="4">
        <v>96</v>
      </c>
      <c r="AW2043" s="4" t="s">
        <v>12</v>
      </c>
      <c r="AX2043" s="4">
        <v>3.45</v>
      </c>
      <c r="AY2043" s="4" t="s">
        <v>14</v>
      </c>
      <c r="AZ2043" s="4">
        <v>4.95</v>
      </c>
      <c r="BI2043" s="4" t="s">
        <v>321</v>
      </c>
      <c r="BP2043" s="4">
        <v>0.05</v>
      </c>
      <c r="BV2043" s="4" t="s">
        <v>1552</v>
      </c>
      <c r="BW2043" s="4">
        <v>25</v>
      </c>
      <c r="BX2043" s="4">
        <v>75</v>
      </c>
      <c r="CX2043" s="4" t="s">
        <v>314</v>
      </c>
      <c r="DD2043" s="4">
        <v>36.25</v>
      </c>
      <c r="DE2043" s="4">
        <v>29.63</v>
      </c>
      <c r="DO2043" s="57"/>
      <c r="DQ2043" s="60">
        <v>1.11649484536082</v>
      </c>
      <c r="DT2043" s="55">
        <v>0.680829015544041</v>
      </c>
      <c r="DY2043" s="1">
        <v>0</v>
      </c>
      <c r="DZ2043" s="1">
        <v>0</v>
      </c>
      <c r="EA2043" s="52">
        <v>100</v>
      </c>
      <c r="ED2043" s="52">
        <v>100</v>
      </c>
    </row>
    <row r="2044" customHeight="1" spans="1:134">
      <c r="A2044" s="54">
        <v>70</v>
      </c>
      <c r="B2044" s="4" t="s">
        <v>1599</v>
      </c>
      <c r="C2044" s="5" t="s">
        <v>1614</v>
      </c>
      <c r="D2044" s="4" t="s">
        <v>300</v>
      </c>
      <c r="E2044" s="4" t="s">
        <v>1603</v>
      </c>
      <c r="F2044" s="4" t="s">
        <v>328</v>
      </c>
      <c r="G2044" s="4" t="s">
        <v>1611</v>
      </c>
      <c r="N2044" s="4" t="s">
        <v>14</v>
      </c>
      <c r="O2044" s="4" t="s">
        <v>343</v>
      </c>
      <c r="P2044" s="4">
        <v>2</v>
      </c>
      <c r="Q2044" s="4" t="s">
        <v>539</v>
      </c>
      <c r="T2044" s="4">
        <v>110.13</v>
      </c>
      <c r="U2044" s="4">
        <v>0.519</v>
      </c>
      <c r="V2044" s="4">
        <v>17.37</v>
      </c>
      <c r="AG2044" s="4" t="s">
        <v>316</v>
      </c>
      <c r="AH2044" s="4" t="s">
        <v>1601</v>
      </c>
      <c r="AI2044" s="4" t="s">
        <v>1605</v>
      </c>
      <c r="AL2044" s="4" t="s">
        <v>1556</v>
      </c>
      <c r="AM2044" s="4">
        <v>7.73</v>
      </c>
      <c r="AN2044" s="4">
        <v>4.28</v>
      </c>
      <c r="AO2044" s="4">
        <v>207.91</v>
      </c>
      <c r="AQ2044" s="4" t="s">
        <v>7</v>
      </c>
      <c r="AR2044" s="4">
        <v>1.12</v>
      </c>
      <c r="AS2044" s="4" t="s">
        <v>13</v>
      </c>
      <c r="AT2044" s="4">
        <v>52.39</v>
      </c>
      <c r="AU2044" s="4" t="s">
        <v>15</v>
      </c>
      <c r="AV2044" s="4">
        <v>96</v>
      </c>
      <c r="AW2044" s="4" t="s">
        <v>12</v>
      </c>
      <c r="AX2044" s="4">
        <v>3.45</v>
      </c>
      <c r="AY2044" s="4" t="s">
        <v>14</v>
      </c>
      <c r="AZ2044" s="4">
        <v>4.95</v>
      </c>
      <c r="BI2044" s="4" t="s">
        <v>321</v>
      </c>
      <c r="BP2044" s="4">
        <v>0.05</v>
      </c>
      <c r="BV2044" s="4" t="s">
        <v>488</v>
      </c>
      <c r="BW2044" s="4">
        <v>25</v>
      </c>
      <c r="BX2044" s="4">
        <v>75</v>
      </c>
      <c r="CX2044" s="4" t="s">
        <v>314</v>
      </c>
      <c r="DD2044" s="4">
        <v>36.25</v>
      </c>
      <c r="DE2044" s="4">
        <v>29.63</v>
      </c>
      <c r="DO2044" s="57"/>
      <c r="DQ2044" s="60">
        <v>1.24329896907216</v>
      </c>
      <c r="DT2044" s="55">
        <v>0.419689119170984</v>
      </c>
      <c r="DY2044" s="1">
        <v>0</v>
      </c>
      <c r="DZ2044" s="1">
        <v>0</v>
      </c>
      <c r="EA2044" s="52">
        <v>100</v>
      </c>
      <c r="ED2044" s="52">
        <v>100</v>
      </c>
    </row>
    <row r="2045" customHeight="1" spans="1:134">
      <c r="A2045" s="54">
        <v>70</v>
      </c>
      <c r="B2045" s="4" t="s">
        <v>1599</v>
      </c>
      <c r="C2045" s="5" t="s">
        <v>1614</v>
      </c>
      <c r="D2045" s="4" t="s">
        <v>300</v>
      </c>
      <c r="E2045" s="4" t="s">
        <v>1603</v>
      </c>
      <c r="F2045" s="4" t="s">
        <v>328</v>
      </c>
      <c r="G2045" s="4" t="s">
        <v>1611</v>
      </c>
      <c r="N2045" s="4" t="s">
        <v>14</v>
      </c>
      <c r="O2045" s="4" t="s">
        <v>343</v>
      </c>
      <c r="P2045" s="4">
        <v>2</v>
      </c>
      <c r="Q2045" s="4" t="s">
        <v>539</v>
      </c>
      <c r="T2045" s="4">
        <v>110.13</v>
      </c>
      <c r="U2045" s="4">
        <v>0.519</v>
      </c>
      <c r="V2045" s="4">
        <v>17.37</v>
      </c>
      <c r="AG2045" s="4" t="s">
        <v>316</v>
      </c>
      <c r="AH2045" s="4" t="s">
        <v>1601</v>
      </c>
      <c r="AI2045" s="4" t="s">
        <v>1605</v>
      </c>
      <c r="AL2045" s="4" t="s">
        <v>1556</v>
      </c>
      <c r="AM2045" s="4">
        <v>7.73</v>
      </c>
      <c r="AN2045" s="4">
        <v>4.28</v>
      </c>
      <c r="AO2045" s="4">
        <v>207.91</v>
      </c>
      <c r="AQ2045" s="4" t="s">
        <v>7</v>
      </c>
      <c r="AR2045" s="4">
        <v>1.12</v>
      </c>
      <c r="AS2045" s="4" t="s">
        <v>13</v>
      </c>
      <c r="AT2045" s="4">
        <v>52.39</v>
      </c>
      <c r="AU2045" s="4" t="s">
        <v>15</v>
      </c>
      <c r="AV2045" s="4">
        <v>96</v>
      </c>
      <c r="AW2045" s="4" t="s">
        <v>12</v>
      </c>
      <c r="AX2045" s="4">
        <v>3.45</v>
      </c>
      <c r="AY2045" s="4" t="s">
        <v>14</v>
      </c>
      <c r="AZ2045" s="4">
        <v>4.95</v>
      </c>
      <c r="BI2045" s="4" t="s">
        <v>321</v>
      </c>
      <c r="BP2045" s="4">
        <v>0.1</v>
      </c>
      <c r="BV2045" s="4" t="s">
        <v>1606</v>
      </c>
      <c r="BW2045" s="4">
        <v>25</v>
      </c>
      <c r="BX2045" s="4">
        <v>75</v>
      </c>
      <c r="CX2045" s="4" t="s">
        <v>314</v>
      </c>
      <c r="DD2045" s="4">
        <v>36.25</v>
      </c>
      <c r="DE2045" s="4">
        <v>29.63</v>
      </c>
      <c r="DO2045" s="57"/>
      <c r="DQ2045" s="60">
        <v>1.11958762886597</v>
      </c>
      <c r="DT2045" s="55">
        <v>0.550259067357512</v>
      </c>
      <c r="DY2045" s="1">
        <v>0</v>
      </c>
      <c r="DZ2045" s="1">
        <v>0</v>
      </c>
      <c r="EA2045" s="52">
        <v>100</v>
      </c>
      <c r="ED2045" s="52">
        <v>100</v>
      </c>
    </row>
    <row r="2046" customHeight="1" spans="1:134">
      <c r="A2046" s="54">
        <v>70</v>
      </c>
      <c r="B2046" s="4" t="s">
        <v>1599</v>
      </c>
      <c r="C2046" s="5" t="s">
        <v>1614</v>
      </c>
      <c r="D2046" s="4" t="s">
        <v>300</v>
      </c>
      <c r="E2046" s="4" t="s">
        <v>1603</v>
      </c>
      <c r="F2046" s="4" t="s">
        <v>328</v>
      </c>
      <c r="G2046" s="4" t="s">
        <v>1611</v>
      </c>
      <c r="N2046" s="4" t="s">
        <v>14</v>
      </c>
      <c r="O2046" s="4" t="s">
        <v>343</v>
      </c>
      <c r="P2046" s="4">
        <v>2</v>
      </c>
      <c r="Q2046" s="4" t="s">
        <v>539</v>
      </c>
      <c r="T2046" s="4">
        <v>110.13</v>
      </c>
      <c r="U2046" s="4">
        <v>0.519</v>
      </c>
      <c r="V2046" s="4">
        <v>17.37</v>
      </c>
      <c r="AG2046" s="4" t="s">
        <v>316</v>
      </c>
      <c r="AH2046" s="4" t="s">
        <v>1601</v>
      </c>
      <c r="AI2046" s="4" t="s">
        <v>1605</v>
      </c>
      <c r="AL2046" s="4" t="s">
        <v>1556</v>
      </c>
      <c r="AM2046" s="4">
        <v>7.73</v>
      </c>
      <c r="AN2046" s="4">
        <v>4.28</v>
      </c>
      <c r="AO2046" s="4">
        <v>207.91</v>
      </c>
      <c r="AQ2046" s="4" t="s">
        <v>7</v>
      </c>
      <c r="AR2046" s="4">
        <v>1.12</v>
      </c>
      <c r="AS2046" s="4" t="s">
        <v>13</v>
      </c>
      <c r="AT2046" s="4">
        <v>52.39</v>
      </c>
      <c r="AU2046" s="4" t="s">
        <v>15</v>
      </c>
      <c r="AV2046" s="4">
        <v>96</v>
      </c>
      <c r="AW2046" s="4" t="s">
        <v>12</v>
      </c>
      <c r="AX2046" s="4">
        <v>3.45</v>
      </c>
      <c r="AY2046" s="4" t="s">
        <v>14</v>
      </c>
      <c r="AZ2046" s="4">
        <v>4.95</v>
      </c>
      <c r="BI2046" s="4" t="s">
        <v>321</v>
      </c>
      <c r="BP2046" s="4">
        <v>0.1</v>
      </c>
      <c r="BV2046" s="4" t="s">
        <v>1607</v>
      </c>
      <c r="BW2046" s="4">
        <v>25</v>
      </c>
      <c r="BX2046" s="4">
        <v>75</v>
      </c>
      <c r="CX2046" s="4" t="s">
        <v>314</v>
      </c>
      <c r="DD2046" s="4">
        <v>36.25</v>
      </c>
      <c r="DE2046" s="4">
        <v>29.63</v>
      </c>
      <c r="DO2046" s="57"/>
      <c r="DQ2046" s="60">
        <v>1.2680412371134</v>
      </c>
      <c r="DT2046" s="55">
        <v>0.680829015544041</v>
      </c>
      <c r="DY2046" s="1">
        <v>0</v>
      </c>
      <c r="DZ2046" s="1">
        <v>0</v>
      </c>
      <c r="EA2046" s="52">
        <v>100</v>
      </c>
      <c r="ED2046" s="52">
        <v>100</v>
      </c>
    </row>
    <row r="2047" customHeight="1" spans="1:134">
      <c r="A2047" s="54">
        <v>70</v>
      </c>
      <c r="B2047" s="4" t="s">
        <v>1599</v>
      </c>
      <c r="C2047" s="5" t="s">
        <v>1614</v>
      </c>
      <c r="D2047" s="4" t="s">
        <v>300</v>
      </c>
      <c r="E2047" s="4" t="s">
        <v>1603</v>
      </c>
      <c r="F2047" s="4" t="s">
        <v>328</v>
      </c>
      <c r="G2047" s="4" t="s">
        <v>1611</v>
      </c>
      <c r="N2047" s="4" t="s">
        <v>14</v>
      </c>
      <c r="O2047" s="4" t="s">
        <v>343</v>
      </c>
      <c r="P2047" s="4">
        <v>2</v>
      </c>
      <c r="Q2047" s="4" t="s">
        <v>539</v>
      </c>
      <c r="T2047" s="4">
        <v>110.13</v>
      </c>
      <c r="U2047" s="4">
        <v>0.519</v>
      </c>
      <c r="V2047" s="4">
        <v>17.37</v>
      </c>
      <c r="AG2047" s="4" t="s">
        <v>316</v>
      </c>
      <c r="AH2047" s="4" t="s">
        <v>1601</v>
      </c>
      <c r="AI2047" s="4" t="s">
        <v>1605</v>
      </c>
      <c r="AL2047" s="4" t="s">
        <v>1556</v>
      </c>
      <c r="AM2047" s="4">
        <v>7.73</v>
      </c>
      <c r="AN2047" s="4">
        <v>4.28</v>
      </c>
      <c r="AO2047" s="4">
        <v>207.91</v>
      </c>
      <c r="AQ2047" s="4" t="s">
        <v>7</v>
      </c>
      <c r="AR2047" s="4">
        <v>1.12</v>
      </c>
      <c r="AS2047" s="4" t="s">
        <v>13</v>
      </c>
      <c r="AT2047" s="4">
        <v>52.39</v>
      </c>
      <c r="AU2047" s="4" t="s">
        <v>15</v>
      </c>
      <c r="AV2047" s="4">
        <v>96</v>
      </c>
      <c r="AW2047" s="4" t="s">
        <v>12</v>
      </c>
      <c r="AX2047" s="4">
        <v>3.45</v>
      </c>
      <c r="AY2047" s="4" t="s">
        <v>14</v>
      </c>
      <c r="AZ2047" s="4">
        <v>4.95</v>
      </c>
      <c r="BI2047" s="4" t="s">
        <v>321</v>
      </c>
      <c r="BP2047" s="4">
        <v>0.1</v>
      </c>
      <c r="BV2047" s="4" t="s">
        <v>1552</v>
      </c>
      <c r="BW2047" s="4">
        <v>25</v>
      </c>
      <c r="BX2047" s="4">
        <v>75</v>
      </c>
      <c r="CX2047" s="4" t="s">
        <v>314</v>
      </c>
      <c r="DD2047" s="4">
        <v>36.25</v>
      </c>
      <c r="DE2047" s="4">
        <v>29.63</v>
      </c>
      <c r="DO2047" s="57"/>
      <c r="DQ2047" s="60">
        <v>1.11649484536082</v>
      </c>
      <c r="DT2047" s="55">
        <v>0.568911917098445</v>
      </c>
      <c r="DY2047" s="1">
        <v>0</v>
      </c>
      <c r="DZ2047" s="1">
        <v>0</v>
      </c>
      <c r="EA2047" s="52">
        <v>100</v>
      </c>
      <c r="ED2047" s="52">
        <v>100</v>
      </c>
    </row>
    <row r="2048" customHeight="1" spans="1:134">
      <c r="A2048" s="54">
        <v>70</v>
      </c>
      <c r="B2048" s="4" t="s">
        <v>1599</v>
      </c>
      <c r="C2048" s="5" t="s">
        <v>1614</v>
      </c>
      <c r="D2048" s="4" t="s">
        <v>300</v>
      </c>
      <c r="E2048" s="4" t="s">
        <v>1603</v>
      </c>
      <c r="F2048" s="4" t="s">
        <v>328</v>
      </c>
      <c r="G2048" s="4" t="s">
        <v>1611</v>
      </c>
      <c r="N2048" s="4" t="s">
        <v>14</v>
      </c>
      <c r="O2048" s="4" t="s">
        <v>343</v>
      </c>
      <c r="P2048" s="4">
        <v>2</v>
      </c>
      <c r="Q2048" s="4" t="s">
        <v>539</v>
      </c>
      <c r="T2048" s="4">
        <v>110.13</v>
      </c>
      <c r="U2048" s="4">
        <v>0.519</v>
      </c>
      <c r="V2048" s="4">
        <v>17.37</v>
      </c>
      <c r="AG2048" s="4" t="s">
        <v>316</v>
      </c>
      <c r="AH2048" s="4" t="s">
        <v>1601</v>
      </c>
      <c r="AI2048" s="4" t="s">
        <v>1605</v>
      </c>
      <c r="AL2048" s="4" t="s">
        <v>1556</v>
      </c>
      <c r="AM2048" s="4">
        <v>7.73</v>
      </c>
      <c r="AN2048" s="4">
        <v>4.28</v>
      </c>
      <c r="AO2048" s="4">
        <v>207.91</v>
      </c>
      <c r="AQ2048" s="4" t="s">
        <v>7</v>
      </c>
      <c r="AR2048" s="4">
        <v>1.12</v>
      </c>
      <c r="AS2048" s="4" t="s">
        <v>13</v>
      </c>
      <c r="AT2048" s="4">
        <v>52.39</v>
      </c>
      <c r="AU2048" s="4" t="s">
        <v>15</v>
      </c>
      <c r="AV2048" s="4">
        <v>96</v>
      </c>
      <c r="AW2048" s="4" t="s">
        <v>12</v>
      </c>
      <c r="AX2048" s="4">
        <v>3.45</v>
      </c>
      <c r="AY2048" s="4" t="s">
        <v>14</v>
      </c>
      <c r="AZ2048" s="4">
        <v>4.95</v>
      </c>
      <c r="BI2048" s="4" t="s">
        <v>321</v>
      </c>
      <c r="BP2048" s="4">
        <v>0.1</v>
      </c>
      <c r="BV2048" s="4" t="s">
        <v>488</v>
      </c>
      <c r="BW2048" s="4">
        <v>25</v>
      </c>
      <c r="BX2048" s="4">
        <v>75</v>
      </c>
      <c r="CX2048" s="4" t="s">
        <v>314</v>
      </c>
      <c r="DD2048" s="4">
        <v>36.25</v>
      </c>
      <c r="DE2048" s="4">
        <v>29.63</v>
      </c>
      <c r="DO2048" s="57"/>
      <c r="DQ2048" s="60">
        <v>1.24329896907216</v>
      </c>
      <c r="DT2048" s="55">
        <v>0.301554404145077</v>
      </c>
      <c r="DY2048" s="1">
        <v>0</v>
      </c>
      <c r="DZ2048" s="1">
        <v>0</v>
      </c>
      <c r="EA2048" s="52">
        <v>100</v>
      </c>
      <c r="ED2048" s="52">
        <v>100</v>
      </c>
    </row>
    <row r="2049" customHeight="1" spans="1:149">
      <c r="A2049" s="54">
        <v>70</v>
      </c>
      <c r="B2049" s="4" t="s">
        <v>1599</v>
      </c>
      <c r="C2049" s="5" t="s">
        <v>1614</v>
      </c>
      <c r="D2049" s="4" t="s">
        <v>300</v>
      </c>
      <c r="E2049" s="4" t="s">
        <v>1603</v>
      </c>
      <c r="F2049" s="4" t="s">
        <v>328</v>
      </c>
      <c r="G2049" s="4" t="s">
        <v>1611</v>
      </c>
      <c r="N2049" s="4" t="s">
        <v>14</v>
      </c>
      <c r="O2049" s="4" t="s">
        <v>343</v>
      </c>
      <c r="P2049" s="4">
        <v>2</v>
      </c>
      <c r="Q2049" s="4" t="s">
        <v>539</v>
      </c>
      <c r="T2049" s="4">
        <v>110.13</v>
      </c>
      <c r="U2049" s="4">
        <v>0.519</v>
      </c>
      <c r="V2049" s="4">
        <v>17.37</v>
      </c>
      <c r="AG2049" s="4" t="s">
        <v>316</v>
      </c>
      <c r="AH2049" s="4" t="s">
        <v>1608</v>
      </c>
      <c r="AI2049" s="4" t="s">
        <v>1609</v>
      </c>
      <c r="AL2049" s="4" t="s">
        <v>1556</v>
      </c>
      <c r="AM2049" s="4">
        <v>6.56</v>
      </c>
      <c r="AN2049" s="4">
        <v>8.1</v>
      </c>
      <c r="AO2049" s="4">
        <v>168.17</v>
      </c>
      <c r="AQ2049" s="4" t="s">
        <v>7</v>
      </c>
      <c r="AR2049" s="4">
        <v>0.42</v>
      </c>
      <c r="AS2049" s="4" t="s">
        <v>13</v>
      </c>
      <c r="AT2049" s="4">
        <v>253.22</v>
      </c>
      <c r="AU2049" s="4" t="s">
        <v>15</v>
      </c>
      <c r="AV2049" s="4">
        <v>23.62</v>
      </c>
      <c r="AW2049" s="4" t="s">
        <v>12</v>
      </c>
      <c r="AX2049" s="4">
        <v>3.35</v>
      </c>
      <c r="AY2049" s="4" t="s">
        <v>14</v>
      </c>
      <c r="AZ2049" s="4">
        <v>9.55</v>
      </c>
      <c r="BI2049" s="4" t="s">
        <v>321</v>
      </c>
      <c r="BP2049" s="4">
        <v>0.025</v>
      </c>
      <c r="BV2049" s="4" t="s">
        <v>1606</v>
      </c>
      <c r="BW2049" s="4">
        <v>25</v>
      </c>
      <c r="BX2049" s="4">
        <v>75</v>
      </c>
      <c r="CX2049" s="4" t="s">
        <v>314</v>
      </c>
      <c r="DD2049" s="4">
        <v>36.25</v>
      </c>
      <c r="DE2049" s="4">
        <v>29.63</v>
      </c>
      <c r="DO2049" s="57"/>
      <c r="DQ2049" s="58">
        <v>0.303910614525139</v>
      </c>
      <c r="DT2049" s="55">
        <v>0.137047353760445</v>
      </c>
      <c r="DY2049" s="1">
        <v>0</v>
      </c>
      <c r="DZ2049" s="1">
        <v>0</v>
      </c>
      <c r="EA2049" s="52">
        <v>100</v>
      </c>
      <c r="ED2049" s="52">
        <v>100</v>
      </c>
    </row>
    <row r="2050" customHeight="1" spans="1:149">
      <c r="A2050" s="54">
        <v>70</v>
      </c>
      <c r="B2050" s="4" t="s">
        <v>1599</v>
      </c>
      <c r="C2050" s="5" t="s">
        <v>1614</v>
      </c>
      <c r="D2050" s="4" t="s">
        <v>300</v>
      </c>
      <c r="E2050" s="4" t="s">
        <v>1603</v>
      </c>
      <c r="F2050" s="4" t="s">
        <v>328</v>
      </c>
      <c r="G2050" s="4" t="s">
        <v>1611</v>
      </c>
      <c r="N2050" s="4" t="s">
        <v>14</v>
      </c>
      <c r="O2050" s="4" t="s">
        <v>343</v>
      </c>
      <c r="P2050" s="4">
        <v>2</v>
      </c>
      <c r="Q2050" s="4" t="s">
        <v>539</v>
      </c>
      <c r="T2050" s="4">
        <v>110.13</v>
      </c>
      <c r="U2050" s="4">
        <v>0.519</v>
      </c>
      <c r="V2050" s="4">
        <v>17.37</v>
      </c>
      <c r="AG2050" s="4" t="s">
        <v>316</v>
      </c>
      <c r="AH2050" s="4" t="s">
        <v>1608</v>
      </c>
      <c r="AI2050" s="4" t="s">
        <v>1609</v>
      </c>
      <c r="AL2050" s="4" t="s">
        <v>1556</v>
      </c>
      <c r="AM2050" s="4">
        <v>6.56</v>
      </c>
      <c r="AN2050" s="4">
        <v>8.1</v>
      </c>
      <c r="AO2050" s="4">
        <v>168.17</v>
      </c>
      <c r="AQ2050" s="4" t="s">
        <v>7</v>
      </c>
      <c r="AR2050" s="4">
        <v>0.42</v>
      </c>
      <c r="AS2050" s="4" t="s">
        <v>13</v>
      </c>
      <c r="AT2050" s="4">
        <v>253.22</v>
      </c>
      <c r="AU2050" s="4" t="s">
        <v>15</v>
      </c>
      <c r="AV2050" s="4">
        <v>23.62</v>
      </c>
      <c r="AW2050" s="4" t="s">
        <v>12</v>
      </c>
      <c r="AX2050" s="4">
        <v>3.35</v>
      </c>
      <c r="AY2050" s="4" t="s">
        <v>14</v>
      </c>
      <c r="AZ2050" s="4">
        <v>9.55</v>
      </c>
      <c r="BI2050" s="4" t="s">
        <v>321</v>
      </c>
      <c r="BP2050" s="4">
        <v>0.025</v>
      </c>
      <c r="BV2050" s="4" t="s">
        <v>1607</v>
      </c>
      <c r="BW2050" s="4">
        <v>25</v>
      </c>
      <c r="BX2050" s="4">
        <v>75</v>
      </c>
      <c r="CX2050" s="4" t="s">
        <v>314</v>
      </c>
      <c r="DD2050" s="4">
        <v>36.25</v>
      </c>
      <c r="DE2050" s="4">
        <v>29.63</v>
      </c>
      <c r="DO2050" s="57"/>
      <c r="DQ2050" s="58">
        <v>0.40558659217877</v>
      </c>
      <c r="DT2050" s="55">
        <v>0.154874651810584</v>
      </c>
      <c r="DY2050" s="1">
        <v>0</v>
      </c>
      <c r="DZ2050" s="1">
        <v>0</v>
      </c>
      <c r="EA2050" s="52">
        <v>100</v>
      </c>
      <c r="ED2050" s="52">
        <v>100</v>
      </c>
    </row>
    <row r="2051" customHeight="1" spans="1:149">
      <c r="A2051" s="54">
        <v>70</v>
      </c>
      <c r="B2051" s="4" t="s">
        <v>1599</v>
      </c>
      <c r="C2051" s="5" t="s">
        <v>1614</v>
      </c>
      <c r="D2051" s="4" t="s">
        <v>300</v>
      </c>
      <c r="E2051" s="4" t="s">
        <v>1603</v>
      </c>
      <c r="F2051" s="4" t="s">
        <v>328</v>
      </c>
      <c r="G2051" s="4" t="s">
        <v>1611</v>
      </c>
      <c r="N2051" s="4" t="s">
        <v>14</v>
      </c>
      <c r="O2051" s="4" t="s">
        <v>343</v>
      </c>
      <c r="P2051" s="4">
        <v>2</v>
      </c>
      <c r="Q2051" s="4" t="s">
        <v>539</v>
      </c>
      <c r="T2051" s="4">
        <v>110.13</v>
      </c>
      <c r="U2051" s="4">
        <v>0.519</v>
      </c>
      <c r="V2051" s="4">
        <v>17.37</v>
      </c>
      <c r="AG2051" s="4" t="s">
        <v>316</v>
      </c>
      <c r="AH2051" s="4" t="s">
        <v>1608</v>
      </c>
      <c r="AI2051" s="4" t="s">
        <v>1609</v>
      </c>
      <c r="AL2051" s="4" t="s">
        <v>1556</v>
      </c>
      <c r="AM2051" s="4">
        <v>6.56</v>
      </c>
      <c r="AN2051" s="4">
        <v>8.1</v>
      </c>
      <c r="AO2051" s="4">
        <v>168.17</v>
      </c>
      <c r="AQ2051" s="4" t="s">
        <v>7</v>
      </c>
      <c r="AR2051" s="4">
        <v>0.42</v>
      </c>
      <c r="AS2051" s="4" t="s">
        <v>13</v>
      </c>
      <c r="AT2051" s="4">
        <v>253.22</v>
      </c>
      <c r="AU2051" s="4" t="s">
        <v>15</v>
      </c>
      <c r="AV2051" s="4">
        <v>23.62</v>
      </c>
      <c r="AW2051" s="4" t="s">
        <v>12</v>
      </c>
      <c r="AX2051" s="4">
        <v>3.35</v>
      </c>
      <c r="AY2051" s="4" t="s">
        <v>14</v>
      </c>
      <c r="AZ2051" s="4">
        <v>9.55</v>
      </c>
      <c r="BI2051" s="4" t="s">
        <v>321</v>
      </c>
      <c r="BP2051" s="4">
        <v>0.025</v>
      </c>
      <c r="BV2051" s="4" t="s">
        <v>1552</v>
      </c>
      <c r="BW2051" s="4">
        <v>25</v>
      </c>
      <c r="BX2051" s="4">
        <v>75</v>
      </c>
      <c r="CX2051" s="4" t="s">
        <v>314</v>
      </c>
      <c r="DD2051" s="4">
        <v>36.25</v>
      </c>
      <c r="DE2051" s="4">
        <v>29.63</v>
      </c>
      <c r="DO2051" s="57"/>
      <c r="DQ2051" s="58">
        <v>0.353072625698323</v>
      </c>
      <c r="DT2051" s="55">
        <v>0.0668523676880219</v>
      </c>
      <c r="DY2051" s="1">
        <v>0</v>
      </c>
      <c r="DZ2051" s="1">
        <v>0</v>
      </c>
      <c r="EA2051" s="52">
        <v>100</v>
      </c>
      <c r="ED2051" s="52">
        <v>100</v>
      </c>
    </row>
    <row r="2052" customHeight="1" spans="1:149">
      <c r="A2052" s="54">
        <v>70</v>
      </c>
      <c r="B2052" s="4" t="s">
        <v>1599</v>
      </c>
      <c r="C2052" s="5" t="s">
        <v>1614</v>
      </c>
      <c r="D2052" s="4" t="s">
        <v>300</v>
      </c>
      <c r="E2052" s="4" t="s">
        <v>1603</v>
      </c>
      <c r="F2052" s="4" t="s">
        <v>328</v>
      </c>
      <c r="G2052" s="4" t="s">
        <v>1611</v>
      </c>
      <c r="N2052" s="4" t="s">
        <v>14</v>
      </c>
      <c r="O2052" s="4" t="s">
        <v>343</v>
      </c>
      <c r="P2052" s="4">
        <v>2</v>
      </c>
      <c r="Q2052" s="4" t="s">
        <v>539</v>
      </c>
      <c r="T2052" s="4">
        <v>110.13</v>
      </c>
      <c r="U2052" s="4">
        <v>0.519</v>
      </c>
      <c r="V2052" s="4">
        <v>17.37</v>
      </c>
      <c r="AG2052" s="4" t="s">
        <v>316</v>
      </c>
      <c r="AH2052" s="4" t="s">
        <v>1608</v>
      </c>
      <c r="AI2052" s="4" t="s">
        <v>1609</v>
      </c>
      <c r="AL2052" s="4" t="s">
        <v>1556</v>
      </c>
      <c r="AM2052" s="4">
        <v>6.56</v>
      </c>
      <c r="AN2052" s="4">
        <v>8.1</v>
      </c>
      <c r="AO2052" s="4">
        <v>168.17</v>
      </c>
      <c r="AQ2052" s="4" t="s">
        <v>7</v>
      </c>
      <c r="AR2052" s="4">
        <v>0.42</v>
      </c>
      <c r="AS2052" s="4" t="s">
        <v>13</v>
      </c>
      <c r="AT2052" s="4">
        <v>253.22</v>
      </c>
      <c r="AU2052" s="4" t="s">
        <v>15</v>
      </c>
      <c r="AV2052" s="4">
        <v>23.62</v>
      </c>
      <c r="AW2052" s="4" t="s">
        <v>12</v>
      </c>
      <c r="AX2052" s="4">
        <v>3.35</v>
      </c>
      <c r="AY2052" s="4" t="s">
        <v>14</v>
      </c>
      <c r="AZ2052" s="4">
        <v>9.55</v>
      </c>
      <c r="BI2052" s="4" t="s">
        <v>321</v>
      </c>
      <c r="BP2052" s="4">
        <v>0.025</v>
      </c>
      <c r="BV2052" s="4" t="s">
        <v>488</v>
      </c>
      <c r="BW2052" s="4">
        <v>25</v>
      </c>
      <c r="BX2052" s="4">
        <v>75</v>
      </c>
      <c r="CX2052" s="4" t="s">
        <v>314</v>
      </c>
      <c r="DD2052" s="4">
        <v>36.25</v>
      </c>
      <c r="DE2052" s="4">
        <v>29.63</v>
      </c>
      <c r="DO2052" s="57"/>
      <c r="DQ2052" s="58">
        <v>0.4</v>
      </c>
      <c r="DT2052" s="55">
        <v>0.0601671309192197</v>
      </c>
      <c r="DY2052" s="1">
        <v>0</v>
      </c>
      <c r="DZ2052" s="1">
        <v>0</v>
      </c>
      <c r="EA2052" s="52">
        <v>100</v>
      </c>
      <c r="ED2052" s="52">
        <v>100</v>
      </c>
    </row>
    <row r="2053" customHeight="1" spans="1:149">
      <c r="A2053" s="54">
        <v>70</v>
      </c>
      <c r="B2053" s="4" t="s">
        <v>1599</v>
      </c>
      <c r="C2053" s="5" t="s">
        <v>1614</v>
      </c>
      <c r="D2053" s="4" t="s">
        <v>300</v>
      </c>
      <c r="E2053" s="4" t="s">
        <v>1603</v>
      </c>
      <c r="F2053" s="4" t="s">
        <v>328</v>
      </c>
      <c r="G2053" s="4" t="s">
        <v>1611</v>
      </c>
      <c r="N2053" s="4" t="s">
        <v>14</v>
      </c>
      <c r="O2053" s="4" t="s">
        <v>343</v>
      </c>
      <c r="P2053" s="4">
        <v>2</v>
      </c>
      <c r="Q2053" s="4" t="s">
        <v>539</v>
      </c>
      <c r="T2053" s="4">
        <v>110.13</v>
      </c>
      <c r="U2053" s="4">
        <v>0.519</v>
      </c>
      <c r="V2053" s="4">
        <v>17.37</v>
      </c>
      <c r="AG2053" s="4" t="s">
        <v>316</v>
      </c>
      <c r="AH2053" s="4" t="s">
        <v>1608</v>
      </c>
      <c r="AI2053" s="4" t="s">
        <v>1609</v>
      </c>
      <c r="AL2053" s="4" t="s">
        <v>1556</v>
      </c>
      <c r="AM2053" s="4">
        <v>6.56</v>
      </c>
      <c r="AN2053" s="4">
        <v>8.1</v>
      </c>
      <c r="AO2053" s="4">
        <v>168.17</v>
      </c>
      <c r="AQ2053" s="4" t="s">
        <v>7</v>
      </c>
      <c r="AR2053" s="4">
        <v>0.42</v>
      </c>
      <c r="AS2053" s="4" t="s">
        <v>13</v>
      </c>
      <c r="AT2053" s="4">
        <v>253.22</v>
      </c>
      <c r="AU2053" s="4" t="s">
        <v>15</v>
      </c>
      <c r="AV2053" s="4">
        <v>23.62</v>
      </c>
      <c r="AW2053" s="4" t="s">
        <v>12</v>
      </c>
      <c r="AX2053" s="4">
        <v>3.35</v>
      </c>
      <c r="AY2053" s="4" t="s">
        <v>14</v>
      </c>
      <c r="AZ2053" s="4">
        <v>9.55</v>
      </c>
      <c r="BI2053" s="4" t="s">
        <v>321</v>
      </c>
      <c r="BP2053" s="4">
        <v>0.05</v>
      </c>
      <c r="BV2053" s="4" t="s">
        <v>1606</v>
      </c>
      <c r="BW2053" s="4">
        <v>25</v>
      </c>
      <c r="BX2053" s="4">
        <v>75</v>
      </c>
      <c r="CX2053" s="4" t="s">
        <v>314</v>
      </c>
      <c r="DD2053" s="4">
        <v>36.25</v>
      </c>
      <c r="DE2053" s="4">
        <v>29.63</v>
      </c>
      <c r="DO2053" s="57"/>
      <c r="DQ2053" s="58">
        <v>0.303910614525139</v>
      </c>
      <c r="DT2053" s="55">
        <v>0.059052924791086</v>
      </c>
      <c r="DY2053" s="1">
        <v>0</v>
      </c>
      <c r="DZ2053" s="1">
        <v>0</v>
      </c>
      <c r="EA2053" s="52">
        <v>100</v>
      </c>
      <c r="ED2053" s="52">
        <v>100</v>
      </c>
    </row>
    <row r="2054" customHeight="1" spans="1:149">
      <c r="A2054" s="54">
        <v>70</v>
      </c>
      <c r="B2054" s="4" t="s">
        <v>1599</v>
      </c>
      <c r="C2054" s="5" t="s">
        <v>1614</v>
      </c>
      <c r="D2054" s="4" t="s">
        <v>300</v>
      </c>
      <c r="E2054" s="4" t="s">
        <v>1603</v>
      </c>
      <c r="F2054" s="4" t="s">
        <v>328</v>
      </c>
      <c r="G2054" s="4" t="s">
        <v>1611</v>
      </c>
      <c r="N2054" s="4" t="s">
        <v>14</v>
      </c>
      <c r="O2054" s="4" t="s">
        <v>343</v>
      </c>
      <c r="P2054" s="4">
        <v>2</v>
      </c>
      <c r="Q2054" s="4" t="s">
        <v>539</v>
      </c>
      <c r="T2054" s="4">
        <v>110.13</v>
      </c>
      <c r="U2054" s="4">
        <v>0.519</v>
      </c>
      <c r="V2054" s="4">
        <v>17.37</v>
      </c>
      <c r="AG2054" s="4" t="s">
        <v>316</v>
      </c>
      <c r="AH2054" s="4" t="s">
        <v>1608</v>
      </c>
      <c r="AI2054" s="4" t="s">
        <v>1609</v>
      </c>
      <c r="AL2054" s="4" t="s">
        <v>1556</v>
      </c>
      <c r="AM2054" s="4">
        <v>6.56</v>
      </c>
      <c r="AN2054" s="4">
        <v>8.1</v>
      </c>
      <c r="AO2054" s="4">
        <v>168.17</v>
      </c>
      <c r="AQ2054" s="4" t="s">
        <v>7</v>
      </c>
      <c r="AR2054" s="4">
        <v>0.42</v>
      </c>
      <c r="AS2054" s="4" t="s">
        <v>13</v>
      </c>
      <c r="AT2054" s="4">
        <v>253.22</v>
      </c>
      <c r="AU2054" s="4" t="s">
        <v>15</v>
      </c>
      <c r="AV2054" s="4">
        <v>23.62</v>
      </c>
      <c r="AW2054" s="4" t="s">
        <v>12</v>
      </c>
      <c r="AX2054" s="4">
        <v>3.35</v>
      </c>
      <c r="AY2054" s="4" t="s">
        <v>14</v>
      </c>
      <c r="AZ2054" s="4">
        <v>9.55</v>
      </c>
      <c r="BI2054" s="4" t="s">
        <v>321</v>
      </c>
      <c r="BP2054" s="4">
        <v>0.05</v>
      </c>
      <c r="BV2054" s="4" t="s">
        <v>1607</v>
      </c>
      <c r="BW2054" s="4">
        <v>25</v>
      </c>
      <c r="BX2054" s="4">
        <v>75</v>
      </c>
      <c r="CX2054" s="4" t="s">
        <v>314</v>
      </c>
      <c r="DD2054" s="4">
        <v>36.25</v>
      </c>
      <c r="DE2054" s="4">
        <v>29.63</v>
      </c>
      <c r="DO2054" s="57"/>
      <c r="DQ2054" s="58">
        <v>0.40558659217877</v>
      </c>
      <c r="DT2054" s="55">
        <v>0.0657381615598882</v>
      </c>
      <c r="DY2054" s="1">
        <v>0</v>
      </c>
      <c r="DZ2054" s="1">
        <v>0</v>
      </c>
      <c r="EA2054" s="52">
        <v>100</v>
      </c>
      <c r="ED2054" s="52">
        <v>100</v>
      </c>
    </row>
    <row r="2055" customHeight="1" spans="1:149">
      <c r="A2055" s="54">
        <v>70</v>
      </c>
      <c r="B2055" s="4" t="s">
        <v>1599</v>
      </c>
      <c r="C2055" s="5" t="s">
        <v>1614</v>
      </c>
      <c r="D2055" s="4" t="s">
        <v>300</v>
      </c>
      <c r="E2055" s="4" t="s">
        <v>1603</v>
      </c>
      <c r="F2055" s="4" t="s">
        <v>328</v>
      </c>
      <c r="G2055" s="4" t="s">
        <v>1611</v>
      </c>
      <c r="N2055" s="4" t="s">
        <v>14</v>
      </c>
      <c r="O2055" s="4" t="s">
        <v>343</v>
      </c>
      <c r="P2055" s="4">
        <v>2</v>
      </c>
      <c r="Q2055" s="4" t="s">
        <v>539</v>
      </c>
      <c r="T2055" s="4">
        <v>110.13</v>
      </c>
      <c r="U2055" s="4">
        <v>0.519</v>
      </c>
      <c r="V2055" s="4">
        <v>17.37</v>
      </c>
      <c r="AG2055" s="4" t="s">
        <v>316</v>
      </c>
      <c r="AH2055" s="4" t="s">
        <v>1608</v>
      </c>
      <c r="AI2055" s="4" t="s">
        <v>1609</v>
      </c>
      <c r="AL2055" s="4" t="s">
        <v>1556</v>
      </c>
      <c r="AM2055" s="4">
        <v>6.56</v>
      </c>
      <c r="AN2055" s="4">
        <v>8.1</v>
      </c>
      <c r="AO2055" s="4">
        <v>168.17</v>
      </c>
      <c r="AQ2055" s="4" t="s">
        <v>7</v>
      </c>
      <c r="AR2055" s="4">
        <v>0.42</v>
      </c>
      <c r="AS2055" s="4" t="s">
        <v>13</v>
      </c>
      <c r="AT2055" s="4">
        <v>253.22</v>
      </c>
      <c r="AU2055" s="4" t="s">
        <v>15</v>
      </c>
      <c r="AV2055" s="4">
        <v>23.62</v>
      </c>
      <c r="AW2055" s="4" t="s">
        <v>12</v>
      </c>
      <c r="AX2055" s="4">
        <v>3.35</v>
      </c>
      <c r="AY2055" s="4" t="s">
        <v>14</v>
      </c>
      <c r="AZ2055" s="4">
        <v>9.55</v>
      </c>
      <c r="BI2055" s="4" t="s">
        <v>321</v>
      </c>
      <c r="BP2055" s="4">
        <v>0.05</v>
      </c>
      <c r="BV2055" s="4" t="s">
        <v>1552</v>
      </c>
      <c r="BW2055" s="4">
        <v>25</v>
      </c>
      <c r="BX2055" s="4">
        <v>75</v>
      </c>
      <c r="CX2055" s="4" t="s">
        <v>314</v>
      </c>
      <c r="DD2055" s="4">
        <v>36.25</v>
      </c>
      <c r="DE2055" s="4">
        <v>29.63</v>
      </c>
      <c r="DO2055" s="57"/>
      <c r="DQ2055" s="58">
        <v>0.353072625698323</v>
      </c>
      <c r="DT2055" s="55">
        <v>0.0289693593314768</v>
      </c>
      <c r="DY2055" s="1">
        <v>0</v>
      </c>
      <c r="DZ2055" s="1">
        <v>0</v>
      </c>
      <c r="EA2055" s="52">
        <v>100</v>
      </c>
      <c r="ED2055" s="52">
        <v>100</v>
      </c>
    </row>
    <row r="2056" customHeight="1" spans="1:149">
      <c r="A2056" s="54">
        <v>70</v>
      </c>
      <c r="B2056" s="4" t="s">
        <v>1599</v>
      </c>
      <c r="C2056" s="5" t="s">
        <v>1614</v>
      </c>
      <c r="D2056" s="4" t="s">
        <v>300</v>
      </c>
      <c r="E2056" s="4" t="s">
        <v>1603</v>
      </c>
      <c r="F2056" s="4" t="s">
        <v>328</v>
      </c>
      <c r="G2056" s="4" t="s">
        <v>1611</v>
      </c>
      <c r="N2056" s="4" t="s">
        <v>14</v>
      </c>
      <c r="O2056" s="4" t="s">
        <v>343</v>
      </c>
      <c r="P2056" s="4">
        <v>2</v>
      </c>
      <c r="Q2056" s="4" t="s">
        <v>539</v>
      </c>
      <c r="T2056" s="4">
        <v>110.13</v>
      </c>
      <c r="U2056" s="4">
        <v>0.519</v>
      </c>
      <c r="V2056" s="4">
        <v>17.37</v>
      </c>
      <c r="AG2056" s="4" t="s">
        <v>316</v>
      </c>
      <c r="AH2056" s="4" t="s">
        <v>1608</v>
      </c>
      <c r="AI2056" s="4" t="s">
        <v>1609</v>
      </c>
      <c r="AL2056" s="4" t="s">
        <v>1556</v>
      </c>
      <c r="AM2056" s="4">
        <v>6.56</v>
      </c>
      <c r="AN2056" s="4">
        <v>8.1</v>
      </c>
      <c r="AO2056" s="4">
        <v>168.17</v>
      </c>
      <c r="AQ2056" s="4" t="s">
        <v>7</v>
      </c>
      <c r="AR2056" s="4">
        <v>0.42</v>
      </c>
      <c r="AS2056" s="4" t="s">
        <v>13</v>
      </c>
      <c r="AT2056" s="4">
        <v>253.22</v>
      </c>
      <c r="AU2056" s="4" t="s">
        <v>15</v>
      </c>
      <c r="AV2056" s="4">
        <v>23.62</v>
      </c>
      <c r="AW2056" s="4" t="s">
        <v>12</v>
      </c>
      <c r="AX2056" s="4">
        <v>3.35</v>
      </c>
      <c r="AY2056" s="4" t="s">
        <v>14</v>
      </c>
      <c r="AZ2056" s="4">
        <v>9.55</v>
      </c>
      <c r="BI2056" s="4" t="s">
        <v>321</v>
      </c>
      <c r="BP2056" s="4">
        <v>0.05</v>
      </c>
      <c r="BV2056" s="4" t="s">
        <v>488</v>
      </c>
      <c r="BW2056" s="4">
        <v>25</v>
      </c>
      <c r="BX2056" s="4">
        <v>75</v>
      </c>
      <c r="CX2056" s="4" t="s">
        <v>314</v>
      </c>
      <c r="DD2056" s="4">
        <v>36.25</v>
      </c>
      <c r="DE2056" s="4">
        <v>29.63</v>
      </c>
      <c r="DO2056" s="57"/>
      <c r="DQ2056" s="58">
        <v>0.4</v>
      </c>
      <c r="DT2056" s="55">
        <v>0.0323119777158782</v>
      </c>
      <c r="DY2056" s="1">
        <v>0</v>
      </c>
      <c r="DZ2056" s="1">
        <v>0</v>
      </c>
      <c r="EA2056" s="52">
        <v>100</v>
      </c>
      <c r="ED2056" s="52">
        <v>100</v>
      </c>
    </row>
    <row r="2057" customHeight="1" spans="1:149">
      <c r="A2057" s="54">
        <v>70</v>
      </c>
      <c r="B2057" s="4" t="s">
        <v>1599</v>
      </c>
      <c r="C2057" s="5" t="s">
        <v>1614</v>
      </c>
      <c r="D2057" s="4" t="s">
        <v>300</v>
      </c>
      <c r="E2057" s="4" t="s">
        <v>1603</v>
      </c>
      <c r="F2057" s="4" t="s">
        <v>328</v>
      </c>
      <c r="G2057" s="4" t="s">
        <v>1611</v>
      </c>
      <c r="N2057" s="4" t="s">
        <v>14</v>
      </c>
      <c r="O2057" s="4" t="s">
        <v>343</v>
      </c>
      <c r="P2057" s="4">
        <v>2</v>
      </c>
      <c r="Q2057" s="4" t="s">
        <v>539</v>
      </c>
      <c r="T2057" s="4">
        <v>110.13</v>
      </c>
      <c r="U2057" s="4">
        <v>0.519</v>
      </c>
      <c r="V2057" s="4">
        <v>17.37</v>
      </c>
      <c r="AG2057" s="4" t="s">
        <v>316</v>
      </c>
      <c r="AH2057" s="4" t="s">
        <v>1608</v>
      </c>
      <c r="AI2057" s="4" t="s">
        <v>1609</v>
      </c>
      <c r="AL2057" s="4" t="s">
        <v>1556</v>
      </c>
      <c r="AM2057" s="4">
        <v>6.56</v>
      </c>
      <c r="AN2057" s="4">
        <v>8.1</v>
      </c>
      <c r="AO2057" s="4">
        <v>168.17</v>
      </c>
      <c r="AQ2057" s="4" t="s">
        <v>7</v>
      </c>
      <c r="AR2057" s="4">
        <v>0.42</v>
      </c>
      <c r="AS2057" s="4" t="s">
        <v>13</v>
      </c>
      <c r="AT2057" s="4">
        <v>253.22</v>
      </c>
      <c r="AU2057" s="4" t="s">
        <v>15</v>
      </c>
      <c r="AV2057" s="4">
        <v>23.62</v>
      </c>
      <c r="AW2057" s="4" t="s">
        <v>12</v>
      </c>
      <c r="AX2057" s="4">
        <v>3.35</v>
      </c>
      <c r="AY2057" s="4" t="s">
        <v>14</v>
      </c>
      <c r="AZ2057" s="4">
        <v>9.55</v>
      </c>
      <c r="BI2057" s="4" t="s">
        <v>321</v>
      </c>
      <c r="BP2057" s="4">
        <v>0.1</v>
      </c>
      <c r="BV2057" s="4" t="s">
        <v>1606</v>
      </c>
      <c r="BW2057" s="4">
        <v>25</v>
      </c>
      <c r="BX2057" s="4">
        <v>75</v>
      </c>
      <c r="CX2057" s="4" t="s">
        <v>314</v>
      </c>
      <c r="DD2057" s="4">
        <v>36.25</v>
      </c>
      <c r="DE2057" s="4">
        <v>29.63</v>
      </c>
      <c r="DO2057" s="57"/>
      <c r="DQ2057" s="58">
        <v>0.303910614525139</v>
      </c>
      <c r="DT2057" s="55">
        <v>0.0245125348189412</v>
      </c>
      <c r="DY2057" s="1">
        <v>0</v>
      </c>
      <c r="DZ2057" s="1">
        <v>0</v>
      </c>
      <c r="EA2057" s="52">
        <v>100</v>
      </c>
      <c r="ED2057" s="52">
        <v>100</v>
      </c>
    </row>
    <row r="2058" customHeight="1" spans="1:149">
      <c r="A2058" s="54">
        <v>70</v>
      </c>
      <c r="B2058" s="4" t="s">
        <v>1599</v>
      </c>
      <c r="C2058" s="5" t="s">
        <v>1614</v>
      </c>
      <c r="D2058" s="4" t="s">
        <v>300</v>
      </c>
      <c r="E2058" s="4" t="s">
        <v>1603</v>
      </c>
      <c r="F2058" s="4" t="s">
        <v>328</v>
      </c>
      <c r="G2058" s="4" t="s">
        <v>1611</v>
      </c>
      <c r="N2058" s="4" t="s">
        <v>14</v>
      </c>
      <c r="O2058" s="4" t="s">
        <v>343</v>
      </c>
      <c r="P2058" s="4">
        <v>2</v>
      </c>
      <c r="Q2058" s="4" t="s">
        <v>539</v>
      </c>
      <c r="T2058" s="4">
        <v>110.13</v>
      </c>
      <c r="U2058" s="4">
        <v>0.519</v>
      </c>
      <c r="V2058" s="4">
        <v>17.37</v>
      </c>
      <c r="AG2058" s="4" t="s">
        <v>316</v>
      </c>
      <c r="AH2058" s="4" t="s">
        <v>1608</v>
      </c>
      <c r="AI2058" s="4" t="s">
        <v>1609</v>
      </c>
      <c r="AL2058" s="4" t="s">
        <v>1556</v>
      </c>
      <c r="AM2058" s="4">
        <v>6.56</v>
      </c>
      <c r="AN2058" s="4">
        <v>8.1</v>
      </c>
      <c r="AO2058" s="4">
        <v>168.17</v>
      </c>
      <c r="AQ2058" s="4" t="s">
        <v>7</v>
      </c>
      <c r="AR2058" s="4">
        <v>0.42</v>
      </c>
      <c r="AS2058" s="4" t="s">
        <v>13</v>
      </c>
      <c r="AT2058" s="4">
        <v>253.22</v>
      </c>
      <c r="AU2058" s="4" t="s">
        <v>15</v>
      </c>
      <c r="AV2058" s="4">
        <v>23.62</v>
      </c>
      <c r="AW2058" s="4" t="s">
        <v>12</v>
      </c>
      <c r="AX2058" s="4">
        <v>3.35</v>
      </c>
      <c r="AY2058" s="4" t="s">
        <v>14</v>
      </c>
      <c r="AZ2058" s="4">
        <v>9.55</v>
      </c>
      <c r="BI2058" s="4" t="s">
        <v>321</v>
      </c>
      <c r="BP2058" s="4">
        <v>0.1</v>
      </c>
      <c r="BV2058" s="4" t="s">
        <v>1607</v>
      </c>
      <c r="BW2058" s="4">
        <v>25</v>
      </c>
      <c r="BX2058" s="4">
        <v>75</v>
      </c>
      <c r="CX2058" s="4" t="s">
        <v>314</v>
      </c>
      <c r="DD2058" s="4">
        <v>36.25</v>
      </c>
      <c r="DE2058" s="4">
        <v>29.63</v>
      </c>
      <c r="DO2058" s="57"/>
      <c r="DQ2058" s="58">
        <v>0.40558659217877</v>
      </c>
      <c r="DT2058" s="55">
        <v>0.0434540389972136</v>
      </c>
      <c r="DY2058" s="1">
        <v>0</v>
      </c>
      <c r="DZ2058" s="1">
        <v>0</v>
      </c>
      <c r="EA2058" s="52">
        <v>100</v>
      </c>
      <c r="ED2058" s="52">
        <v>100</v>
      </c>
    </row>
    <row r="2059" customHeight="1" spans="1:149">
      <c r="A2059" s="54">
        <v>70</v>
      </c>
      <c r="B2059" s="4" t="s">
        <v>1599</v>
      </c>
      <c r="C2059" s="5" t="s">
        <v>1614</v>
      </c>
      <c r="D2059" s="4" t="s">
        <v>300</v>
      </c>
      <c r="E2059" s="4" t="s">
        <v>1603</v>
      </c>
      <c r="F2059" s="4" t="s">
        <v>328</v>
      </c>
      <c r="G2059" s="4" t="s">
        <v>1611</v>
      </c>
      <c r="N2059" s="4" t="s">
        <v>14</v>
      </c>
      <c r="O2059" s="4" t="s">
        <v>343</v>
      </c>
      <c r="P2059" s="4">
        <v>2</v>
      </c>
      <c r="Q2059" s="4" t="s">
        <v>539</v>
      </c>
      <c r="T2059" s="4">
        <v>110.13</v>
      </c>
      <c r="U2059" s="4">
        <v>0.519</v>
      </c>
      <c r="V2059" s="4">
        <v>17.37</v>
      </c>
      <c r="AG2059" s="4" t="s">
        <v>316</v>
      </c>
      <c r="AH2059" s="4" t="s">
        <v>1608</v>
      </c>
      <c r="AI2059" s="4" t="s">
        <v>1609</v>
      </c>
      <c r="AL2059" s="4" t="s">
        <v>1556</v>
      </c>
      <c r="AM2059" s="4">
        <v>6.56</v>
      </c>
      <c r="AN2059" s="4">
        <v>8.1</v>
      </c>
      <c r="AO2059" s="4">
        <v>168.17</v>
      </c>
      <c r="AQ2059" s="4" t="s">
        <v>7</v>
      </c>
      <c r="AR2059" s="4">
        <v>0.42</v>
      </c>
      <c r="AS2059" s="4" t="s">
        <v>13</v>
      </c>
      <c r="AT2059" s="4">
        <v>253.22</v>
      </c>
      <c r="AU2059" s="4" t="s">
        <v>15</v>
      </c>
      <c r="AV2059" s="4">
        <v>23.62</v>
      </c>
      <c r="AW2059" s="4" t="s">
        <v>12</v>
      </c>
      <c r="AX2059" s="4">
        <v>3.35</v>
      </c>
      <c r="AY2059" s="4" t="s">
        <v>14</v>
      </c>
      <c r="AZ2059" s="4">
        <v>9.55</v>
      </c>
      <c r="BI2059" s="4" t="s">
        <v>321</v>
      </c>
      <c r="BP2059" s="4">
        <v>0.1</v>
      </c>
      <c r="BV2059" s="4" t="s">
        <v>1552</v>
      </c>
      <c r="BW2059" s="4">
        <v>25</v>
      </c>
      <c r="BX2059" s="4">
        <v>75</v>
      </c>
      <c r="CX2059" s="4" t="s">
        <v>314</v>
      </c>
      <c r="DD2059" s="4">
        <v>36.25</v>
      </c>
      <c r="DE2059" s="4">
        <v>29.63</v>
      </c>
      <c r="DO2059" s="57"/>
      <c r="DQ2059" s="58">
        <v>0.353072625698323</v>
      </c>
      <c r="DT2059" s="55">
        <v>0.0267409470752079</v>
      </c>
      <c r="DY2059" s="1">
        <v>0</v>
      </c>
      <c r="DZ2059" s="1">
        <v>0</v>
      </c>
      <c r="EA2059" s="52">
        <v>100</v>
      </c>
      <c r="ED2059" s="52">
        <v>100</v>
      </c>
    </row>
    <row r="2060" customHeight="1" spans="1:149">
      <c r="A2060" s="54">
        <v>70</v>
      </c>
      <c r="B2060" s="4" t="s">
        <v>1599</v>
      </c>
      <c r="C2060" s="5" t="s">
        <v>1614</v>
      </c>
      <c r="D2060" s="4" t="s">
        <v>300</v>
      </c>
      <c r="E2060" s="4" t="s">
        <v>1603</v>
      </c>
      <c r="F2060" s="4" t="s">
        <v>328</v>
      </c>
      <c r="G2060" s="4" t="s">
        <v>1611</v>
      </c>
      <c r="N2060" s="4" t="s">
        <v>14</v>
      </c>
      <c r="O2060" s="4" t="s">
        <v>343</v>
      </c>
      <c r="P2060" s="4">
        <v>2</v>
      </c>
      <c r="Q2060" s="4" t="s">
        <v>539</v>
      </c>
      <c r="T2060" s="4">
        <v>110.13</v>
      </c>
      <c r="U2060" s="4">
        <v>0.519</v>
      </c>
      <c r="V2060" s="4">
        <v>17.37</v>
      </c>
      <c r="AG2060" s="4" t="s">
        <v>316</v>
      </c>
      <c r="AH2060" s="4" t="s">
        <v>1608</v>
      </c>
      <c r="AI2060" s="4" t="s">
        <v>1609</v>
      </c>
      <c r="AL2060" s="4" t="s">
        <v>1556</v>
      </c>
      <c r="AM2060" s="4">
        <v>6.56</v>
      </c>
      <c r="AN2060" s="4">
        <v>8.1</v>
      </c>
      <c r="AO2060" s="4">
        <v>168.17</v>
      </c>
      <c r="AQ2060" s="4" t="s">
        <v>7</v>
      </c>
      <c r="AR2060" s="4">
        <v>0.42</v>
      </c>
      <c r="AS2060" s="4" t="s">
        <v>13</v>
      </c>
      <c r="AT2060" s="4">
        <v>253.22</v>
      </c>
      <c r="AU2060" s="4" t="s">
        <v>15</v>
      </c>
      <c r="AV2060" s="4">
        <v>23.62</v>
      </c>
      <c r="AW2060" s="4" t="s">
        <v>12</v>
      </c>
      <c r="AX2060" s="4">
        <v>3.35</v>
      </c>
      <c r="AY2060" s="4" t="s">
        <v>14</v>
      </c>
      <c r="AZ2060" s="4">
        <v>9.55</v>
      </c>
      <c r="BI2060" s="4" t="s">
        <v>321</v>
      </c>
      <c r="BP2060" s="4">
        <v>0.1</v>
      </c>
      <c r="BV2060" s="4" t="s">
        <v>488</v>
      </c>
      <c r="BW2060" s="4">
        <v>25</v>
      </c>
      <c r="BX2060" s="4">
        <v>75</v>
      </c>
      <c r="CX2060" s="4" t="s">
        <v>314</v>
      </c>
      <c r="DD2060" s="4">
        <v>36.25</v>
      </c>
      <c r="DE2060" s="4">
        <v>29.63</v>
      </c>
      <c r="DO2060" s="57"/>
      <c r="DQ2060" s="58">
        <v>0.4</v>
      </c>
      <c r="DT2060" s="55">
        <v>0.0178272980501388</v>
      </c>
      <c r="DY2060" s="1">
        <v>0</v>
      </c>
      <c r="DZ2060" s="1">
        <v>0</v>
      </c>
      <c r="EA2060" s="52">
        <v>100</v>
      </c>
      <c r="ED2060" s="52">
        <v>100</v>
      </c>
    </row>
    <row r="2061" customHeight="1" spans="1:149">
      <c r="A2061" s="62">
        <v>71</v>
      </c>
      <c r="B2061" s="4" t="s">
        <v>1615</v>
      </c>
      <c r="C2061" s="5" t="s">
        <v>1616</v>
      </c>
      <c r="D2061" s="4" t="s">
        <v>300</v>
      </c>
      <c r="H2061" s="4" t="s">
        <v>328</v>
      </c>
      <c r="I2061" s="4" t="s">
        <v>1617</v>
      </c>
      <c r="N2061" s="4" t="s">
        <v>567</v>
      </c>
      <c r="O2061" s="4" t="s">
        <v>343</v>
      </c>
      <c r="P2061" s="4">
        <v>2</v>
      </c>
      <c r="Q2061" s="4" t="s">
        <v>542</v>
      </c>
      <c r="T2061" s="4">
        <v>61.7819</v>
      </c>
      <c r="U2061" s="4">
        <v>0.093</v>
      </c>
      <c r="V2061" s="4">
        <v>7.12</v>
      </c>
      <c r="W2061" s="4">
        <v>0.776</v>
      </c>
      <c r="X2061" s="4">
        <v>0.776</v>
      </c>
      <c r="Y2061" s="4">
        <v>0.776</v>
      </c>
      <c r="AD2061" s="4" t="s">
        <v>1618</v>
      </c>
      <c r="AG2061" s="4" t="s">
        <v>316</v>
      </c>
      <c r="AH2061" s="4" t="s">
        <v>346</v>
      </c>
      <c r="AI2061" s="4" t="s">
        <v>1619</v>
      </c>
      <c r="AL2061" s="4" t="s">
        <v>321</v>
      </c>
      <c r="AM2061" s="4">
        <v>5.55</v>
      </c>
      <c r="AQ2061" s="4" t="s">
        <v>7</v>
      </c>
      <c r="AR2061" s="4">
        <v>242.42</v>
      </c>
      <c r="AS2061" s="4" t="s">
        <v>8</v>
      </c>
      <c r="AT2061" s="4">
        <v>217.2</v>
      </c>
      <c r="BI2061" s="4" t="s">
        <v>321</v>
      </c>
      <c r="BK2061" s="4">
        <v>25</v>
      </c>
      <c r="BL2061" s="4">
        <v>1</v>
      </c>
      <c r="BM2061" s="4">
        <v>0.1</v>
      </c>
      <c r="BO2061" s="4">
        <v>0.1</v>
      </c>
      <c r="BP2061" s="4">
        <v>10</v>
      </c>
      <c r="BS2061" s="4">
        <v>5.55</v>
      </c>
      <c r="BU2061" s="4">
        <v>150</v>
      </c>
      <c r="BV2061" s="4" t="s">
        <v>1447</v>
      </c>
      <c r="BW2061" s="4">
        <v>25</v>
      </c>
      <c r="BZ2061" s="4">
        <v>2</v>
      </c>
      <c r="CB2061" s="4" t="s">
        <v>7</v>
      </c>
      <c r="CD2061" s="4">
        <v>242.42</v>
      </c>
      <c r="CE2061" s="4" t="s">
        <v>8</v>
      </c>
      <c r="CG2061" s="4">
        <v>217.2</v>
      </c>
      <c r="CX2061" s="4" t="s">
        <v>314</v>
      </c>
      <c r="DB2061" s="4" t="s">
        <v>951</v>
      </c>
      <c r="DC2061" s="4" t="s">
        <v>1620</v>
      </c>
      <c r="DD2061" s="4">
        <v>175.84</v>
      </c>
      <c r="DF2061" s="4">
        <v>193.5</v>
      </c>
      <c r="DY2061" s="1">
        <v>0</v>
      </c>
      <c r="DZ2061" s="1">
        <v>0</v>
      </c>
      <c r="EA2061" s="1">
        <v>90.84</v>
      </c>
      <c r="ED2061" s="1">
        <v>90.84</v>
      </c>
      <c r="EN2061" s="1">
        <v>0</v>
      </c>
      <c r="EO2061" s="1">
        <v>0</v>
      </c>
      <c r="EP2061" s="1">
        <v>93.54</v>
      </c>
      <c r="ES2061" s="1">
        <v>93.54</v>
      </c>
    </row>
    <row r="2062" customHeight="1" spans="1:149">
      <c r="A2062" s="62">
        <v>71</v>
      </c>
      <c r="B2062" s="4" t="s">
        <v>1615</v>
      </c>
      <c r="C2062" s="5" t="s">
        <v>1616</v>
      </c>
      <c r="D2062" s="4" t="s">
        <v>300</v>
      </c>
      <c r="H2062" s="4" t="s">
        <v>328</v>
      </c>
      <c r="I2062" s="4" t="s">
        <v>1617</v>
      </c>
      <c r="N2062" s="4" t="s">
        <v>567</v>
      </c>
      <c r="O2062" s="4" t="s">
        <v>343</v>
      </c>
      <c r="P2062" s="4">
        <v>2</v>
      </c>
      <c r="Q2062" s="4" t="s">
        <v>542</v>
      </c>
      <c r="T2062" s="4">
        <v>61.7819</v>
      </c>
      <c r="U2062" s="4">
        <v>0.093</v>
      </c>
      <c r="V2062" s="4">
        <v>7.12</v>
      </c>
      <c r="W2062" s="4">
        <v>0.776</v>
      </c>
      <c r="X2062" s="4">
        <v>0.776</v>
      </c>
      <c r="Y2062" s="4">
        <v>0.776</v>
      </c>
      <c r="AD2062" s="4" t="s">
        <v>1618</v>
      </c>
      <c r="AG2062" s="4" t="s">
        <v>316</v>
      </c>
      <c r="AH2062" s="4" t="s">
        <v>346</v>
      </c>
      <c r="AI2062" s="4" t="s">
        <v>1619</v>
      </c>
      <c r="AL2062" s="4" t="s">
        <v>321</v>
      </c>
      <c r="AM2062" s="4">
        <v>5.55</v>
      </c>
      <c r="AQ2062" s="4" t="s">
        <v>7</v>
      </c>
      <c r="AR2062" s="4">
        <v>242.42</v>
      </c>
      <c r="AS2062" s="4" t="s">
        <v>8</v>
      </c>
      <c r="AT2062" s="4">
        <v>217.2</v>
      </c>
      <c r="BI2062" s="4" t="s">
        <v>321</v>
      </c>
      <c r="BK2062" s="4">
        <v>25</v>
      </c>
      <c r="BL2062" s="4">
        <v>1</v>
      </c>
      <c r="BM2062" s="4">
        <v>0.1</v>
      </c>
      <c r="BO2062" s="4">
        <v>0.1</v>
      </c>
      <c r="BP2062" s="4">
        <v>10</v>
      </c>
      <c r="BS2062" s="4">
        <v>5.55</v>
      </c>
      <c r="BU2062" s="4">
        <v>150</v>
      </c>
      <c r="BV2062" s="4" t="s">
        <v>1415</v>
      </c>
      <c r="BW2062" s="4">
        <v>25</v>
      </c>
      <c r="BZ2062" s="4">
        <v>2</v>
      </c>
      <c r="CB2062" s="4" t="s">
        <v>7</v>
      </c>
      <c r="CD2062" s="4">
        <v>242.42</v>
      </c>
      <c r="CE2062" s="4" t="s">
        <v>8</v>
      </c>
      <c r="CG2062" s="4">
        <v>217.2</v>
      </c>
      <c r="CX2062" s="4" t="s">
        <v>314</v>
      </c>
      <c r="DB2062" s="4" t="s">
        <v>951</v>
      </c>
      <c r="DC2062" s="4" t="s">
        <v>1620</v>
      </c>
      <c r="DD2062" s="4">
        <v>175.84</v>
      </c>
      <c r="DF2062" s="4">
        <v>193.5</v>
      </c>
      <c r="DY2062" s="1">
        <v>0</v>
      </c>
      <c r="DZ2062" s="1">
        <v>0</v>
      </c>
      <c r="EA2062" s="1">
        <v>97.22</v>
      </c>
      <c r="ED2062" s="1">
        <v>97.22</v>
      </c>
      <c r="EN2062" s="1">
        <v>0</v>
      </c>
      <c r="EO2062" s="1">
        <v>0</v>
      </c>
      <c r="EP2062" s="1">
        <v>97.94</v>
      </c>
      <c r="ES2062" s="1">
        <v>97.94</v>
      </c>
    </row>
    <row r="2063" customHeight="1" spans="1:149">
      <c r="A2063" s="62">
        <v>71</v>
      </c>
      <c r="B2063" s="4" t="s">
        <v>1615</v>
      </c>
      <c r="C2063" s="5" t="s">
        <v>1616</v>
      </c>
      <c r="D2063" s="4" t="s">
        <v>300</v>
      </c>
      <c r="H2063" s="4" t="s">
        <v>328</v>
      </c>
      <c r="I2063" s="4" t="s">
        <v>1617</v>
      </c>
      <c r="N2063" s="4" t="s">
        <v>567</v>
      </c>
      <c r="O2063" s="4" t="s">
        <v>343</v>
      </c>
      <c r="P2063" s="4">
        <v>2</v>
      </c>
      <c r="Q2063" s="4" t="s">
        <v>542</v>
      </c>
      <c r="T2063" s="4">
        <v>61.7819</v>
      </c>
      <c r="U2063" s="4">
        <v>0.093</v>
      </c>
      <c r="V2063" s="4">
        <v>7.12</v>
      </c>
      <c r="W2063" s="4">
        <v>0.776</v>
      </c>
      <c r="X2063" s="4">
        <v>0.776</v>
      </c>
      <c r="Y2063" s="4">
        <v>0.776</v>
      </c>
      <c r="AD2063" s="4" t="s">
        <v>1618</v>
      </c>
      <c r="AG2063" s="4" t="s">
        <v>316</v>
      </c>
      <c r="AH2063" s="4" t="s">
        <v>346</v>
      </c>
      <c r="AI2063" s="4" t="s">
        <v>1619</v>
      </c>
      <c r="AL2063" s="4" t="s">
        <v>321</v>
      </c>
      <c r="AM2063" s="4">
        <v>5.55</v>
      </c>
      <c r="AQ2063" s="4" t="s">
        <v>7</v>
      </c>
      <c r="AR2063" s="4">
        <v>242.42</v>
      </c>
      <c r="AS2063" s="4" t="s">
        <v>8</v>
      </c>
      <c r="AT2063" s="4">
        <v>217.2</v>
      </c>
      <c r="BI2063" s="4" t="s">
        <v>321</v>
      </c>
      <c r="BK2063" s="4">
        <v>25</v>
      </c>
      <c r="BL2063" s="4">
        <v>1</v>
      </c>
      <c r="BM2063" s="4">
        <v>0.1</v>
      </c>
      <c r="BO2063" s="4">
        <v>0.1</v>
      </c>
      <c r="BP2063" s="4">
        <v>10</v>
      </c>
      <c r="BS2063" s="4">
        <v>5.55</v>
      </c>
      <c r="BU2063" s="4">
        <v>150</v>
      </c>
      <c r="BV2063" s="4" t="s">
        <v>488</v>
      </c>
      <c r="BW2063" s="4">
        <v>25</v>
      </c>
      <c r="BZ2063" s="4">
        <v>2</v>
      </c>
      <c r="CB2063" s="4" t="s">
        <v>7</v>
      </c>
      <c r="CD2063" s="4">
        <v>242.42</v>
      </c>
      <c r="CE2063" s="4" t="s">
        <v>8</v>
      </c>
      <c r="CG2063" s="4">
        <v>217.2</v>
      </c>
      <c r="CX2063" s="4" t="s">
        <v>314</v>
      </c>
      <c r="DB2063" s="4" t="s">
        <v>951</v>
      </c>
      <c r="DC2063" s="4" t="s">
        <v>1620</v>
      </c>
      <c r="DD2063" s="4">
        <v>175.84</v>
      </c>
      <c r="DF2063" s="4">
        <v>193.5</v>
      </c>
      <c r="DY2063" s="1">
        <v>0</v>
      </c>
      <c r="DZ2063" s="1">
        <v>0</v>
      </c>
      <c r="EA2063" s="1">
        <v>98.32</v>
      </c>
      <c r="ED2063" s="1">
        <v>98.32</v>
      </c>
      <c r="EN2063" s="1">
        <v>0</v>
      </c>
      <c r="EO2063" s="1">
        <v>0</v>
      </c>
      <c r="EP2063" s="1">
        <v>97.71</v>
      </c>
      <c r="ES2063" s="1">
        <v>97.71</v>
      </c>
    </row>
    <row r="2064" customHeight="1" spans="1:149">
      <c r="A2064" s="62">
        <v>71</v>
      </c>
      <c r="B2064" s="4" t="s">
        <v>1615</v>
      </c>
      <c r="C2064" s="5" t="s">
        <v>1616</v>
      </c>
      <c r="D2064" s="4" t="s">
        <v>300</v>
      </c>
      <c r="H2064" s="4" t="s">
        <v>328</v>
      </c>
      <c r="I2064" s="4" t="s">
        <v>1617</v>
      </c>
      <c r="N2064" s="4" t="s">
        <v>567</v>
      </c>
      <c r="O2064" s="4" t="s">
        <v>343</v>
      </c>
      <c r="P2064" s="4">
        <v>2</v>
      </c>
      <c r="Q2064" s="4" t="s">
        <v>542</v>
      </c>
      <c r="T2064" s="4">
        <v>61.7819</v>
      </c>
      <c r="U2064" s="4">
        <v>0.093</v>
      </c>
      <c r="V2064" s="4">
        <v>7.12</v>
      </c>
      <c r="W2064" s="4">
        <v>0.776</v>
      </c>
      <c r="X2064" s="4">
        <v>0.776</v>
      </c>
      <c r="Y2064" s="4">
        <v>0.776</v>
      </c>
      <c r="AD2064" s="4" t="s">
        <v>1618</v>
      </c>
      <c r="AG2064" s="4" t="s">
        <v>316</v>
      </c>
      <c r="AH2064" s="4" t="s">
        <v>346</v>
      </c>
      <c r="AI2064" s="4" t="s">
        <v>1619</v>
      </c>
      <c r="AL2064" s="4" t="s">
        <v>321</v>
      </c>
      <c r="AM2064" s="4">
        <v>5.55</v>
      </c>
      <c r="AQ2064" s="4" t="s">
        <v>7</v>
      </c>
      <c r="AR2064" s="4">
        <v>242.42</v>
      </c>
      <c r="AS2064" s="4" t="s">
        <v>8</v>
      </c>
      <c r="AT2064" s="4">
        <v>217.2</v>
      </c>
      <c r="BI2064" s="4" t="s">
        <v>320</v>
      </c>
      <c r="BK2064" s="4">
        <v>25</v>
      </c>
      <c r="BM2064" s="4">
        <v>0.01</v>
      </c>
      <c r="BN2064" s="4">
        <v>0.4</v>
      </c>
      <c r="BS2064" s="4">
        <v>1.97</v>
      </c>
      <c r="BU2064" s="4">
        <v>150</v>
      </c>
      <c r="BV2064" s="4">
        <v>120</v>
      </c>
      <c r="BZ2064" s="4">
        <v>2</v>
      </c>
      <c r="CB2064" s="4" t="s">
        <v>7</v>
      </c>
      <c r="CC2064" s="4">
        <v>50</v>
      </c>
      <c r="CE2064" s="4" t="s">
        <v>8</v>
      </c>
      <c r="CF2064" s="4">
        <v>50</v>
      </c>
      <c r="DY2064" s="1">
        <v>0</v>
      </c>
      <c r="DZ2064" s="1">
        <v>0</v>
      </c>
      <c r="EA2064" s="1">
        <v>23.59</v>
      </c>
      <c r="ED2064" s="1">
        <v>23.59</v>
      </c>
      <c r="EN2064" s="1">
        <v>0</v>
      </c>
      <c r="EO2064" s="1">
        <v>0</v>
      </c>
      <c r="EP2064" s="1">
        <v>18.49</v>
      </c>
      <c r="ES2064" s="1">
        <v>18.49</v>
      </c>
    </row>
    <row r="2065" customHeight="1" spans="1:149">
      <c r="A2065" s="62">
        <v>71</v>
      </c>
      <c r="B2065" s="4" t="s">
        <v>1615</v>
      </c>
      <c r="C2065" s="5" t="s">
        <v>1616</v>
      </c>
      <c r="D2065" s="4" t="s">
        <v>300</v>
      </c>
      <c r="H2065" s="4" t="s">
        <v>328</v>
      </c>
      <c r="I2065" s="4" t="s">
        <v>1617</v>
      </c>
      <c r="N2065" s="4" t="s">
        <v>567</v>
      </c>
      <c r="O2065" s="4" t="s">
        <v>343</v>
      </c>
      <c r="P2065" s="4">
        <v>2</v>
      </c>
      <c r="Q2065" s="4" t="s">
        <v>542</v>
      </c>
      <c r="T2065" s="4">
        <v>61.7819</v>
      </c>
      <c r="U2065" s="4">
        <v>0.093</v>
      </c>
      <c r="V2065" s="4">
        <v>7.12</v>
      </c>
      <c r="W2065" s="4">
        <v>0.776</v>
      </c>
      <c r="X2065" s="4">
        <v>0.776</v>
      </c>
      <c r="Y2065" s="4">
        <v>0.776</v>
      </c>
      <c r="AD2065" s="4" t="s">
        <v>1618</v>
      </c>
      <c r="AG2065" s="4" t="s">
        <v>316</v>
      </c>
      <c r="AH2065" s="4" t="s">
        <v>346</v>
      </c>
      <c r="AI2065" s="4" t="s">
        <v>1619</v>
      </c>
      <c r="AL2065" s="4" t="s">
        <v>321</v>
      </c>
      <c r="AM2065" s="4">
        <v>5.55</v>
      </c>
      <c r="AQ2065" s="4" t="s">
        <v>7</v>
      </c>
      <c r="AR2065" s="4">
        <v>242.42</v>
      </c>
      <c r="AS2065" s="4" t="s">
        <v>8</v>
      </c>
      <c r="AT2065" s="4">
        <v>217.2</v>
      </c>
      <c r="BI2065" s="4" t="s">
        <v>320</v>
      </c>
      <c r="BK2065" s="4">
        <v>25</v>
      </c>
      <c r="BM2065" s="4">
        <v>0.01</v>
      </c>
      <c r="BN2065" s="4">
        <v>0.4</v>
      </c>
      <c r="BS2065" s="4">
        <v>4.04</v>
      </c>
      <c r="BU2065" s="4">
        <v>150</v>
      </c>
      <c r="BV2065" s="4">
        <v>120</v>
      </c>
      <c r="BZ2065" s="4">
        <v>2</v>
      </c>
      <c r="CB2065" s="4" t="s">
        <v>7</v>
      </c>
      <c r="CC2065" s="4">
        <v>50</v>
      </c>
      <c r="CE2065" s="4" t="s">
        <v>8</v>
      </c>
      <c r="CF2065" s="4">
        <v>50</v>
      </c>
      <c r="DY2065" s="1">
        <v>0</v>
      </c>
      <c r="DZ2065" s="1">
        <v>0</v>
      </c>
      <c r="EA2065" s="1">
        <v>93.32</v>
      </c>
      <c r="ED2065" s="1">
        <v>93.32</v>
      </c>
      <c r="EN2065" s="1">
        <v>0</v>
      </c>
      <c r="EO2065" s="1">
        <v>0</v>
      </c>
      <c r="EP2065" s="1">
        <v>84.61</v>
      </c>
      <c r="ES2065" s="1">
        <v>84.61</v>
      </c>
    </row>
    <row r="2066" customHeight="1" spans="1:149">
      <c r="A2066" s="62">
        <v>71</v>
      </c>
      <c r="B2066" s="4" t="s">
        <v>1615</v>
      </c>
      <c r="C2066" s="5" t="s">
        <v>1616</v>
      </c>
      <c r="D2066" s="4" t="s">
        <v>300</v>
      </c>
      <c r="H2066" s="4" t="s">
        <v>328</v>
      </c>
      <c r="I2066" s="4" t="s">
        <v>1617</v>
      </c>
      <c r="N2066" s="4" t="s">
        <v>567</v>
      </c>
      <c r="O2066" s="4" t="s">
        <v>343</v>
      </c>
      <c r="P2066" s="4">
        <v>2</v>
      </c>
      <c r="Q2066" s="4" t="s">
        <v>542</v>
      </c>
      <c r="T2066" s="4">
        <v>61.7819</v>
      </c>
      <c r="U2066" s="4">
        <v>0.093</v>
      </c>
      <c r="V2066" s="4">
        <v>7.12</v>
      </c>
      <c r="W2066" s="4">
        <v>0.776</v>
      </c>
      <c r="X2066" s="4">
        <v>0.776</v>
      </c>
      <c r="Y2066" s="4">
        <v>0.776</v>
      </c>
      <c r="AD2066" s="4" t="s">
        <v>1618</v>
      </c>
      <c r="AG2066" s="4" t="s">
        <v>316</v>
      </c>
      <c r="AH2066" s="4" t="s">
        <v>346</v>
      </c>
      <c r="AI2066" s="4" t="s">
        <v>1619</v>
      </c>
      <c r="AL2066" s="4" t="s">
        <v>321</v>
      </c>
      <c r="AM2066" s="4">
        <v>5.55</v>
      </c>
      <c r="AQ2066" s="4" t="s">
        <v>7</v>
      </c>
      <c r="AR2066" s="4">
        <v>242.42</v>
      </c>
      <c r="AS2066" s="4" t="s">
        <v>8</v>
      </c>
      <c r="AT2066" s="4">
        <v>217.2</v>
      </c>
      <c r="BI2066" s="4" t="s">
        <v>320</v>
      </c>
      <c r="BK2066" s="4">
        <v>25</v>
      </c>
      <c r="BM2066" s="4">
        <v>0.01</v>
      </c>
      <c r="BN2066" s="4">
        <v>0.4</v>
      </c>
      <c r="BS2066" s="4">
        <v>6.12</v>
      </c>
      <c r="BU2066" s="4">
        <v>150</v>
      </c>
      <c r="BV2066" s="4">
        <v>120</v>
      </c>
      <c r="BZ2066" s="4">
        <v>2</v>
      </c>
      <c r="CB2066" s="4" t="s">
        <v>7</v>
      </c>
      <c r="CC2066" s="4">
        <v>50</v>
      </c>
      <c r="CE2066" s="4" t="s">
        <v>8</v>
      </c>
      <c r="CF2066" s="4">
        <v>50</v>
      </c>
      <c r="DY2066" s="1">
        <v>0</v>
      </c>
      <c r="DZ2066" s="1">
        <v>0</v>
      </c>
      <c r="EA2066" s="1">
        <v>92.17</v>
      </c>
      <c r="ED2066" s="1">
        <v>92.17</v>
      </c>
      <c r="EN2066" s="1">
        <v>0</v>
      </c>
      <c r="EO2066" s="1">
        <v>0</v>
      </c>
      <c r="EP2066" s="1">
        <v>91.72</v>
      </c>
      <c r="ES2066" s="1">
        <v>91.72</v>
      </c>
    </row>
    <row r="2067" customHeight="1" spans="1:149">
      <c r="A2067" s="62">
        <v>71</v>
      </c>
      <c r="B2067" s="4" t="s">
        <v>1615</v>
      </c>
      <c r="C2067" s="5" t="s">
        <v>1616</v>
      </c>
      <c r="D2067" s="4" t="s">
        <v>300</v>
      </c>
      <c r="H2067" s="4" t="s">
        <v>328</v>
      </c>
      <c r="I2067" s="4" t="s">
        <v>1617</v>
      </c>
      <c r="N2067" s="4" t="s">
        <v>567</v>
      </c>
      <c r="O2067" s="4" t="s">
        <v>343</v>
      </c>
      <c r="P2067" s="4">
        <v>2</v>
      </c>
      <c r="Q2067" s="4" t="s">
        <v>542</v>
      </c>
      <c r="T2067" s="4">
        <v>61.7819</v>
      </c>
      <c r="U2067" s="4">
        <v>0.093</v>
      </c>
      <c r="V2067" s="4">
        <v>7.12</v>
      </c>
      <c r="W2067" s="4">
        <v>0.776</v>
      </c>
      <c r="X2067" s="4">
        <v>0.776</v>
      </c>
      <c r="Y2067" s="4">
        <v>0.776</v>
      </c>
      <c r="AD2067" s="4" t="s">
        <v>1618</v>
      </c>
      <c r="AG2067" s="4" t="s">
        <v>316</v>
      </c>
      <c r="AH2067" s="4" t="s">
        <v>346</v>
      </c>
      <c r="AI2067" s="4" t="s">
        <v>1619</v>
      </c>
      <c r="AL2067" s="4" t="s">
        <v>321</v>
      </c>
      <c r="AM2067" s="4">
        <v>5.55</v>
      </c>
      <c r="AQ2067" s="4" t="s">
        <v>7</v>
      </c>
      <c r="AR2067" s="4">
        <v>242.42</v>
      </c>
      <c r="AS2067" s="4" t="s">
        <v>8</v>
      </c>
      <c r="AT2067" s="4">
        <v>217.2</v>
      </c>
      <c r="BI2067" s="4" t="s">
        <v>320</v>
      </c>
      <c r="BK2067" s="4">
        <v>25</v>
      </c>
      <c r="BM2067" s="4">
        <v>0.01</v>
      </c>
      <c r="BN2067" s="4">
        <v>0.4</v>
      </c>
      <c r="BS2067" s="4">
        <v>7.72</v>
      </c>
      <c r="BU2067" s="4">
        <v>150</v>
      </c>
      <c r="BV2067" s="4">
        <v>120</v>
      </c>
      <c r="BZ2067" s="4">
        <v>2</v>
      </c>
      <c r="CB2067" s="4" t="s">
        <v>7</v>
      </c>
      <c r="CC2067" s="4">
        <v>50</v>
      </c>
      <c r="CE2067" s="4" t="s">
        <v>8</v>
      </c>
      <c r="CF2067" s="4">
        <v>50</v>
      </c>
      <c r="DY2067" s="1">
        <v>0</v>
      </c>
      <c r="DZ2067" s="1">
        <v>0</v>
      </c>
      <c r="EA2067" s="1">
        <v>94.47</v>
      </c>
      <c r="ED2067" s="1">
        <v>94.47</v>
      </c>
      <c r="EN2067" s="1">
        <v>0</v>
      </c>
      <c r="EO2067" s="1">
        <v>0</v>
      </c>
      <c r="EP2067" s="1">
        <v>85.95</v>
      </c>
      <c r="ES2067" s="1">
        <v>85.95</v>
      </c>
    </row>
    <row r="2068" customHeight="1" spans="1:149">
      <c r="A2068" s="62">
        <v>71</v>
      </c>
      <c r="B2068" s="4" t="s">
        <v>1615</v>
      </c>
      <c r="C2068" s="5" t="s">
        <v>1616</v>
      </c>
      <c r="D2068" s="4" t="s">
        <v>300</v>
      </c>
      <c r="H2068" s="4" t="s">
        <v>328</v>
      </c>
      <c r="I2068" s="4" t="s">
        <v>1617</v>
      </c>
      <c r="N2068" s="4" t="s">
        <v>567</v>
      </c>
      <c r="O2068" s="4" t="s">
        <v>343</v>
      </c>
      <c r="P2068" s="4">
        <v>2</v>
      </c>
      <c r="Q2068" s="4" t="s">
        <v>542</v>
      </c>
      <c r="T2068" s="4">
        <v>61.7819</v>
      </c>
      <c r="U2068" s="4">
        <v>0.093</v>
      </c>
      <c r="V2068" s="4">
        <v>7.12</v>
      </c>
      <c r="W2068" s="4">
        <v>0.776</v>
      </c>
      <c r="X2068" s="4">
        <v>0.776</v>
      </c>
      <c r="Y2068" s="4">
        <v>0.776</v>
      </c>
      <c r="AD2068" s="4" t="s">
        <v>1618</v>
      </c>
      <c r="AG2068" s="4" t="s">
        <v>316</v>
      </c>
      <c r="AH2068" s="4" t="s">
        <v>346</v>
      </c>
      <c r="AI2068" s="4" t="s">
        <v>1619</v>
      </c>
      <c r="AL2068" s="4" t="s">
        <v>321</v>
      </c>
      <c r="AM2068" s="4">
        <v>5.55</v>
      </c>
      <c r="AQ2068" s="4" t="s">
        <v>7</v>
      </c>
      <c r="AR2068" s="4">
        <v>242.42</v>
      </c>
      <c r="AS2068" s="4" t="s">
        <v>8</v>
      </c>
      <c r="AT2068" s="4">
        <v>217.2</v>
      </c>
      <c r="BI2068" s="4" t="s">
        <v>320</v>
      </c>
      <c r="BK2068" s="4">
        <v>25</v>
      </c>
      <c r="BM2068" s="4">
        <v>0.01</v>
      </c>
      <c r="BN2068" s="4">
        <v>0.4</v>
      </c>
      <c r="BS2068" s="4">
        <v>9.84</v>
      </c>
      <c r="BU2068" s="4">
        <v>150</v>
      </c>
      <c r="BV2068" s="4">
        <v>120</v>
      </c>
      <c r="BZ2068" s="4">
        <v>2</v>
      </c>
      <c r="CB2068" s="4" t="s">
        <v>7</v>
      </c>
      <c r="CC2068" s="4">
        <v>50</v>
      </c>
      <c r="CE2068" s="4" t="s">
        <v>8</v>
      </c>
      <c r="CF2068" s="4">
        <v>50</v>
      </c>
      <c r="DY2068" s="1">
        <v>0</v>
      </c>
      <c r="DZ2068" s="1">
        <v>0</v>
      </c>
      <c r="EA2068" s="1">
        <v>93.68</v>
      </c>
      <c r="ED2068" s="1">
        <v>93.68</v>
      </c>
      <c r="EN2068" s="1">
        <v>0</v>
      </c>
      <c r="EO2068" s="1">
        <v>0</v>
      </c>
      <c r="EP2068" s="1">
        <v>85.12</v>
      </c>
      <c r="ES2068" s="1">
        <v>85.12</v>
      </c>
    </row>
    <row r="2069" customHeight="1" spans="1:149">
      <c r="A2069" s="62">
        <v>71</v>
      </c>
      <c r="B2069" s="4" t="s">
        <v>1615</v>
      </c>
      <c r="C2069" s="5" t="s">
        <v>1616</v>
      </c>
      <c r="D2069" s="4" t="s">
        <v>300</v>
      </c>
      <c r="H2069" s="4" t="s">
        <v>328</v>
      </c>
      <c r="I2069" s="4" t="s">
        <v>1617</v>
      </c>
      <c r="N2069" s="4" t="s">
        <v>567</v>
      </c>
      <c r="O2069" s="4" t="s">
        <v>343</v>
      </c>
      <c r="P2069" s="4">
        <v>2</v>
      </c>
      <c r="Q2069" s="4" t="s">
        <v>542</v>
      </c>
      <c r="T2069" s="4">
        <v>61.7819</v>
      </c>
      <c r="U2069" s="4">
        <v>0.093</v>
      </c>
      <c r="V2069" s="4">
        <v>7.12</v>
      </c>
      <c r="W2069" s="4">
        <v>0.776</v>
      </c>
      <c r="X2069" s="4">
        <v>0.776</v>
      </c>
      <c r="Y2069" s="4">
        <v>0.776</v>
      </c>
      <c r="AD2069" s="4" t="s">
        <v>1618</v>
      </c>
      <c r="BI2069" s="4" t="s">
        <v>309</v>
      </c>
      <c r="BK2069" s="4">
        <v>25</v>
      </c>
      <c r="BM2069" s="4">
        <v>0.01</v>
      </c>
      <c r="BN2069" s="4">
        <v>0.4</v>
      </c>
      <c r="BS2069" s="4">
        <v>7</v>
      </c>
      <c r="BU2069" s="4">
        <v>150</v>
      </c>
      <c r="BV2069" s="4">
        <v>120</v>
      </c>
      <c r="BZ2069" s="4">
        <v>2</v>
      </c>
      <c r="CB2069" s="4" t="s">
        <v>7</v>
      </c>
      <c r="CC2069" s="4">
        <v>50</v>
      </c>
      <c r="CE2069" s="4" t="s">
        <v>8</v>
      </c>
      <c r="CF2069" s="4">
        <v>50</v>
      </c>
      <c r="CR2069" s="4" t="s">
        <v>512</v>
      </c>
      <c r="CS2069" s="4">
        <v>0</v>
      </c>
      <c r="DY2069" s="1">
        <v>0</v>
      </c>
      <c r="DZ2069" s="1">
        <v>0</v>
      </c>
      <c r="EA2069" s="1">
        <v>92.89</v>
      </c>
      <c r="ED2069" s="1">
        <v>92.89</v>
      </c>
      <c r="EN2069" s="1">
        <v>0</v>
      </c>
      <c r="EO2069" s="1">
        <v>0</v>
      </c>
      <c r="EP2069" s="1">
        <v>95.72</v>
      </c>
      <c r="ES2069" s="1">
        <v>95.72</v>
      </c>
    </row>
    <row r="2070" customHeight="1" spans="1:149">
      <c r="A2070" s="62">
        <v>71</v>
      </c>
      <c r="B2070" s="4" t="s">
        <v>1615</v>
      </c>
      <c r="C2070" s="5" t="s">
        <v>1616</v>
      </c>
      <c r="D2070" s="4" t="s">
        <v>300</v>
      </c>
      <c r="H2070" s="4" t="s">
        <v>328</v>
      </c>
      <c r="I2070" s="4" t="s">
        <v>1617</v>
      </c>
      <c r="N2070" s="4" t="s">
        <v>567</v>
      </c>
      <c r="O2070" s="4" t="s">
        <v>343</v>
      </c>
      <c r="P2070" s="4">
        <v>2</v>
      </c>
      <c r="Q2070" s="4" t="s">
        <v>542</v>
      </c>
      <c r="T2070" s="4">
        <v>61.7819</v>
      </c>
      <c r="U2070" s="4">
        <v>0.093</v>
      </c>
      <c r="V2070" s="4">
        <v>7.12</v>
      </c>
      <c r="W2070" s="4">
        <v>0.776</v>
      </c>
      <c r="X2070" s="4">
        <v>0.776</v>
      </c>
      <c r="Y2070" s="4">
        <v>0.776</v>
      </c>
      <c r="AD2070" s="4" t="s">
        <v>1618</v>
      </c>
      <c r="BI2070" s="4" t="s">
        <v>309</v>
      </c>
      <c r="BK2070" s="4">
        <v>25</v>
      </c>
      <c r="BM2070" s="4">
        <v>0.01</v>
      </c>
      <c r="BN2070" s="4">
        <v>0.4</v>
      </c>
      <c r="BS2070" s="4">
        <v>7</v>
      </c>
      <c r="BU2070" s="4">
        <v>150</v>
      </c>
      <c r="BV2070" s="4">
        <v>120</v>
      </c>
      <c r="BZ2070" s="4">
        <v>2</v>
      </c>
      <c r="CB2070" s="4" t="s">
        <v>7</v>
      </c>
      <c r="CC2070" s="4">
        <v>50</v>
      </c>
      <c r="CE2070" s="4" t="s">
        <v>8</v>
      </c>
      <c r="CF2070" s="4">
        <v>50</v>
      </c>
      <c r="CR2070" s="4" t="s">
        <v>538</v>
      </c>
      <c r="CS2070" s="4">
        <v>50</v>
      </c>
      <c r="DY2070" s="1">
        <v>0</v>
      </c>
      <c r="DZ2070" s="1">
        <v>0</v>
      </c>
      <c r="EA2070" s="1">
        <v>93.01</v>
      </c>
      <c r="ED2070" s="1">
        <v>93.01</v>
      </c>
      <c r="EN2070" s="1">
        <v>0</v>
      </c>
      <c r="EO2070" s="1">
        <v>0</v>
      </c>
      <c r="EP2070" s="1">
        <v>96.01</v>
      </c>
      <c r="ES2070" s="1">
        <v>96.01</v>
      </c>
    </row>
    <row r="2071" customHeight="1" spans="1:149">
      <c r="A2071" s="62">
        <v>71</v>
      </c>
      <c r="B2071" s="4" t="s">
        <v>1615</v>
      </c>
      <c r="C2071" s="5" t="s">
        <v>1616</v>
      </c>
      <c r="D2071" s="4" t="s">
        <v>300</v>
      </c>
      <c r="H2071" s="4" t="s">
        <v>328</v>
      </c>
      <c r="I2071" s="4" t="s">
        <v>1617</v>
      </c>
      <c r="N2071" s="4" t="s">
        <v>567</v>
      </c>
      <c r="O2071" s="4" t="s">
        <v>343</v>
      </c>
      <c r="P2071" s="4">
        <v>2</v>
      </c>
      <c r="Q2071" s="4" t="s">
        <v>542</v>
      </c>
      <c r="T2071" s="4">
        <v>61.7819</v>
      </c>
      <c r="U2071" s="4">
        <v>0.093</v>
      </c>
      <c r="V2071" s="4">
        <v>7.12</v>
      </c>
      <c r="W2071" s="4">
        <v>0.776</v>
      </c>
      <c r="X2071" s="4">
        <v>0.776</v>
      </c>
      <c r="Y2071" s="4">
        <v>0.776</v>
      </c>
      <c r="AD2071" s="4" t="s">
        <v>1618</v>
      </c>
      <c r="BI2071" s="4" t="s">
        <v>309</v>
      </c>
      <c r="BK2071" s="4">
        <v>25</v>
      </c>
      <c r="BM2071" s="4">
        <v>0.01</v>
      </c>
      <c r="BN2071" s="4">
        <v>0.4</v>
      </c>
      <c r="BS2071" s="4">
        <v>7</v>
      </c>
      <c r="BU2071" s="4">
        <v>150</v>
      </c>
      <c r="BV2071" s="4">
        <v>120</v>
      </c>
      <c r="BZ2071" s="4">
        <v>2</v>
      </c>
      <c r="CB2071" s="4" t="s">
        <v>7</v>
      </c>
      <c r="CC2071" s="4">
        <v>50</v>
      </c>
      <c r="CE2071" s="4" t="s">
        <v>8</v>
      </c>
      <c r="CF2071" s="4">
        <v>50</v>
      </c>
      <c r="CR2071" s="4" t="s">
        <v>536</v>
      </c>
      <c r="CS2071" s="4">
        <v>50</v>
      </c>
      <c r="DY2071" s="1">
        <v>0</v>
      </c>
      <c r="DZ2071" s="1">
        <v>0</v>
      </c>
      <c r="EA2071" s="1">
        <v>92.92</v>
      </c>
      <c r="ED2071" s="1">
        <v>92.92</v>
      </c>
      <c r="EN2071" s="1">
        <v>0</v>
      </c>
      <c r="EO2071" s="1">
        <v>0</v>
      </c>
      <c r="EP2071" s="1">
        <v>95.69</v>
      </c>
      <c r="ES2071" s="1">
        <v>95.69</v>
      </c>
    </row>
    <row r="2072" customHeight="1" spans="1:149">
      <c r="A2072" s="62">
        <v>71</v>
      </c>
      <c r="B2072" s="4" t="s">
        <v>1615</v>
      </c>
      <c r="C2072" s="5" t="s">
        <v>1616</v>
      </c>
      <c r="D2072" s="4" t="s">
        <v>300</v>
      </c>
      <c r="H2072" s="4" t="s">
        <v>328</v>
      </c>
      <c r="I2072" s="4" t="s">
        <v>1617</v>
      </c>
      <c r="N2072" s="4" t="s">
        <v>567</v>
      </c>
      <c r="O2072" s="4" t="s">
        <v>343</v>
      </c>
      <c r="P2072" s="4">
        <v>2</v>
      </c>
      <c r="Q2072" s="4" t="s">
        <v>542</v>
      </c>
      <c r="T2072" s="4">
        <v>61.7819</v>
      </c>
      <c r="U2072" s="4">
        <v>0.093</v>
      </c>
      <c r="V2072" s="4">
        <v>7.12</v>
      </c>
      <c r="W2072" s="4">
        <v>0.776</v>
      </c>
      <c r="X2072" s="4">
        <v>0.776</v>
      </c>
      <c r="Y2072" s="4">
        <v>0.776</v>
      </c>
      <c r="AD2072" s="4" t="s">
        <v>1618</v>
      </c>
      <c r="BI2072" s="4" t="s">
        <v>309</v>
      </c>
      <c r="BK2072" s="4">
        <v>25</v>
      </c>
      <c r="BM2072" s="4">
        <v>0.01</v>
      </c>
      <c r="BN2072" s="4">
        <v>0.4</v>
      </c>
      <c r="BS2072" s="4">
        <v>7</v>
      </c>
      <c r="BU2072" s="4">
        <v>150</v>
      </c>
      <c r="BV2072" s="4">
        <v>120</v>
      </c>
      <c r="BZ2072" s="4">
        <v>2</v>
      </c>
      <c r="CB2072" s="4" t="s">
        <v>7</v>
      </c>
      <c r="CC2072" s="4">
        <v>50</v>
      </c>
      <c r="CE2072" s="4" t="s">
        <v>8</v>
      </c>
      <c r="CF2072" s="4">
        <v>50</v>
      </c>
      <c r="CR2072" s="4" t="s">
        <v>567</v>
      </c>
      <c r="CS2072" s="4">
        <v>50</v>
      </c>
      <c r="DY2072" s="1">
        <v>0</v>
      </c>
      <c r="DZ2072" s="1">
        <v>0</v>
      </c>
      <c r="EA2072" s="1">
        <v>91.3</v>
      </c>
      <c r="ED2072" s="1">
        <v>91.3</v>
      </c>
      <c r="EN2072" s="1">
        <v>0</v>
      </c>
      <c r="EO2072" s="1">
        <v>0</v>
      </c>
      <c r="EP2072" s="1">
        <v>95.53</v>
      </c>
      <c r="ES2072" s="1">
        <v>95.53</v>
      </c>
    </row>
    <row r="2073" customHeight="1" spans="1:149">
      <c r="A2073" s="62">
        <v>71</v>
      </c>
      <c r="B2073" s="4" t="s">
        <v>1615</v>
      </c>
      <c r="C2073" s="5" t="s">
        <v>1616</v>
      </c>
      <c r="D2073" s="4" t="s">
        <v>300</v>
      </c>
      <c r="H2073" s="4" t="s">
        <v>328</v>
      </c>
      <c r="I2073" s="4" t="s">
        <v>1617</v>
      </c>
      <c r="N2073" s="4" t="s">
        <v>567</v>
      </c>
      <c r="O2073" s="4" t="s">
        <v>343</v>
      </c>
      <c r="P2073" s="4">
        <v>2</v>
      </c>
      <c r="Q2073" s="4" t="s">
        <v>542</v>
      </c>
      <c r="T2073" s="4">
        <v>61.7819</v>
      </c>
      <c r="U2073" s="4">
        <v>0.093</v>
      </c>
      <c r="V2073" s="4">
        <v>7.12</v>
      </c>
      <c r="W2073" s="4">
        <v>0.776</v>
      </c>
      <c r="X2073" s="4">
        <v>0.776</v>
      </c>
      <c r="Y2073" s="4">
        <v>0.776</v>
      </c>
      <c r="AD2073" s="4" t="s">
        <v>1618</v>
      </c>
      <c r="BI2073" s="4" t="s">
        <v>309</v>
      </c>
      <c r="BK2073" s="4">
        <v>25</v>
      </c>
      <c r="BM2073" s="4">
        <v>0.01</v>
      </c>
      <c r="BN2073" s="4">
        <v>0.4</v>
      </c>
      <c r="BS2073" s="4">
        <v>7</v>
      </c>
      <c r="BU2073" s="4">
        <v>150</v>
      </c>
      <c r="BV2073" s="4">
        <v>120</v>
      </c>
      <c r="BZ2073" s="4">
        <v>2</v>
      </c>
      <c r="CB2073" s="4" t="s">
        <v>7</v>
      </c>
      <c r="CC2073" s="4">
        <v>50</v>
      </c>
      <c r="CE2073" s="4" t="s">
        <v>8</v>
      </c>
      <c r="CF2073" s="4">
        <v>50</v>
      </c>
      <c r="CR2073" s="4" t="s">
        <v>539</v>
      </c>
      <c r="CS2073" s="4">
        <v>50</v>
      </c>
      <c r="DY2073" s="1">
        <v>0</v>
      </c>
      <c r="DZ2073" s="1">
        <v>0</v>
      </c>
      <c r="EA2073" s="1">
        <v>98.41</v>
      </c>
      <c r="ED2073" s="1">
        <v>98.41</v>
      </c>
      <c r="EN2073" s="1">
        <v>0</v>
      </c>
      <c r="EO2073" s="1">
        <v>0</v>
      </c>
      <c r="EP2073" s="1">
        <v>95.81</v>
      </c>
      <c r="ES2073" s="1">
        <v>95.81</v>
      </c>
    </row>
    <row r="2074" customHeight="1" spans="1:149">
      <c r="A2074" s="62">
        <v>71</v>
      </c>
      <c r="B2074" s="4" t="s">
        <v>1615</v>
      </c>
      <c r="C2074" s="5" t="s">
        <v>1616</v>
      </c>
      <c r="D2074" s="4" t="s">
        <v>300</v>
      </c>
      <c r="H2074" s="4" t="s">
        <v>328</v>
      </c>
      <c r="I2074" s="4" t="s">
        <v>1617</v>
      </c>
      <c r="N2074" s="4" t="s">
        <v>567</v>
      </c>
      <c r="O2074" s="4" t="s">
        <v>343</v>
      </c>
      <c r="P2074" s="4">
        <v>2</v>
      </c>
      <c r="Q2074" s="4" t="s">
        <v>542</v>
      </c>
      <c r="T2074" s="4">
        <v>61.7819</v>
      </c>
      <c r="U2074" s="4">
        <v>0.093</v>
      </c>
      <c r="V2074" s="4">
        <v>7.12</v>
      </c>
      <c r="W2074" s="4">
        <v>0.776</v>
      </c>
      <c r="X2074" s="4">
        <v>0.776</v>
      </c>
      <c r="Y2074" s="4">
        <v>0.776</v>
      </c>
      <c r="AD2074" s="4" t="s">
        <v>1618</v>
      </c>
      <c r="BI2074" s="4" t="s">
        <v>309</v>
      </c>
      <c r="BK2074" s="4">
        <v>25</v>
      </c>
      <c r="BM2074" s="4">
        <v>0.01</v>
      </c>
      <c r="BN2074" s="4">
        <v>0.4</v>
      </c>
      <c r="BS2074" s="4">
        <v>7</v>
      </c>
      <c r="BU2074" s="4">
        <v>150</v>
      </c>
      <c r="BV2074" s="4">
        <v>120</v>
      </c>
      <c r="BZ2074" s="4">
        <v>2</v>
      </c>
      <c r="CB2074" s="4" t="s">
        <v>7</v>
      </c>
      <c r="CC2074" s="4">
        <v>50</v>
      </c>
      <c r="CE2074" s="4" t="s">
        <v>8</v>
      </c>
      <c r="CF2074" s="4">
        <v>50</v>
      </c>
      <c r="CR2074" s="4" t="s">
        <v>540</v>
      </c>
      <c r="CS2074" s="4">
        <v>50</v>
      </c>
      <c r="DY2074" s="1">
        <v>0</v>
      </c>
      <c r="DZ2074" s="1">
        <v>0</v>
      </c>
      <c r="EA2074" s="1">
        <v>97.83</v>
      </c>
      <c r="ED2074" s="1">
        <v>97.83</v>
      </c>
      <c r="EN2074" s="1">
        <v>0</v>
      </c>
      <c r="EO2074" s="1">
        <v>0</v>
      </c>
      <c r="EP2074" s="1">
        <v>94.5</v>
      </c>
      <c r="ES2074" s="1">
        <v>94.5</v>
      </c>
    </row>
    <row r="2075" customHeight="1" spans="1:149">
      <c r="A2075" s="62">
        <v>71</v>
      </c>
      <c r="B2075" s="4" t="s">
        <v>1615</v>
      </c>
      <c r="C2075" s="5" t="s">
        <v>1616</v>
      </c>
      <c r="D2075" s="4" t="s">
        <v>300</v>
      </c>
      <c r="H2075" s="4" t="s">
        <v>328</v>
      </c>
      <c r="I2075" s="4" t="s">
        <v>1617</v>
      </c>
      <c r="N2075" s="4" t="s">
        <v>567</v>
      </c>
      <c r="O2075" s="4" t="s">
        <v>343</v>
      </c>
      <c r="P2075" s="4">
        <v>2</v>
      </c>
      <c r="Q2075" s="4" t="s">
        <v>542</v>
      </c>
      <c r="T2075" s="4">
        <v>61.7819</v>
      </c>
      <c r="U2075" s="4">
        <v>0.093</v>
      </c>
      <c r="V2075" s="4">
        <v>7.12</v>
      </c>
      <c r="W2075" s="4">
        <v>0.776</v>
      </c>
      <c r="X2075" s="4">
        <v>0.776</v>
      </c>
      <c r="Y2075" s="4">
        <v>0.776</v>
      </c>
      <c r="AD2075" s="4" t="s">
        <v>1618</v>
      </c>
      <c r="BI2075" s="4" t="s">
        <v>309</v>
      </c>
      <c r="BK2075" s="4">
        <v>25</v>
      </c>
      <c r="BM2075" s="4">
        <v>0.01</v>
      </c>
      <c r="BN2075" s="4">
        <v>0.4</v>
      </c>
      <c r="BS2075" s="4">
        <v>7</v>
      </c>
      <c r="BU2075" s="4">
        <v>150</v>
      </c>
      <c r="BV2075" s="4">
        <v>120</v>
      </c>
      <c r="BZ2075" s="4">
        <v>2</v>
      </c>
      <c r="CB2075" s="4" t="s">
        <v>7</v>
      </c>
      <c r="CC2075" s="4">
        <v>50</v>
      </c>
      <c r="CE2075" s="4" t="s">
        <v>8</v>
      </c>
      <c r="CF2075" s="4">
        <v>50</v>
      </c>
      <c r="CR2075" s="4" t="s">
        <v>541</v>
      </c>
      <c r="CS2075" s="4">
        <v>50</v>
      </c>
      <c r="DY2075" s="1">
        <v>0</v>
      </c>
      <c r="DZ2075" s="1">
        <v>0</v>
      </c>
      <c r="EA2075" s="1">
        <v>98.02</v>
      </c>
      <c r="ED2075" s="1">
        <v>98.02</v>
      </c>
      <c r="EN2075" s="1">
        <v>0</v>
      </c>
      <c r="EO2075" s="1">
        <v>0</v>
      </c>
      <c r="EP2075" s="1">
        <v>96.11</v>
      </c>
      <c r="ES2075" s="1">
        <v>96.11</v>
      </c>
    </row>
    <row r="2076" customHeight="1" spans="1:149">
      <c r="A2076" s="62">
        <v>71</v>
      </c>
      <c r="B2076" s="4" t="s">
        <v>1615</v>
      </c>
      <c r="C2076" s="5" t="s">
        <v>1616</v>
      </c>
      <c r="D2076" s="4" t="s">
        <v>300</v>
      </c>
      <c r="H2076" s="4" t="s">
        <v>328</v>
      </c>
      <c r="I2076" s="4" t="s">
        <v>1617</v>
      </c>
      <c r="N2076" s="4" t="s">
        <v>567</v>
      </c>
      <c r="O2076" s="4" t="s">
        <v>343</v>
      </c>
      <c r="P2076" s="4">
        <v>2</v>
      </c>
      <c r="Q2076" s="4" t="s">
        <v>542</v>
      </c>
      <c r="T2076" s="4">
        <v>61.7819</v>
      </c>
      <c r="U2076" s="4">
        <v>0.093</v>
      </c>
      <c r="V2076" s="4">
        <v>7.12</v>
      </c>
      <c r="W2076" s="4">
        <v>0.776</v>
      </c>
      <c r="X2076" s="4">
        <v>0.776</v>
      </c>
      <c r="Y2076" s="4">
        <v>0.776</v>
      </c>
      <c r="AD2076" s="4" t="s">
        <v>1618</v>
      </c>
      <c r="BI2076" s="4" t="s">
        <v>309</v>
      </c>
      <c r="BK2076" s="4">
        <v>25</v>
      </c>
      <c r="BM2076" s="4">
        <v>0.01</v>
      </c>
      <c r="BN2076" s="4">
        <v>0.4</v>
      </c>
      <c r="BS2076" s="4">
        <v>7</v>
      </c>
      <c r="BU2076" s="4">
        <v>150</v>
      </c>
      <c r="BV2076" s="4">
        <v>120</v>
      </c>
      <c r="BZ2076" s="4">
        <v>2</v>
      </c>
      <c r="CB2076" s="4" t="s">
        <v>7</v>
      </c>
      <c r="CC2076" s="4">
        <v>50</v>
      </c>
      <c r="CE2076" s="4" t="s">
        <v>8</v>
      </c>
      <c r="CF2076" s="4">
        <v>50</v>
      </c>
      <c r="CR2076" s="4" t="s">
        <v>585</v>
      </c>
      <c r="CS2076" s="4">
        <v>50</v>
      </c>
      <c r="DY2076" s="1">
        <v>0</v>
      </c>
      <c r="DZ2076" s="1">
        <v>0</v>
      </c>
      <c r="EA2076" s="1">
        <v>97.65</v>
      </c>
      <c r="ED2076" s="1">
        <v>97.65</v>
      </c>
      <c r="EN2076" s="1">
        <v>0</v>
      </c>
      <c r="EO2076" s="1">
        <v>0</v>
      </c>
      <c r="EP2076" s="1">
        <v>97.65</v>
      </c>
      <c r="ES2076" s="1">
        <v>97.65</v>
      </c>
    </row>
    <row r="2077" customHeight="1" spans="1:149">
      <c r="A2077" s="62">
        <v>72</v>
      </c>
      <c r="B2077" s="4" t="s">
        <v>1621</v>
      </c>
      <c r="C2077" s="5" t="s">
        <v>1622</v>
      </c>
      <c r="D2077" s="4" t="s">
        <v>529</v>
      </c>
      <c r="N2077" s="4" t="s">
        <v>532</v>
      </c>
      <c r="O2077" s="4" t="s">
        <v>1409</v>
      </c>
      <c r="P2077" s="4">
        <v>3</v>
      </c>
      <c r="Q2077" s="4" t="s">
        <v>539</v>
      </c>
      <c r="X2077" s="4">
        <v>0.759</v>
      </c>
      <c r="Y2077" s="4">
        <v>0.379</v>
      </c>
      <c r="AD2077" s="4" t="s">
        <v>1623</v>
      </c>
      <c r="AG2077" s="4" t="s">
        <v>316</v>
      </c>
      <c r="AH2077" s="4" t="s">
        <v>596</v>
      </c>
      <c r="BI2077" s="4" t="s">
        <v>321</v>
      </c>
      <c r="BK2077" s="4">
        <v>5</v>
      </c>
      <c r="BL2077" s="4">
        <v>1</v>
      </c>
      <c r="BM2077" s="4">
        <v>0.07</v>
      </c>
      <c r="BU2077" s="4">
        <v>30</v>
      </c>
      <c r="BV2077" s="4">
        <v>1440</v>
      </c>
      <c r="CB2077" s="4" t="s">
        <v>7</v>
      </c>
      <c r="CD2077" s="4">
        <v>100</v>
      </c>
      <c r="CE2077" s="4" t="s">
        <v>8</v>
      </c>
      <c r="CG2077" s="4">
        <v>100</v>
      </c>
      <c r="DY2077" s="1">
        <v>0</v>
      </c>
      <c r="DZ2077" s="1">
        <v>0</v>
      </c>
      <c r="EA2077">
        <v>82.2738386308068</v>
      </c>
      <c r="EB2077" s="1">
        <v>0</v>
      </c>
      <c r="ED2077">
        <v>82.2738386308068</v>
      </c>
      <c r="EN2077" s="1">
        <v>0</v>
      </c>
      <c r="EO2077" s="1">
        <v>0</v>
      </c>
      <c r="EP2077">
        <v>62.7139364303178</v>
      </c>
      <c r="EQ2077" s="1">
        <v>0</v>
      </c>
      <c r="ES2077">
        <v>62.7139364303178</v>
      </c>
    </row>
    <row r="2078" customHeight="1" spans="1:149">
      <c r="A2078" s="62">
        <v>72</v>
      </c>
      <c r="B2078" s="4" t="s">
        <v>1621</v>
      </c>
      <c r="C2078" s="5" t="s">
        <v>1622</v>
      </c>
      <c r="D2078" s="4" t="s">
        <v>529</v>
      </c>
      <c r="N2078" s="4" t="s">
        <v>532</v>
      </c>
      <c r="O2078" s="4" t="s">
        <v>1409</v>
      </c>
      <c r="P2078" s="4">
        <v>3</v>
      </c>
      <c r="Q2078" s="4" t="s">
        <v>539</v>
      </c>
      <c r="X2078" s="4">
        <v>0.759</v>
      </c>
      <c r="Y2078" s="4">
        <v>0.379</v>
      </c>
      <c r="AD2078" s="4" t="s">
        <v>1623</v>
      </c>
      <c r="AG2078" s="4" t="s">
        <v>316</v>
      </c>
      <c r="AH2078" s="4" t="s">
        <v>596</v>
      </c>
      <c r="BI2078" s="4" t="s">
        <v>321</v>
      </c>
      <c r="BK2078" s="4">
        <v>5</v>
      </c>
      <c r="BL2078" s="4">
        <v>1</v>
      </c>
      <c r="BM2078" s="4">
        <v>0.07</v>
      </c>
      <c r="BU2078" s="4">
        <v>30</v>
      </c>
      <c r="BV2078" s="4">
        <v>1440</v>
      </c>
      <c r="CB2078" s="4" t="s">
        <v>7</v>
      </c>
      <c r="CD2078" s="4">
        <v>200</v>
      </c>
      <c r="CE2078" s="4" t="s">
        <v>8</v>
      </c>
      <c r="CG2078" s="4">
        <v>200</v>
      </c>
      <c r="DY2078" s="1">
        <v>0</v>
      </c>
      <c r="DZ2078" s="1">
        <v>0</v>
      </c>
      <c r="EA2078">
        <v>97.3105134474327</v>
      </c>
      <c r="EB2078" s="1">
        <v>0</v>
      </c>
      <c r="ED2078">
        <v>97.3105134474327</v>
      </c>
      <c r="EN2078" s="1">
        <v>0</v>
      </c>
      <c r="EO2078" s="1">
        <v>0</v>
      </c>
      <c r="EP2078">
        <v>89.9755501222493</v>
      </c>
      <c r="EQ2078" s="1">
        <v>0.0611246943765025</v>
      </c>
      <c r="ES2078">
        <v>89.9755501222493</v>
      </c>
    </row>
    <row r="2079" customHeight="1" spans="1:149">
      <c r="A2079" s="62">
        <v>72</v>
      </c>
      <c r="B2079" s="4" t="s">
        <v>1621</v>
      </c>
      <c r="C2079" s="5" t="s">
        <v>1622</v>
      </c>
      <c r="D2079" s="4" t="s">
        <v>529</v>
      </c>
      <c r="N2079" s="4" t="s">
        <v>532</v>
      </c>
      <c r="O2079" s="4" t="s">
        <v>1409</v>
      </c>
      <c r="P2079" s="4">
        <v>3</v>
      </c>
      <c r="Q2079" s="4" t="s">
        <v>539</v>
      </c>
      <c r="X2079" s="4">
        <v>0.759</v>
      </c>
      <c r="Y2079" s="4">
        <v>0.379</v>
      </c>
      <c r="AD2079" s="4" t="s">
        <v>1623</v>
      </c>
      <c r="AG2079" s="4" t="s">
        <v>316</v>
      </c>
      <c r="AH2079" s="4" t="s">
        <v>596</v>
      </c>
      <c r="BI2079" s="4" t="s">
        <v>321</v>
      </c>
      <c r="BK2079" s="4">
        <v>5</v>
      </c>
      <c r="BL2079" s="4">
        <v>1</v>
      </c>
      <c r="BM2079" s="4">
        <v>0.07</v>
      </c>
      <c r="BU2079" s="4">
        <v>30</v>
      </c>
      <c r="BV2079" s="4">
        <v>1440</v>
      </c>
      <c r="CB2079" s="4" t="s">
        <v>7</v>
      </c>
      <c r="CD2079" s="4">
        <v>400</v>
      </c>
      <c r="CE2079" s="4" t="s">
        <v>8</v>
      </c>
      <c r="CG2079" s="4">
        <v>400</v>
      </c>
      <c r="DY2079" s="1">
        <v>0</v>
      </c>
      <c r="DZ2079" s="1">
        <v>0</v>
      </c>
      <c r="EA2079">
        <v>96.0880195599022</v>
      </c>
      <c r="EB2079" s="1">
        <v>0</v>
      </c>
      <c r="ED2079">
        <v>96.0880195599022</v>
      </c>
      <c r="EN2079" s="1">
        <v>0</v>
      </c>
      <c r="EO2079" s="1">
        <v>0</v>
      </c>
      <c r="EP2079">
        <v>84.0464547677261</v>
      </c>
      <c r="EQ2079" s="1">
        <v>-0.183374083129593</v>
      </c>
      <c r="ES2079">
        <v>84.0464547677261</v>
      </c>
    </row>
    <row r="2080" customHeight="1" spans="1:149">
      <c r="A2080" s="62">
        <v>72</v>
      </c>
      <c r="B2080" s="4" t="s">
        <v>1621</v>
      </c>
      <c r="C2080" s="5" t="s">
        <v>1622</v>
      </c>
      <c r="D2080" s="4" t="s">
        <v>529</v>
      </c>
      <c r="N2080" s="4" t="s">
        <v>532</v>
      </c>
      <c r="O2080" s="4" t="s">
        <v>1409</v>
      </c>
      <c r="P2080" s="4">
        <v>3</v>
      </c>
      <c r="Q2080" s="4" t="s">
        <v>539</v>
      </c>
      <c r="X2080" s="4">
        <v>0.759</v>
      </c>
      <c r="Y2080" s="4">
        <v>0.379</v>
      </c>
      <c r="AD2080" s="4" t="s">
        <v>1623</v>
      </c>
      <c r="AG2080" s="4" t="s">
        <v>316</v>
      </c>
      <c r="AH2080" s="4" t="s">
        <v>596</v>
      </c>
      <c r="BI2080" s="4" t="s">
        <v>321</v>
      </c>
      <c r="BK2080" s="4">
        <v>5</v>
      </c>
      <c r="BL2080" s="4">
        <v>1</v>
      </c>
      <c r="BM2080" s="4">
        <v>0.07</v>
      </c>
      <c r="BU2080" s="4">
        <v>30</v>
      </c>
      <c r="BV2080" s="4">
        <v>1440</v>
      </c>
      <c r="CB2080" s="4" t="s">
        <v>7</v>
      </c>
      <c r="CD2080" s="4">
        <v>600</v>
      </c>
      <c r="CE2080" s="4" t="s">
        <v>8</v>
      </c>
      <c r="CG2080" s="4">
        <v>600</v>
      </c>
      <c r="DY2080" s="1">
        <v>0</v>
      </c>
      <c r="DZ2080" s="1">
        <v>0</v>
      </c>
      <c r="EA2080">
        <v>95.9046454767726</v>
      </c>
      <c r="EB2080" s="1">
        <v>0</v>
      </c>
      <c r="ED2080">
        <v>95.9046454767726</v>
      </c>
      <c r="EN2080" s="1">
        <v>0</v>
      </c>
      <c r="EO2080" s="1">
        <v>0</v>
      </c>
      <c r="EP2080">
        <v>58.1907090464547</v>
      </c>
      <c r="EQ2080" s="1">
        <v>0.0611246943765025</v>
      </c>
      <c r="ES2080">
        <v>58.1907090464547</v>
      </c>
    </row>
    <row r="2081" customHeight="1" spans="1:149">
      <c r="A2081" s="62">
        <v>72</v>
      </c>
      <c r="B2081" s="4" t="s">
        <v>1621</v>
      </c>
      <c r="C2081" s="5" t="s">
        <v>1622</v>
      </c>
      <c r="D2081" s="4" t="s">
        <v>529</v>
      </c>
      <c r="N2081" s="4" t="s">
        <v>532</v>
      </c>
      <c r="O2081" s="4" t="s">
        <v>1409</v>
      </c>
      <c r="P2081" s="4">
        <v>3</v>
      </c>
      <c r="Q2081" s="4" t="s">
        <v>539</v>
      </c>
      <c r="X2081" s="4">
        <v>0.759</v>
      </c>
      <c r="Y2081" s="4">
        <v>0.379</v>
      </c>
      <c r="AD2081" s="4" t="s">
        <v>1623</v>
      </c>
      <c r="AG2081" s="4" t="s">
        <v>316</v>
      </c>
      <c r="AH2081" s="4" t="s">
        <v>596</v>
      </c>
      <c r="BI2081" s="4" t="s">
        <v>321</v>
      </c>
      <c r="BK2081" s="4">
        <v>5</v>
      </c>
      <c r="BL2081" s="4">
        <v>1</v>
      </c>
      <c r="BM2081" s="4">
        <v>0.07</v>
      </c>
      <c r="BU2081" s="4">
        <v>30</v>
      </c>
      <c r="BV2081" s="4">
        <v>1440</v>
      </c>
      <c r="CB2081" s="4" t="s">
        <v>7</v>
      </c>
      <c r="CD2081" s="4">
        <v>800</v>
      </c>
      <c r="CE2081" s="4" t="s">
        <v>8</v>
      </c>
      <c r="CG2081" s="4">
        <v>800</v>
      </c>
      <c r="DY2081" s="1">
        <v>0</v>
      </c>
      <c r="DZ2081" s="1">
        <v>0</v>
      </c>
      <c r="EA2081">
        <v>96.8215158924205</v>
      </c>
      <c r="EB2081" s="1">
        <v>0</v>
      </c>
      <c r="ED2081">
        <v>96.8215158924205</v>
      </c>
      <c r="EN2081" s="1">
        <v>0</v>
      </c>
      <c r="EO2081" s="1">
        <v>0</v>
      </c>
      <c r="EP2081">
        <v>66.1369193154034</v>
      </c>
      <c r="EQ2081" s="1">
        <v>0</v>
      </c>
      <c r="ES2081">
        <v>66.1369193154034</v>
      </c>
    </row>
    <row r="2082" customHeight="1" spans="1:149">
      <c r="A2082" s="62">
        <v>72</v>
      </c>
      <c r="B2082" s="4" t="s">
        <v>1621</v>
      </c>
      <c r="C2082" s="5" t="s">
        <v>1622</v>
      </c>
      <c r="D2082" s="4" t="s">
        <v>529</v>
      </c>
      <c r="N2082" s="4" t="s">
        <v>532</v>
      </c>
      <c r="O2082" s="4" t="s">
        <v>1409</v>
      </c>
      <c r="P2082" s="4">
        <v>3</v>
      </c>
      <c r="Q2082" s="4" t="s">
        <v>539</v>
      </c>
      <c r="X2082" s="4">
        <v>0.759</v>
      </c>
      <c r="Y2082" s="4">
        <v>0.379</v>
      </c>
      <c r="AD2082" s="4" t="s">
        <v>1623</v>
      </c>
      <c r="AG2082" s="4" t="s">
        <v>316</v>
      </c>
      <c r="AH2082" s="4" t="s">
        <v>596</v>
      </c>
      <c r="BI2082" s="4" t="s">
        <v>321</v>
      </c>
      <c r="BK2082" s="4">
        <v>5</v>
      </c>
      <c r="BL2082" s="4">
        <v>1</v>
      </c>
      <c r="BM2082" s="4">
        <v>0.07</v>
      </c>
      <c r="BU2082" s="4">
        <v>30</v>
      </c>
      <c r="BV2082" s="4">
        <v>1440</v>
      </c>
      <c r="CB2082" s="4" t="s">
        <v>7</v>
      </c>
      <c r="CD2082" s="4">
        <v>1000</v>
      </c>
      <c r="CE2082" s="4" t="s">
        <v>8</v>
      </c>
      <c r="CG2082" s="4">
        <v>1000</v>
      </c>
      <c r="DY2082" s="1">
        <v>0</v>
      </c>
      <c r="DZ2082" s="1">
        <v>0</v>
      </c>
      <c r="EA2082">
        <v>96.5770171149144</v>
      </c>
      <c r="EB2082" s="1">
        <v>0</v>
      </c>
      <c r="ED2082">
        <v>96.5770171149144</v>
      </c>
      <c r="EN2082" s="1">
        <v>0</v>
      </c>
      <c r="EO2082" s="1">
        <v>0</v>
      </c>
      <c r="EP2082">
        <v>50</v>
      </c>
      <c r="EQ2082" s="1">
        <v>2.9339853300734</v>
      </c>
      <c r="ES2082">
        <v>50</v>
      </c>
    </row>
    <row r="2083" customHeight="1" spans="1:149">
      <c r="A2083" s="62">
        <v>72</v>
      </c>
      <c r="B2083" s="4" t="s">
        <v>1621</v>
      </c>
      <c r="C2083" s="5" t="s">
        <v>1622</v>
      </c>
      <c r="D2083" s="4" t="s">
        <v>529</v>
      </c>
      <c r="N2083" s="4" t="s">
        <v>532</v>
      </c>
      <c r="O2083" s="4" t="s">
        <v>1409</v>
      </c>
      <c r="P2083" s="4">
        <v>3</v>
      </c>
      <c r="Q2083" s="4" t="s">
        <v>539</v>
      </c>
      <c r="X2083" s="4">
        <v>0.759</v>
      </c>
      <c r="Y2083" s="4">
        <v>0.379</v>
      </c>
      <c r="AD2083" s="4" t="s">
        <v>1623</v>
      </c>
      <c r="AG2083" s="4" t="s">
        <v>316</v>
      </c>
      <c r="AH2083" s="4" t="s">
        <v>596</v>
      </c>
      <c r="BI2083" s="4" t="s">
        <v>321</v>
      </c>
      <c r="BK2083" s="4">
        <v>5</v>
      </c>
      <c r="BL2083" s="4">
        <v>1</v>
      </c>
      <c r="BM2083" s="4">
        <v>0.03</v>
      </c>
      <c r="BU2083" s="4">
        <v>30</v>
      </c>
      <c r="BV2083" s="4">
        <v>1440</v>
      </c>
      <c r="CB2083" s="4" t="s">
        <v>7</v>
      </c>
      <c r="CD2083" s="4">
        <v>200</v>
      </c>
      <c r="CE2083" s="4" t="s">
        <v>8</v>
      </c>
      <c r="CG2083" s="4">
        <v>200</v>
      </c>
      <c r="DY2083" s="1">
        <v>0</v>
      </c>
      <c r="DZ2083" s="1">
        <v>0</v>
      </c>
      <c r="EA2083" s="1">
        <v>88.0562060889929</v>
      </c>
      <c r="EB2083" s="1">
        <v>0</v>
      </c>
      <c r="ED2083" s="1">
        <v>88.0562060889929</v>
      </c>
      <c r="EN2083" s="1">
        <v>0</v>
      </c>
      <c r="EO2083" s="1">
        <v>0</v>
      </c>
      <c r="EP2083" s="1">
        <v>60.4215456674473</v>
      </c>
      <c r="EQ2083" s="1">
        <v>0.0585480093676978</v>
      </c>
      <c r="ES2083" s="1">
        <v>60.4215456674473</v>
      </c>
    </row>
    <row r="2084" customHeight="1" spans="1:149">
      <c r="A2084" s="62">
        <v>72</v>
      </c>
      <c r="B2084" s="4" t="s">
        <v>1621</v>
      </c>
      <c r="C2084" s="5" t="s">
        <v>1622</v>
      </c>
      <c r="D2084" s="4" t="s">
        <v>529</v>
      </c>
      <c r="N2084" s="4" t="s">
        <v>532</v>
      </c>
      <c r="O2084" s="4" t="s">
        <v>1409</v>
      </c>
      <c r="P2084" s="4">
        <v>3</v>
      </c>
      <c r="Q2084" s="4" t="s">
        <v>539</v>
      </c>
      <c r="X2084" s="4">
        <v>0.759</v>
      </c>
      <c r="Y2084" s="4">
        <v>0.379</v>
      </c>
      <c r="AD2084" s="4" t="s">
        <v>1623</v>
      </c>
      <c r="AG2084" s="4" t="s">
        <v>316</v>
      </c>
      <c r="AH2084" s="4" t="s">
        <v>596</v>
      </c>
      <c r="BI2084" s="4" t="s">
        <v>321</v>
      </c>
      <c r="BK2084" s="4">
        <v>5</v>
      </c>
      <c r="BL2084" s="4">
        <v>1</v>
      </c>
      <c r="BM2084" s="4">
        <v>0.05</v>
      </c>
      <c r="BU2084" s="4">
        <v>30</v>
      </c>
      <c r="BV2084" s="4">
        <v>1440</v>
      </c>
      <c r="CB2084" s="4" t="s">
        <v>7</v>
      </c>
      <c r="CD2084" s="4">
        <v>200</v>
      </c>
      <c r="CE2084" s="4" t="s">
        <v>8</v>
      </c>
      <c r="CG2084" s="4">
        <v>200</v>
      </c>
      <c r="DY2084" s="1">
        <v>0</v>
      </c>
      <c r="DZ2084" s="1">
        <v>0</v>
      </c>
      <c r="EA2084" s="1">
        <v>94.3793911007025</v>
      </c>
      <c r="EB2084" s="1">
        <v>0</v>
      </c>
      <c r="ED2084" s="1">
        <v>94.3793911007025</v>
      </c>
      <c r="EN2084" s="1">
        <v>0</v>
      </c>
      <c r="EO2084" s="1">
        <v>0</v>
      </c>
      <c r="EP2084" s="1">
        <v>81.2646370023419</v>
      </c>
      <c r="EQ2084" s="1">
        <v>0.117096018735396</v>
      </c>
      <c r="ES2084" s="1">
        <v>81.2646370023419</v>
      </c>
    </row>
    <row r="2085" customHeight="1" spans="1:149">
      <c r="A2085" s="62">
        <v>72</v>
      </c>
      <c r="B2085" s="4" t="s">
        <v>1621</v>
      </c>
      <c r="C2085" s="5" t="s">
        <v>1622</v>
      </c>
      <c r="D2085" s="4" t="s">
        <v>529</v>
      </c>
      <c r="N2085" s="4" t="s">
        <v>532</v>
      </c>
      <c r="O2085" s="4" t="s">
        <v>1409</v>
      </c>
      <c r="P2085" s="4">
        <v>3</v>
      </c>
      <c r="Q2085" s="4" t="s">
        <v>539</v>
      </c>
      <c r="X2085" s="4">
        <v>0.759</v>
      </c>
      <c r="Y2085" s="4">
        <v>0.379</v>
      </c>
      <c r="AD2085" s="4" t="s">
        <v>1623</v>
      </c>
      <c r="AG2085" s="4" t="s">
        <v>316</v>
      </c>
      <c r="AH2085" s="4" t="s">
        <v>596</v>
      </c>
      <c r="BI2085" s="4" t="s">
        <v>321</v>
      </c>
      <c r="BK2085" s="4">
        <v>5</v>
      </c>
      <c r="BL2085" s="4">
        <v>1</v>
      </c>
      <c r="BM2085" s="4">
        <v>0.07</v>
      </c>
      <c r="BU2085" s="4">
        <v>30</v>
      </c>
      <c r="BV2085" s="4">
        <v>1440</v>
      </c>
      <c r="CB2085" s="4" t="s">
        <v>7</v>
      </c>
      <c r="CD2085" s="4">
        <v>200</v>
      </c>
      <c r="CE2085" s="4" t="s">
        <v>8</v>
      </c>
      <c r="CG2085" s="4">
        <v>200</v>
      </c>
      <c r="DY2085" s="1">
        <v>0</v>
      </c>
      <c r="DZ2085" s="1">
        <v>0</v>
      </c>
      <c r="EA2085" s="1">
        <v>97.1311475409835</v>
      </c>
      <c r="EB2085" s="1">
        <v>0</v>
      </c>
      <c r="ED2085" s="1">
        <v>97.1311475409835</v>
      </c>
      <c r="EN2085" s="1">
        <v>0</v>
      </c>
      <c r="EO2085" s="1">
        <v>0</v>
      </c>
      <c r="EP2085" s="1">
        <v>89.8126463700234</v>
      </c>
      <c r="EQ2085" s="1">
        <v>0.0585480093676978</v>
      </c>
      <c r="ES2085" s="1">
        <v>89.8126463700234</v>
      </c>
    </row>
    <row r="2086" customHeight="1" spans="1:149">
      <c r="A2086" s="62">
        <v>72</v>
      </c>
      <c r="B2086" s="4" t="s">
        <v>1621</v>
      </c>
      <c r="C2086" s="5" t="s">
        <v>1622</v>
      </c>
      <c r="D2086" s="4" t="s">
        <v>529</v>
      </c>
      <c r="N2086" s="4" t="s">
        <v>532</v>
      </c>
      <c r="O2086" s="4" t="s">
        <v>1409</v>
      </c>
      <c r="P2086" s="4">
        <v>3</v>
      </c>
      <c r="Q2086" s="4" t="s">
        <v>539</v>
      </c>
      <c r="X2086" s="4">
        <v>0.759</v>
      </c>
      <c r="Y2086" s="4">
        <v>0.379</v>
      </c>
      <c r="AD2086" s="4" t="s">
        <v>1623</v>
      </c>
      <c r="AG2086" s="4" t="s">
        <v>316</v>
      </c>
      <c r="AH2086" s="4" t="s">
        <v>596</v>
      </c>
      <c r="BI2086" s="4" t="s">
        <v>321</v>
      </c>
      <c r="BK2086" s="4">
        <v>5</v>
      </c>
      <c r="BL2086" s="4">
        <v>1</v>
      </c>
      <c r="BM2086" s="4">
        <v>0.1</v>
      </c>
      <c r="BU2086" s="4">
        <v>30</v>
      </c>
      <c r="BV2086" s="4">
        <v>1440</v>
      </c>
      <c r="CB2086" s="4" t="s">
        <v>7</v>
      </c>
      <c r="CD2086" s="4">
        <v>200</v>
      </c>
      <c r="CE2086" s="4" t="s">
        <v>8</v>
      </c>
      <c r="CG2086" s="4">
        <v>200</v>
      </c>
      <c r="DY2086" s="1">
        <v>0</v>
      </c>
      <c r="DZ2086" s="1">
        <v>0</v>
      </c>
      <c r="EA2086" s="1">
        <v>94.2622950819672</v>
      </c>
      <c r="EB2086" s="1">
        <v>0</v>
      </c>
      <c r="ED2086" s="1">
        <v>94.2622950819672</v>
      </c>
      <c r="EN2086" s="1">
        <v>0</v>
      </c>
      <c r="EO2086" s="1">
        <v>0</v>
      </c>
      <c r="EP2086" s="1">
        <v>81.8501170960187</v>
      </c>
      <c r="EQ2086" s="1">
        <v>0.11709601873541</v>
      </c>
      <c r="ES2086" s="1">
        <v>81.8501170960187</v>
      </c>
    </row>
    <row r="2087" customHeight="1" spans="1:149">
      <c r="A2087" s="62">
        <v>72</v>
      </c>
      <c r="B2087" s="4" t="s">
        <v>1621</v>
      </c>
      <c r="C2087" s="5" t="s">
        <v>1622</v>
      </c>
      <c r="D2087" s="4" t="s">
        <v>529</v>
      </c>
      <c r="N2087" s="4" t="s">
        <v>532</v>
      </c>
      <c r="O2087" s="4" t="s">
        <v>1409</v>
      </c>
      <c r="P2087" s="4">
        <v>3</v>
      </c>
      <c r="Q2087" s="4" t="s">
        <v>539</v>
      </c>
      <c r="X2087" s="4">
        <v>0.759</v>
      </c>
      <c r="Y2087" s="4">
        <v>0.379</v>
      </c>
      <c r="AD2087" s="4" t="s">
        <v>1623</v>
      </c>
      <c r="AG2087" s="4" t="s">
        <v>316</v>
      </c>
      <c r="AH2087" s="4" t="s">
        <v>596</v>
      </c>
      <c r="BI2087" s="4" t="s">
        <v>321</v>
      </c>
      <c r="BK2087" s="4">
        <v>5</v>
      </c>
      <c r="BL2087" s="4">
        <v>1</v>
      </c>
      <c r="BM2087" s="4">
        <v>0.07</v>
      </c>
      <c r="BS2087" s="4">
        <v>3</v>
      </c>
      <c r="BU2087" s="4">
        <v>30</v>
      </c>
      <c r="BV2087" s="4">
        <v>1440</v>
      </c>
      <c r="CB2087" s="4" t="s">
        <v>7</v>
      </c>
      <c r="CD2087" s="4">
        <v>200</v>
      </c>
      <c r="DY2087" s="1">
        <v>0</v>
      </c>
      <c r="DZ2087" s="1">
        <v>0</v>
      </c>
      <c r="EA2087">
        <v>94.7316103379721</v>
      </c>
      <c r="EB2087" s="1">
        <v>0.0994035785287934</v>
      </c>
      <c r="ED2087" s="1">
        <v>94.7316103379721</v>
      </c>
    </row>
    <row r="2088" customHeight="1" spans="1:149">
      <c r="A2088" s="62">
        <v>72</v>
      </c>
      <c r="B2088" s="4" t="s">
        <v>1621</v>
      </c>
      <c r="C2088" s="5" t="s">
        <v>1622</v>
      </c>
      <c r="D2088" s="4" t="s">
        <v>529</v>
      </c>
      <c r="N2088" s="4" t="s">
        <v>532</v>
      </c>
      <c r="O2088" s="4" t="s">
        <v>1409</v>
      </c>
      <c r="P2088" s="4">
        <v>3</v>
      </c>
      <c r="Q2088" s="4" t="s">
        <v>539</v>
      </c>
      <c r="X2088" s="4">
        <v>0.759</v>
      </c>
      <c r="Y2088" s="4">
        <v>0.379</v>
      </c>
      <c r="AD2088" s="4" t="s">
        <v>1623</v>
      </c>
      <c r="AG2088" s="4" t="s">
        <v>316</v>
      </c>
      <c r="AH2088" s="4" t="s">
        <v>596</v>
      </c>
      <c r="BI2088" s="4" t="s">
        <v>321</v>
      </c>
      <c r="BK2088" s="4">
        <v>5</v>
      </c>
      <c r="BL2088" s="4">
        <v>1</v>
      </c>
      <c r="BM2088" s="4">
        <v>0.07</v>
      </c>
      <c r="BS2088" s="4">
        <v>4</v>
      </c>
      <c r="BU2088" s="4">
        <v>30</v>
      </c>
      <c r="BV2088" s="4">
        <v>1440</v>
      </c>
      <c r="CB2088" s="4" t="s">
        <v>7</v>
      </c>
      <c r="CD2088" s="4">
        <v>200</v>
      </c>
      <c r="DY2088" s="1">
        <v>0</v>
      </c>
      <c r="DZ2088" s="1">
        <v>0</v>
      </c>
      <c r="EA2088">
        <v>96.8190854870775</v>
      </c>
      <c r="EB2088" s="1">
        <v>0.198807157057701</v>
      </c>
      <c r="ED2088" s="1">
        <v>96.8190854870775</v>
      </c>
    </row>
    <row r="2089" customHeight="1" spans="1:149">
      <c r="A2089" s="62">
        <v>72</v>
      </c>
      <c r="B2089" s="4" t="s">
        <v>1621</v>
      </c>
      <c r="C2089" s="5" t="s">
        <v>1622</v>
      </c>
      <c r="D2089" s="4" t="s">
        <v>529</v>
      </c>
      <c r="N2089" s="4" t="s">
        <v>532</v>
      </c>
      <c r="O2089" s="4" t="s">
        <v>1409</v>
      </c>
      <c r="P2089" s="4">
        <v>3</v>
      </c>
      <c r="Q2089" s="4" t="s">
        <v>539</v>
      </c>
      <c r="X2089" s="4">
        <v>0.759</v>
      </c>
      <c r="Y2089" s="4">
        <v>0.379</v>
      </c>
      <c r="AD2089" s="4" t="s">
        <v>1623</v>
      </c>
      <c r="AG2089" s="4" t="s">
        <v>316</v>
      </c>
      <c r="AH2089" s="4" t="s">
        <v>596</v>
      </c>
      <c r="BI2089" s="4" t="s">
        <v>321</v>
      </c>
      <c r="BK2089" s="4">
        <v>5</v>
      </c>
      <c r="BL2089" s="4">
        <v>1</v>
      </c>
      <c r="BM2089" s="4">
        <v>0.07</v>
      </c>
      <c r="BS2089" s="4">
        <v>5</v>
      </c>
      <c r="BU2089" s="4">
        <v>30</v>
      </c>
      <c r="BV2089" s="4">
        <v>1440</v>
      </c>
      <c r="CB2089" s="4" t="s">
        <v>7</v>
      </c>
      <c r="CD2089" s="4">
        <v>200</v>
      </c>
      <c r="DY2089" s="1">
        <v>0</v>
      </c>
      <c r="DZ2089" s="1">
        <v>0</v>
      </c>
      <c r="EA2089">
        <v>96.9184890656063</v>
      </c>
      <c r="EB2089" s="1">
        <v>0.0994035785287934</v>
      </c>
      <c r="ED2089" s="1">
        <v>96.9184890656063</v>
      </c>
    </row>
    <row r="2090" customHeight="1" spans="1:149">
      <c r="A2090" s="62">
        <v>72</v>
      </c>
      <c r="B2090" s="4" t="s">
        <v>1621</v>
      </c>
      <c r="C2090" s="5" t="s">
        <v>1622</v>
      </c>
      <c r="D2090" s="4" t="s">
        <v>529</v>
      </c>
      <c r="N2090" s="4" t="s">
        <v>532</v>
      </c>
      <c r="O2090" s="4" t="s">
        <v>1409</v>
      </c>
      <c r="P2090" s="4">
        <v>3</v>
      </c>
      <c r="Q2090" s="4" t="s">
        <v>539</v>
      </c>
      <c r="X2090" s="4">
        <v>0.759</v>
      </c>
      <c r="Y2090" s="4">
        <v>0.379</v>
      </c>
      <c r="AD2090" s="4" t="s">
        <v>1623</v>
      </c>
      <c r="AG2090" s="4" t="s">
        <v>316</v>
      </c>
      <c r="AH2090" s="4" t="s">
        <v>596</v>
      </c>
      <c r="BI2090" s="4" t="s">
        <v>321</v>
      </c>
      <c r="BK2090" s="4">
        <v>5</v>
      </c>
      <c r="BL2090" s="4">
        <v>1</v>
      </c>
      <c r="BM2090" s="4">
        <v>0.07</v>
      </c>
      <c r="BS2090" s="4">
        <v>6</v>
      </c>
      <c r="BU2090" s="4">
        <v>30</v>
      </c>
      <c r="BV2090" s="4">
        <v>1440</v>
      </c>
      <c r="CB2090" s="4" t="s">
        <v>7</v>
      </c>
      <c r="CD2090" s="4">
        <v>200</v>
      </c>
      <c r="DY2090" s="1">
        <v>0</v>
      </c>
      <c r="DZ2090" s="1">
        <v>0</v>
      </c>
      <c r="EA2090">
        <v>97.117296222664</v>
      </c>
      <c r="EB2090" s="1">
        <v>0</v>
      </c>
      <c r="ED2090" s="1">
        <v>97.117296222664</v>
      </c>
    </row>
    <row r="2091" customHeight="1" spans="1:149">
      <c r="A2091" s="62">
        <v>72</v>
      </c>
      <c r="B2091" s="4" t="s">
        <v>1621</v>
      </c>
      <c r="C2091" s="5" t="s">
        <v>1622</v>
      </c>
      <c r="D2091" s="4" t="s">
        <v>529</v>
      </c>
      <c r="N2091" s="4" t="s">
        <v>532</v>
      </c>
      <c r="O2091" s="4" t="s">
        <v>1409</v>
      </c>
      <c r="P2091" s="4">
        <v>3</v>
      </c>
      <c r="Q2091" s="4" t="s">
        <v>539</v>
      </c>
      <c r="X2091" s="4">
        <v>0.759</v>
      </c>
      <c r="Y2091" s="4">
        <v>0.379</v>
      </c>
      <c r="AD2091" s="4" t="s">
        <v>1623</v>
      </c>
      <c r="AG2091" s="4" t="s">
        <v>316</v>
      </c>
      <c r="AH2091" s="4" t="s">
        <v>596</v>
      </c>
      <c r="BI2091" s="4" t="s">
        <v>321</v>
      </c>
      <c r="BK2091" s="4">
        <v>5</v>
      </c>
      <c r="BL2091" s="4">
        <v>1</v>
      </c>
      <c r="BM2091" s="4">
        <v>0.07</v>
      </c>
      <c r="BS2091" s="4">
        <v>3</v>
      </c>
      <c r="BU2091" s="4">
        <v>30</v>
      </c>
      <c r="BV2091" s="4">
        <v>1440</v>
      </c>
      <c r="CB2091" s="4" t="s">
        <v>8</v>
      </c>
      <c r="CD2091" s="4">
        <v>200</v>
      </c>
      <c r="EN2091" s="1">
        <v>0</v>
      </c>
      <c r="EO2091" s="1">
        <v>0</v>
      </c>
      <c r="EP2091" s="1">
        <v>88.4821428571428</v>
      </c>
      <c r="EQ2091" s="1">
        <v>0.982142857142904</v>
      </c>
      <c r="ES2091" s="1">
        <v>88.4821428571428</v>
      </c>
    </row>
    <row r="2092" customHeight="1" spans="1:149">
      <c r="A2092" s="62">
        <v>72</v>
      </c>
      <c r="B2092" s="4" t="s">
        <v>1621</v>
      </c>
      <c r="C2092" s="5" t="s">
        <v>1622</v>
      </c>
      <c r="D2092" s="4" t="s">
        <v>529</v>
      </c>
      <c r="N2092" s="4" t="s">
        <v>532</v>
      </c>
      <c r="O2092" s="4" t="s">
        <v>1409</v>
      </c>
      <c r="P2092" s="4">
        <v>3</v>
      </c>
      <c r="Q2092" s="4" t="s">
        <v>539</v>
      </c>
      <c r="X2092" s="4">
        <v>0.759</v>
      </c>
      <c r="Y2092" s="4">
        <v>0.379</v>
      </c>
      <c r="AD2092" s="4" t="s">
        <v>1623</v>
      </c>
      <c r="AG2092" s="4" t="s">
        <v>316</v>
      </c>
      <c r="AH2092" s="4" t="s">
        <v>596</v>
      </c>
      <c r="BI2092" s="4" t="s">
        <v>321</v>
      </c>
      <c r="BK2092" s="4">
        <v>5</v>
      </c>
      <c r="BL2092" s="4">
        <v>1</v>
      </c>
      <c r="BM2092" s="4">
        <v>0.07</v>
      </c>
      <c r="BS2092" s="4">
        <v>4</v>
      </c>
      <c r="BU2092" s="4">
        <v>30</v>
      </c>
      <c r="BV2092" s="4">
        <v>1440</v>
      </c>
      <c r="CB2092" s="4" t="s">
        <v>8</v>
      </c>
      <c r="CD2092" s="4">
        <v>200</v>
      </c>
      <c r="EN2092" s="1">
        <v>0</v>
      </c>
      <c r="EO2092" s="1">
        <v>0</v>
      </c>
      <c r="EP2092" s="1">
        <v>87.2321428571428</v>
      </c>
      <c r="EQ2092" s="1">
        <v>0.178571428571402</v>
      </c>
      <c r="ES2092" s="1">
        <v>87.2321428571428</v>
      </c>
    </row>
    <row r="2093" customHeight="1" spans="1:149">
      <c r="A2093" s="62">
        <v>72</v>
      </c>
      <c r="B2093" s="4" t="s">
        <v>1621</v>
      </c>
      <c r="C2093" s="5" t="s">
        <v>1622</v>
      </c>
      <c r="D2093" s="4" t="s">
        <v>529</v>
      </c>
      <c r="N2093" s="4" t="s">
        <v>532</v>
      </c>
      <c r="O2093" s="4" t="s">
        <v>1409</v>
      </c>
      <c r="P2093" s="4">
        <v>3</v>
      </c>
      <c r="Q2093" s="4" t="s">
        <v>539</v>
      </c>
      <c r="X2093" s="4">
        <v>0.759</v>
      </c>
      <c r="Y2093" s="4">
        <v>0.379</v>
      </c>
      <c r="AD2093" s="4" t="s">
        <v>1623</v>
      </c>
      <c r="AG2093" s="4" t="s">
        <v>316</v>
      </c>
      <c r="AH2093" s="4" t="s">
        <v>596</v>
      </c>
      <c r="BI2093" s="4" t="s">
        <v>321</v>
      </c>
      <c r="BK2093" s="4">
        <v>5</v>
      </c>
      <c r="BL2093" s="4">
        <v>1</v>
      </c>
      <c r="BM2093" s="4">
        <v>0.07</v>
      </c>
      <c r="BS2093" s="4">
        <v>7</v>
      </c>
      <c r="BU2093" s="4">
        <v>30</v>
      </c>
      <c r="BV2093" s="4">
        <v>1440</v>
      </c>
      <c r="CB2093" s="4" t="s">
        <v>8</v>
      </c>
      <c r="CD2093" s="4">
        <v>200</v>
      </c>
      <c r="EN2093" s="1">
        <v>0</v>
      </c>
      <c r="EO2093" s="1">
        <v>0</v>
      </c>
      <c r="EP2093" s="1">
        <v>66.6964285714285</v>
      </c>
      <c r="EQ2093" s="1">
        <v>0.178571428571402</v>
      </c>
      <c r="ES2093" s="1">
        <v>66.6964285714285</v>
      </c>
    </row>
    <row r="2094" customHeight="1" spans="1:149">
      <c r="A2094" s="62">
        <v>72</v>
      </c>
      <c r="B2094" s="4" t="s">
        <v>1621</v>
      </c>
      <c r="C2094" s="5" t="s">
        <v>1622</v>
      </c>
      <c r="D2094" s="4" t="s">
        <v>529</v>
      </c>
      <c r="N2094" s="4" t="s">
        <v>532</v>
      </c>
      <c r="O2094" s="4" t="s">
        <v>1409</v>
      </c>
      <c r="P2094" s="4">
        <v>3</v>
      </c>
      <c r="Q2094" s="4" t="s">
        <v>539</v>
      </c>
      <c r="X2094" s="4">
        <v>0.759</v>
      </c>
      <c r="Y2094" s="4">
        <v>0.379</v>
      </c>
      <c r="AD2094" s="4" t="s">
        <v>1623</v>
      </c>
      <c r="AG2094" s="4" t="s">
        <v>316</v>
      </c>
      <c r="AH2094" s="4" t="s">
        <v>596</v>
      </c>
      <c r="BI2094" s="4" t="s">
        <v>321</v>
      </c>
      <c r="BK2094" s="4">
        <v>5</v>
      </c>
      <c r="BL2094" s="4">
        <v>1</v>
      </c>
      <c r="BM2094" s="4">
        <v>0.07</v>
      </c>
      <c r="BS2094" s="4">
        <v>10</v>
      </c>
      <c r="BU2094" s="4">
        <v>30</v>
      </c>
      <c r="BV2094" s="4">
        <v>1440</v>
      </c>
      <c r="CB2094" s="4" t="s">
        <v>8</v>
      </c>
      <c r="CD2094" s="4">
        <v>200</v>
      </c>
      <c r="EN2094" s="1">
        <v>0</v>
      </c>
      <c r="EO2094" s="1">
        <v>0</v>
      </c>
      <c r="EP2094" s="1">
        <v>51.8749999999999</v>
      </c>
      <c r="EQ2094" s="1">
        <v>0.892857142857203</v>
      </c>
      <c r="ES2094" s="1">
        <v>51.8749999999999</v>
      </c>
    </row>
    <row r="2095" customHeight="1" spans="1:149">
      <c r="A2095" s="62">
        <v>73</v>
      </c>
      <c r="B2095" s="4" t="s">
        <v>1624</v>
      </c>
      <c r="C2095" s="5" t="s">
        <v>1625</v>
      </c>
      <c r="D2095" s="4" t="s">
        <v>478</v>
      </c>
      <c r="N2095" s="4" t="s">
        <v>751</v>
      </c>
      <c r="O2095" s="4" t="s">
        <v>343</v>
      </c>
      <c r="P2095" s="4">
        <v>1.68</v>
      </c>
      <c r="T2095" s="4">
        <v>80.7513</v>
      </c>
      <c r="U2095" s="4">
        <v>0.2582</v>
      </c>
      <c r="V2095" s="4">
        <v>12.7892</v>
      </c>
      <c r="X2095" s="4">
        <v>0.432</v>
      </c>
      <c r="AD2095" s="4" t="s">
        <v>1626</v>
      </c>
      <c r="AG2095" s="4" t="s">
        <v>316</v>
      </c>
      <c r="AH2095" s="4" t="s">
        <v>346</v>
      </c>
      <c r="AI2095" s="4" t="s">
        <v>1627</v>
      </c>
      <c r="AL2095" s="4" t="s">
        <v>1628</v>
      </c>
      <c r="AM2095" s="4">
        <v>8.11</v>
      </c>
      <c r="AN2095" s="4">
        <v>13.62</v>
      </c>
      <c r="AO2095" s="4">
        <v>13.62</v>
      </c>
      <c r="AP2095" s="4">
        <v>0.2132</v>
      </c>
      <c r="AQ2095" s="4" t="s">
        <v>8</v>
      </c>
      <c r="AR2095" s="4">
        <v>440.35</v>
      </c>
      <c r="BI2095" s="4" t="s">
        <v>321</v>
      </c>
      <c r="BJ2095" s="4" t="s">
        <v>1629</v>
      </c>
      <c r="BP2095" s="4">
        <v>0</v>
      </c>
      <c r="BV2095" s="4" t="s">
        <v>1607</v>
      </c>
      <c r="BX2095" s="4">
        <v>60</v>
      </c>
      <c r="CB2095" s="4" t="s">
        <v>8</v>
      </c>
      <c r="CD2095" s="4">
        <v>440.35</v>
      </c>
      <c r="EF2095">
        <v>446.387832699619</v>
      </c>
      <c r="EG2095">
        <v>7.22433460075905</v>
      </c>
      <c r="EH2095">
        <v>446.387832699619</v>
      </c>
      <c r="EI2095">
        <v>7.22433460075905</v>
      </c>
      <c r="EL2095" s="1">
        <f t="shared" ref="EL2095:EL2119" si="59">(EF2095-EH2095)/EF2095*100</f>
        <v>0</v>
      </c>
      <c r="EP2095" s="1">
        <v>0</v>
      </c>
      <c r="ES2095" s="1">
        <v>0</v>
      </c>
    </row>
    <row r="2096" customHeight="1" spans="1:149">
      <c r="A2096" s="62">
        <v>73</v>
      </c>
      <c r="B2096" s="4" t="s">
        <v>1624</v>
      </c>
      <c r="C2096" s="5" t="s">
        <v>1625</v>
      </c>
      <c r="D2096" s="4" t="s">
        <v>478</v>
      </c>
      <c r="N2096" s="4" t="s">
        <v>751</v>
      </c>
      <c r="O2096" s="4" t="s">
        <v>343</v>
      </c>
      <c r="P2096" s="4">
        <v>1.68</v>
      </c>
      <c r="T2096" s="4">
        <v>80.7513</v>
      </c>
      <c r="U2096" s="4">
        <v>0.2582</v>
      </c>
      <c r="V2096" s="4">
        <v>12.7892</v>
      </c>
      <c r="X2096" s="4">
        <v>0.432</v>
      </c>
      <c r="AD2096" s="4" t="s">
        <v>1626</v>
      </c>
      <c r="AG2096" s="4" t="s">
        <v>316</v>
      </c>
      <c r="AH2096" s="4" t="s">
        <v>346</v>
      </c>
      <c r="AI2096" s="4" t="s">
        <v>1627</v>
      </c>
      <c r="AL2096" s="4" t="s">
        <v>1628</v>
      </c>
      <c r="AM2096" s="4">
        <v>8.11</v>
      </c>
      <c r="AN2096" s="4">
        <v>13.62</v>
      </c>
      <c r="AO2096" s="4">
        <v>13.62</v>
      </c>
      <c r="AP2096" s="4">
        <v>0.2132</v>
      </c>
      <c r="AQ2096" s="4" t="s">
        <v>8</v>
      </c>
      <c r="AR2096" s="4">
        <v>440.35</v>
      </c>
      <c r="BI2096" s="4" t="s">
        <v>321</v>
      </c>
      <c r="BJ2096" s="4" t="s">
        <v>1630</v>
      </c>
      <c r="BP2096" s="4">
        <v>20</v>
      </c>
      <c r="BV2096" s="4" t="s">
        <v>1607</v>
      </c>
      <c r="BX2096" s="4">
        <v>60</v>
      </c>
      <c r="CB2096" s="4" t="s">
        <v>8</v>
      </c>
      <c r="CD2096" s="4">
        <v>440.35</v>
      </c>
      <c r="EF2096">
        <v>446.387832699619</v>
      </c>
      <c r="EG2096">
        <v>7.22433460075905</v>
      </c>
      <c r="EH2096">
        <v>331.558935361216</v>
      </c>
      <c r="EI2096">
        <v>12.547528517109</v>
      </c>
      <c r="EL2096" s="1">
        <f t="shared" si="59"/>
        <v>25.7240204429302</v>
      </c>
      <c r="EP2096" s="1">
        <v>25.7240204429302</v>
      </c>
      <c r="ES2096" s="1">
        <v>25.7240204429302</v>
      </c>
    </row>
    <row r="2097" customHeight="1" spans="1:149">
      <c r="A2097" s="62">
        <v>73</v>
      </c>
      <c r="B2097" s="4" t="s">
        <v>1624</v>
      </c>
      <c r="C2097" s="5" t="s">
        <v>1625</v>
      </c>
      <c r="D2097" s="4" t="s">
        <v>478</v>
      </c>
      <c r="N2097" s="4" t="s">
        <v>751</v>
      </c>
      <c r="O2097" s="4" t="s">
        <v>343</v>
      </c>
      <c r="P2097" s="4">
        <v>1.68</v>
      </c>
      <c r="T2097" s="4">
        <v>80.7513</v>
      </c>
      <c r="U2097" s="4">
        <v>0.2582</v>
      </c>
      <c r="V2097" s="4">
        <v>12.7892</v>
      </c>
      <c r="X2097" s="4">
        <v>0.432</v>
      </c>
      <c r="AD2097" s="4" t="s">
        <v>1626</v>
      </c>
      <c r="AG2097" s="4" t="s">
        <v>316</v>
      </c>
      <c r="AH2097" s="4" t="s">
        <v>346</v>
      </c>
      <c r="AI2097" s="4" t="s">
        <v>1627</v>
      </c>
      <c r="AL2097" s="4" t="s">
        <v>1628</v>
      </c>
      <c r="AM2097" s="4">
        <v>8.11</v>
      </c>
      <c r="AN2097" s="4">
        <v>13.62</v>
      </c>
      <c r="AO2097" s="4">
        <v>13.62</v>
      </c>
      <c r="AP2097" s="4">
        <v>0.2132</v>
      </c>
      <c r="AQ2097" s="4" t="s">
        <v>8</v>
      </c>
      <c r="AR2097" s="4">
        <v>440.35</v>
      </c>
      <c r="BI2097" s="4" t="s">
        <v>321</v>
      </c>
      <c r="BJ2097" s="4" t="s">
        <v>1631</v>
      </c>
      <c r="BP2097" s="4">
        <v>50</v>
      </c>
      <c r="BV2097" s="4" t="s">
        <v>1607</v>
      </c>
      <c r="BX2097" s="4">
        <v>60</v>
      </c>
      <c r="CB2097" s="4" t="s">
        <v>8</v>
      </c>
      <c r="CD2097" s="4">
        <v>440.35</v>
      </c>
      <c r="EF2097">
        <v>446.387832699619</v>
      </c>
      <c r="EG2097">
        <v>7.22433460075905</v>
      </c>
      <c r="EH2097">
        <v>320.152091254752</v>
      </c>
      <c r="EI2097">
        <v>10.266159695816</v>
      </c>
      <c r="EL2097" s="1">
        <f t="shared" si="59"/>
        <v>28.2793867120955</v>
      </c>
      <c r="EP2097" s="1">
        <v>28.2793867120955</v>
      </c>
      <c r="ES2097" s="1">
        <v>28.2793867120955</v>
      </c>
    </row>
    <row r="2098" customHeight="1" spans="1:149">
      <c r="A2098" s="62">
        <v>73</v>
      </c>
      <c r="B2098" s="4" t="s">
        <v>1624</v>
      </c>
      <c r="C2098" s="5" t="s">
        <v>1625</v>
      </c>
      <c r="D2098" s="4" t="s">
        <v>478</v>
      </c>
      <c r="N2098" s="4" t="s">
        <v>751</v>
      </c>
      <c r="O2098" s="4" t="s">
        <v>343</v>
      </c>
      <c r="P2098" s="4">
        <v>1.68</v>
      </c>
      <c r="T2098" s="4">
        <v>80.7513</v>
      </c>
      <c r="U2098" s="4">
        <v>0.2582</v>
      </c>
      <c r="V2098" s="4">
        <v>12.7892</v>
      </c>
      <c r="X2098" s="4">
        <v>0.432</v>
      </c>
      <c r="AD2098" s="4" t="s">
        <v>1626</v>
      </c>
      <c r="AG2098" s="4" t="s">
        <v>316</v>
      </c>
      <c r="AH2098" s="4" t="s">
        <v>346</v>
      </c>
      <c r="AI2098" s="4" t="s">
        <v>1627</v>
      </c>
      <c r="AL2098" s="4" t="s">
        <v>1628</v>
      </c>
      <c r="AM2098" s="4">
        <v>8.11</v>
      </c>
      <c r="AN2098" s="4">
        <v>13.62</v>
      </c>
      <c r="AO2098" s="4">
        <v>13.62</v>
      </c>
      <c r="AP2098" s="4">
        <v>0.2132</v>
      </c>
      <c r="AQ2098" s="4" t="s">
        <v>8</v>
      </c>
      <c r="AR2098" s="4">
        <v>440.35</v>
      </c>
      <c r="BI2098" s="4" t="s">
        <v>321</v>
      </c>
      <c r="BJ2098" s="4" t="s">
        <v>1632</v>
      </c>
      <c r="BP2098" s="4">
        <v>100</v>
      </c>
      <c r="BV2098" s="4" t="s">
        <v>1607</v>
      </c>
      <c r="BX2098" s="4">
        <v>60</v>
      </c>
      <c r="CB2098" s="4" t="s">
        <v>8</v>
      </c>
      <c r="CD2098" s="4">
        <v>440.35</v>
      </c>
      <c r="EF2098">
        <v>446.387832699619</v>
      </c>
      <c r="EG2098">
        <v>7.22433460075905</v>
      </c>
      <c r="EH2098">
        <v>301.140684410646</v>
      </c>
      <c r="EI2098">
        <v>0</v>
      </c>
      <c r="EL2098" s="1">
        <f t="shared" si="59"/>
        <v>32.5383304940375</v>
      </c>
      <c r="EP2098" s="1">
        <v>32.5383304940375</v>
      </c>
      <c r="ES2098" s="1">
        <v>32.5383304940375</v>
      </c>
    </row>
    <row r="2099" customHeight="1" spans="1:149">
      <c r="A2099" s="62">
        <v>73</v>
      </c>
      <c r="B2099" s="4" t="s">
        <v>1624</v>
      </c>
      <c r="C2099" s="5" t="s">
        <v>1625</v>
      </c>
      <c r="D2099" s="4" t="s">
        <v>478</v>
      </c>
      <c r="N2099" s="4" t="s">
        <v>751</v>
      </c>
      <c r="O2099" s="4" t="s">
        <v>343</v>
      </c>
      <c r="P2099" s="4">
        <v>1.68</v>
      </c>
      <c r="T2099" s="4">
        <v>80.7513</v>
      </c>
      <c r="U2099" s="4">
        <v>0.2582</v>
      </c>
      <c r="V2099" s="4">
        <v>12.7892</v>
      </c>
      <c r="X2099" s="4">
        <v>0.432</v>
      </c>
      <c r="AD2099" s="4" t="s">
        <v>1626</v>
      </c>
      <c r="AG2099" s="4" t="s">
        <v>316</v>
      </c>
      <c r="AH2099" s="4" t="s">
        <v>346</v>
      </c>
      <c r="AI2099" s="4" t="s">
        <v>1627</v>
      </c>
      <c r="AL2099" s="4" t="s">
        <v>1628</v>
      </c>
      <c r="AM2099" s="4">
        <v>8.11</v>
      </c>
      <c r="AN2099" s="4">
        <v>13.62</v>
      </c>
      <c r="AO2099" s="4">
        <v>13.62</v>
      </c>
      <c r="AP2099" s="4">
        <v>0.2132</v>
      </c>
      <c r="AQ2099" s="4" t="s">
        <v>8</v>
      </c>
      <c r="AR2099" s="4">
        <v>440.35</v>
      </c>
      <c r="BI2099" s="4" t="s">
        <v>321</v>
      </c>
      <c r="BJ2099" s="4">
        <v>0</v>
      </c>
      <c r="BP2099" s="4">
        <v>0</v>
      </c>
      <c r="BV2099" s="4" t="s">
        <v>1552</v>
      </c>
      <c r="BX2099" s="4">
        <v>60</v>
      </c>
      <c r="CB2099" s="4" t="s">
        <v>8</v>
      </c>
      <c r="CD2099" s="4">
        <v>440.35</v>
      </c>
      <c r="EF2099">
        <v>460.456273764259</v>
      </c>
      <c r="EG2099">
        <v>9.50570342205395</v>
      </c>
      <c r="EH2099">
        <v>460.456273764259</v>
      </c>
      <c r="EI2099">
        <v>9.50570342205395</v>
      </c>
      <c r="EL2099" s="1">
        <f t="shared" si="59"/>
        <v>0</v>
      </c>
      <c r="EP2099" s="1">
        <v>0</v>
      </c>
      <c r="ES2099" s="1">
        <v>0</v>
      </c>
    </row>
    <row r="2100" customHeight="1" spans="1:149">
      <c r="A2100" s="62">
        <v>73</v>
      </c>
      <c r="B2100" s="4" t="s">
        <v>1624</v>
      </c>
      <c r="C2100" s="5" t="s">
        <v>1625</v>
      </c>
      <c r="D2100" s="4" t="s">
        <v>478</v>
      </c>
      <c r="N2100" s="4" t="s">
        <v>751</v>
      </c>
      <c r="O2100" s="4" t="s">
        <v>343</v>
      </c>
      <c r="P2100" s="4">
        <v>1.68</v>
      </c>
      <c r="T2100" s="4">
        <v>80.7513</v>
      </c>
      <c r="U2100" s="4">
        <v>0.2582</v>
      </c>
      <c r="V2100" s="4">
        <v>12.7892</v>
      </c>
      <c r="X2100" s="4">
        <v>0.432</v>
      </c>
      <c r="AD2100" s="4" t="s">
        <v>1626</v>
      </c>
      <c r="AG2100" s="4" t="s">
        <v>316</v>
      </c>
      <c r="AH2100" s="4" t="s">
        <v>346</v>
      </c>
      <c r="AI2100" s="4" t="s">
        <v>1627</v>
      </c>
      <c r="AL2100" s="4" t="s">
        <v>1628</v>
      </c>
      <c r="AM2100" s="4">
        <v>8.11</v>
      </c>
      <c r="AN2100" s="4">
        <v>13.62</v>
      </c>
      <c r="AO2100" s="4">
        <v>13.62</v>
      </c>
      <c r="AP2100" s="4">
        <v>0.2132</v>
      </c>
      <c r="AQ2100" s="4" t="s">
        <v>8</v>
      </c>
      <c r="AR2100" s="4">
        <v>440.35</v>
      </c>
      <c r="BI2100" s="4" t="s">
        <v>321</v>
      </c>
      <c r="BJ2100" s="4" t="s">
        <v>1630</v>
      </c>
      <c r="BP2100" s="4">
        <v>20</v>
      </c>
      <c r="BV2100" s="4" t="s">
        <v>1552</v>
      </c>
      <c r="BX2100" s="4">
        <v>60</v>
      </c>
      <c r="CB2100" s="4" t="s">
        <v>8</v>
      </c>
      <c r="CD2100" s="4">
        <v>440.35</v>
      </c>
      <c r="EF2100">
        <v>460.456273764259</v>
      </c>
      <c r="EG2100">
        <v>9.50570342205395</v>
      </c>
      <c r="EH2100">
        <v>353.992395437263</v>
      </c>
      <c r="EI2100">
        <v>7.22433460076201</v>
      </c>
      <c r="EL2100" s="1">
        <f t="shared" si="59"/>
        <v>23.1213872832369</v>
      </c>
      <c r="EP2100" s="1">
        <v>23.1213872832369</v>
      </c>
      <c r="ES2100" s="1">
        <v>23.1213872832369</v>
      </c>
    </row>
    <row r="2101" customHeight="1" spans="1:149">
      <c r="A2101" s="62">
        <v>73</v>
      </c>
      <c r="B2101" s="4" t="s">
        <v>1624</v>
      </c>
      <c r="C2101" s="5" t="s">
        <v>1625</v>
      </c>
      <c r="D2101" s="4" t="s">
        <v>478</v>
      </c>
      <c r="N2101" s="4" t="s">
        <v>751</v>
      </c>
      <c r="O2101" s="4" t="s">
        <v>343</v>
      </c>
      <c r="P2101" s="4">
        <v>1.68</v>
      </c>
      <c r="T2101" s="4">
        <v>80.7513</v>
      </c>
      <c r="U2101" s="4">
        <v>0.2582</v>
      </c>
      <c r="V2101" s="4">
        <v>12.7892</v>
      </c>
      <c r="X2101" s="4">
        <v>0.432</v>
      </c>
      <c r="AD2101" s="4" t="s">
        <v>1626</v>
      </c>
      <c r="AG2101" s="4" t="s">
        <v>316</v>
      </c>
      <c r="AH2101" s="4" t="s">
        <v>346</v>
      </c>
      <c r="AI2101" s="4" t="s">
        <v>1627</v>
      </c>
      <c r="AL2101" s="4" t="s">
        <v>1628</v>
      </c>
      <c r="AM2101" s="4">
        <v>8.11</v>
      </c>
      <c r="AN2101" s="4">
        <v>13.62</v>
      </c>
      <c r="AO2101" s="4">
        <v>13.62</v>
      </c>
      <c r="AP2101" s="4">
        <v>0.2132</v>
      </c>
      <c r="AQ2101" s="4" t="s">
        <v>8</v>
      </c>
      <c r="AR2101" s="4">
        <v>440.35</v>
      </c>
      <c r="BI2101" s="4" t="s">
        <v>321</v>
      </c>
      <c r="BJ2101" s="4" t="s">
        <v>1631</v>
      </c>
      <c r="BP2101" s="4">
        <v>50</v>
      </c>
      <c r="BV2101" s="4" t="s">
        <v>1552</v>
      </c>
      <c r="BX2101" s="4">
        <v>60</v>
      </c>
      <c r="CB2101" s="4" t="s">
        <v>8</v>
      </c>
      <c r="CD2101" s="4">
        <v>440.35</v>
      </c>
      <c r="EF2101">
        <v>460.456273764259</v>
      </c>
      <c r="EG2101">
        <v>9.50570342205395</v>
      </c>
      <c r="EH2101">
        <v>276.80608365019</v>
      </c>
      <c r="EI2101">
        <v>0</v>
      </c>
      <c r="EL2101" s="1">
        <f t="shared" si="59"/>
        <v>39.8843930635839</v>
      </c>
      <c r="EP2101" s="1">
        <v>39.8843930635839</v>
      </c>
      <c r="ES2101" s="1">
        <v>39.8843930635839</v>
      </c>
    </row>
    <row r="2102" customHeight="1" spans="1:149">
      <c r="A2102" s="62">
        <v>73</v>
      </c>
      <c r="B2102" s="4" t="s">
        <v>1624</v>
      </c>
      <c r="C2102" s="5" t="s">
        <v>1625</v>
      </c>
      <c r="D2102" s="4" t="s">
        <v>478</v>
      </c>
      <c r="N2102" s="4" t="s">
        <v>751</v>
      </c>
      <c r="O2102" s="4" t="s">
        <v>343</v>
      </c>
      <c r="P2102" s="4">
        <v>1.68</v>
      </c>
      <c r="T2102" s="4">
        <v>80.7513</v>
      </c>
      <c r="U2102" s="4">
        <v>0.2582</v>
      </c>
      <c r="V2102" s="4">
        <v>12.7892</v>
      </c>
      <c r="X2102" s="4">
        <v>0.432</v>
      </c>
      <c r="AD2102" s="4" t="s">
        <v>1626</v>
      </c>
      <c r="AG2102" s="4" t="s">
        <v>316</v>
      </c>
      <c r="AH2102" s="4" t="s">
        <v>346</v>
      </c>
      <c r="AI2102" s="4" t="s">
        <v>1627</v>
      </c>
      <c r="AL2102" s="4" t="s">
        <v>1628</v>
      </c>
      <c r="AM2102" s="4">
        <v>8.11</v>
      </c>
      <c r="AN2102" s="4">
        <v>13.62</v>
      </c>
      <c r="AO2102" s="4">
        <v>13.62</v>
      </c>
      <c r="AP2102" s="4">
        <v>0.2132</v>
      </c>
      <c r="AQ2102" s="4" t="s">
        <v>8</v>
      </c>
      <c r="AR2102" s="4">
        <v>440.35</v>
      </c>
      <c r="BI2102" s="4" t="s">
        <v>321</v>
      </c>
      <c r="BJ2102" s="4" t="s">
        <v>1632</v>
      </c>
      <c r="BP2102" s="4">
        <v>100</v>
      </c>
      <c r="BV2102" s="4" t="s">
        <v>1552</v>
      </c>
      <c r="BX2102" s="4">
        <v>60</v>
      </c>
      <c r="CB2102" s="4" t="s">
        <v>8</v>
      </c>
      <c r="CD2102" s="4">
        <v>440.35</v>
      </c>
      <c r="EF2102">
        <v>460.456273764259</v>
      </c>
      <c r="EG2102">
        <v>9.50570342205395</v>
      </c>
      <c r="EH2102">
        <v>276.80608365019</v>
      </c>
      <c r="EI2102">
        <v>3.80228136882198</v>
      </c>
      <c r="EL2102" s="1">
        <f t="shared" si="59"/>
        <v>39.8843930635839</v>
      </c>
      <c r="EP2102" s="1">
        <v>39.8843930635839</v>
      </c>
      <c r="ES2102" s="1">
        <v>39.8843930635839</v>
      </c>
    </row>
    <row r="2103" customHeight="1" spans="1:149">
      <c r="A2103" s="62">
        <v>73</v>
      </c>
      <c r="B2103" s="4" t="s">
        <v>1624</v>
      </c>
      <c r="C2103" s="5" t="s">
        <v>1625</v>
      </c>
      <c r="D2103" s="4" t="s">
        <v>478</v>
      </c>
      <c r="N2103" s="4" t="s">
        <v>751</v>
      </c>
      <c r="O2103" s="4" t="s">
        <v>343</v>
      </c>
      <c r="P2103" s="4">
        <v>1.68</v>
      </c>
      <c r="T2103" s="4">
        <v>80.7513</v>
      </c>
      <c r="U2103" s="4">
        <v>0.2582</v>
      </c>
      <c r="V2103" s="4">
        <v>12.7892</v>
      </c>
      <c r="X2103" s="4">
        <v>0.432</v>
      </c>
      <c r="AD2103" s="4" t="s">
        <v>1626</v>
      </c>
      <c r="AG2103" s="4" t="s">
        <v>316</v>
      </c>
      <c r="AH2103" s="4" t="s">
        <v>346</v>
      </c>
      <c r="AI2103" s="4" t="s">
        <v>1627</v>
      </c>
      <c r="AL2103" s="4" t="s">
        <v>1628</v>
      </c>
      <c r="AM2103" s="4">
        <v>8.11</v>
      </c>
      <c r="AN2103" s="4">
        <v>13.62</v>
      </c>
      <c r="AO2103" s="4">
        <v>13.62</v>
      </c>
      <c r="AP2103" s="4">
        <v>0.2132</v>
      </c>
      <c r="AQ2103" s="4" t="s">
        <v>8</v>
      </c>
      <c r="AR2103" s="4">
        <v>440.35</v>
      </c>
      <c r="BI2103" s="4" t="s">
        <v>321</v>
      </c>
      <c r="BJ2103" s="4">
        <v>0</v>
      </c>
      <c r="BP2103" s="4">
        <v>0</v>
      </c>
      <c r="BV2103" s="4" t="s">
        <v>488</v>
      </c>
      <c r="BX2103" s="4">
        <v>60</v>
      </c>
      <c r="CB2103" s="4" t="s">
        <v>8</v>
      </c>
      <c r="CD2103" s="4">
        <v>440.35</v>
      </c>
      <c r="EF2103">
        <v>516.349809885931</v>
      </c>
      <c r="EG2103">
        <v>7.60456273764197</v>
      </c>
      <c r="EH2103">
        <v>516.349809885931</v>
      </c>
      <c r="EI2103">
        <v>7.60456273764197</v>
      </c>
      <c r="EL2103" s="1">
        <f t="shared" si="59"/>
        <v>0</v>
      </c>
      <c r="EP2103" s="1">
        <v>0</v>
      </c>
      <c r="ES2103" s="1">
        <v>0</v>
      </c>
    </row>
    <row r="2104" customHeight="1" spans="1:149">
      <c r="A2104" s="62">
        <v>73</v>
      </c>
      <c r="B2104" s="4" t="s">
        <v>1624</v>
      </c>
      <c r="C2104" s="5" t="s">
        <v>1625</v>
      </c>
      <c r="D2104" s="4" t="s">
        <v>478</v>
      </c>
      <c r="N2104" s="4" t="s">
        <v>751</v>
      </c>
      <c r="O2104" s="4" t="s">
        <v>343</v>
      </c>
      <c r="P2104" s="4">
        <v>1.68</v>
      </c>
      <c r="T2104" s="4">
        <v>80.7513</v>
      </c>
      <c r="U2104" s="4">
        <v>0.2582</v>
      </c>
      <c r="V2104" s="4">
        <v>12.7892</v>
      </c>
      <c r="X2104" s="4">
        <v>0.432</v>
      </c>
      <c r="AD2104" s="4" t="s">
        <v>1626</v>
      </c>
      <c r="AG2104" s="4" t="s">
        <v>316</v>
      </c>
      <c r="AH2104" s="4" t="s">
        <v>346</v>
      </c>
      <c r="AI2104" s="4" t="s">
        <v>1627</v>
      </c>
      <c r="AL2104" s="4" t="s">
        <v>1628</v>
      </c>
      <c r="AM2104" s="4">
        <v>8.11</v>
      </c>
      <c r="AN2104" s="4">
        <v>13.62</v>
      </c>
      <c r="AO2104" s="4">
        <v>13.62</v>
      </c>
      <c r="AP2104" s="4">
        <v>0.2132</v>
      </c>
      <c r="AQ2104" s="4" t="s">
        <v>8</v>
      </c>
      <c r="AR2104" s="4">
        <v>440.35</v>
      </c>
      <c r="BI2104" s="4" t="s">
        <v>321</v>
      </c>
      <c r="BJ2104" s="4" t="s">
        <v>1630</v>
      </c>
      <c r="BP2104" s="4">
        <v>20</v>
      </c>
      <c r="BV2104" s="4" t="s">
        <v>488</v>
      </c>
      <c r="BX2104" s="4">
        <v>60</v>
      </c>
      <c r="CB2104" s="4" t="s">
        <v>8</v>
      </c>
      <c r="CD2104" s="4">
        <v>440.35</v>
      </c>
      <c r="EF2104">
        <v>516.349809885931</v>
      </c>
      <c r="EG2104">
        <v>7.60456273764197</v>
      </c>
      <c r="EH2104">
        <v>367.300380228136</v>
      </c>
      <c r="EI2104">
        <v>4.56273764258503</v>
      </c>
      <c r="EL2104" s="1">
        <f t="shared" si="59"/>
        <v>28.8659793814434</v>
      </c>
      <c r="EP2104" s="1">
        <v>28.8659793814434</v>
      </c>
      <c r="ES2104" s="1">
        <v>28.8659793814434</v>
      </c>
    </row>
    <row r="2105" customHeight="1" spans="1:149">
      <c r="A2105" s="62">
        <v>73</v>
      </c>
      <c r="B2105" s="4" t="s">
        <v>1624</v>
      </c>
      <c r="C2105" s="5" t="s">
        <v>1625</v>
      </c>
      <c r="D2105" s="4" t="s">
        <v>478</v>
      </c>
      <c r="N2105" s="4" t="s">
        <v>751</v>
      </c>
      <c r="O2105" s="4" t="s">
        <v>343</v>
      </c>
      <c r="P2105" s="4">
        <v>1.68</v>
      </c>
      <c r="T2105" s="4">
        <v>80.7513</v>
      </c>
      <c r="U2105" s="4">
        <v>0.2582</v>
      </c>
      <c r="V2105" s="4">
        <v>12.7892</v>
      </c>
      <c r="X2105" s="4">
        <v>0.432</v>
      </c>
      <c r="AD2105" s="4" t="s">
        <v>1626</v>
      </c>
      <c r="AG2105" s="4" t="s">
        <v>316</v>
      </c>
      <c r="AH2105" s="4" t="s">
        <v>346</v>
      </c>
      <c r="AI2105" s="4" t="s">
        <v>1627</v>
      </c>
      <c r="AL2105" s="4" t="s">
        <v>1628</v>
      </c>
      <c r="AM2105" s="4">
        <v>8.11</v>
      </c>
      <c r="AN2105" s="4">
        <v>13.62</v>
      </c>
      <c r="AO2105" s="4">
        <v>13.62</v>
      </c>
      <c r="AP2105" s="4">
        <v>0.2132</v>
      </c>
      <c r="AQ2105" s="4" t="s">
        <v>8</v>
      </c>
      <c r="AR2105" s="4">
        <v>440.35</v>
      </c>
      <c r="BI2105" s="4" t="s">
        <v>321</v>
      </c>
      <c r="BJ2105" s="4" t="s">
        <v>1631</v>
      </c>
      <c r="BP2105" s="4">
        <v>50</v>
      </c>
      <c r="BV2105" s="4" t="s">
        <v>488</v>
      </c>
      <c r="BX2105" s="4">
        <v>60</v>
      </c>
      <c r="CB2105" s="4" t="s">
        <v>8</v>
      </c>
      <c r="CD2105" s="4">
        <v>440.35</v>
      </c>
      <c r="EF2105">
        <v>516.349809885931</v>
      </c>
      <c r="EG2105">
        <v>7.60456273764197</v>
      </c>
      <c r="EH2105">
        <v>286.692015209125</v>
      </c>
      <c r="EI2105">
        <v>1.52091254752798</v>
      </c>
      <c r="EL2105" s="1">
        <f t="shared" si="59"/>
        <v>44.4771723122239</v>
      </c>
      <c r="EP2105" s="1">
        <v>44.4771723122239</v>
      </c>
      <c r="ES2105" s="1">
        <v>44.4771723122239</v>
      </c>
    </row>
    <row r="2106" customHeight="1" spans="1:149">
      <c r="A2106" s="62">
        <v>73</v>
      </c>
      <c r="B2106" s="4" t="s">
        <v>1624</v>
      </c>
      <c r="C2106" s="5" t="s">
        <v>1625</v>
      </c>
      <c r="D2106" s="4" t="s">
        <v>478</v>
      </c>
      <c r="N2106" s="4" t="s">
        <v>751</v>
      </c>
      <c r="O2106" s="4" t="s">
        <v>343</v>
      </c>
      <c r="P2106" s="4">
        <v>1.68</v>
      </c>
      <c r="T2106" s="4">
        <v>80.7513</v>
      </c>
      <c r="U2106" s="4">
        <v>0.2582</v>
      </c>
      <c r="V2106" s="4">
        <v>12.7892</v>
      </c>
      <c r="X2106" s="4">
        <v>0.432</v>
      </c>
      <c r="AD2106" s="4" t="s">
        <v>1626</v>
      </c>
      <c r="AG2106" s="4" t="s">
        <v>316</v>
      </c>
      <c r="AH2106" s="4" t="s">
        <v>346</v>
      </c>
      <c r="AI2106" s="4" t="s">
        <v>1627</v>
      </c>
      <c r="AL2106" s="4" t="s">
        <v>1628</v>
      </c>
      <c r="AM2106" s="4">
        <v>8.11</v>
      </c>
      <c r="AN2106" s="4">
        <v>13.62</v>
      </c>
      <c r="AO2106" s="4">
        <v>13.62</v>
      </c>
      <c r="AP2106" s="4">
        <v>0.2132</v>
      </c>
      <c r="AQ2106" s="4" t="s">
        <v>8</v>
      </c>
      <c r="AR2106" s="4">
        <v>440.35</v>
      </c>
      <c r="BI2106" s="4" t="s">
        <v>321</v>
      </c>
      <c r="BJ2106" s="4" t="s">
        <v>1632</v>
      </c>
      <c r="BP2106" s="4">
        <v>100</v>
      </c>
      <c r="BV2106" s="4" t="s">
        <v>488</v>
      </c>
      <c r="BX2106" s="4">
        <v>60</v>
      </c>
      <c r="CB2106" s="4" t="s">
        <v>8</v>
      </c>
      <c r="CD2106" s="4">
        <v>440.35</v>
      </c>
      <c r="EF2106">
        <v>516.349809885931</v>
      </c>
      <c r="EG2106">
        <v>7.60456273764197</v>
      </c>
      <c r="EH2106">
        <v>285.171102661597</v>
      </c>
      <c r="EI2106">
        <v>3.04182509505699</v>
      </c>
      <c r="EL2106" s="1">
        <f t="shared" si="59"/>
        <v>44.7717231222385</v>
      </c>
      <c r="EP2106" s="1">
        <v>44.7717231222385</v>
      </c>
      <c r="ES2106" s="1">
        <v>44.7717231222385</v>
      </c>
    </row>
    <row r="2107" customHeight="1" spans="1:149">
      <c r="A2107" s="62">
        <v>73</v>
      </c>
      <c r="B2107" s="4" t="s">
        <v>1624</v>
      </c>
      <c r="C2107" s="5" t="s">
        <v>1625</v>
      </c>
      <c r="D2107" s="4" t="s">
        <v>478</v>
      </c>
      <c r="N2107" s="4" t="s">
        <v>751</v>
      </c>
      <c r="O2107" s="4" t="s">
        <v>343</v>
      </c>
      <c r="P2107" s="4">
        <v>1.68</v>
      </c>
      <c r="T2107" s="4">
        <v>80.7513</v>
      </c>
      <c r="U2107" s="4">
        <v>0.2582</v>
      </c>
      <c r="V2107" s="4">
        <v>12.7892</v>
      </c>
      <c r="X2107" s="4">
        <v>0.432</v>
      </c>
      <c r="AD2107" s="4" t="s">
        <v>1626</v>
      </c>
      <c r="AG2107" s="4" t="s">
        <v>316</v>
      </c>
      <c r="AH2107" s="4" t="s">
        <v>346</v>
      </c>
      <c r="AI2107" s="4" t="s">
        <v>1627</v>
      </c>
      <c r="AL2107" s="4" t="s">
        <v>1628</v>
      </c>
      <c r="AM2107" s="4">
        <v>8.11</v>
      </c>
      <c r="AN2107" s="4">
        <v>13.62</v>
      </c>
      <c r="AO2107" s="4">
        <v>13.62</v>
      </c>
      <c r="AP2107" s="4">
        <v>0.2132</v>
      </c>
      <c r="AQ2107" s="4" t="s">
        <v>8</v>
      </c>
      <c r="AR2107" s="4">
        <v>440.35</v>
      </c>
      <c r="BI2107" s="4" t="s">
        <v>321</v>
      </c>
      <c r="BJ2107" s="4">
        <v>0</v>
      </c>
      <c r="BP2107" s="4">
        <v>0</v>
      </c>
      <c r="BV2107" s="4" t="s">
        <v>522</v>
      </c>
      <c r="BX2107" s="4">
        <v>60</v>
      </c>
      <c r="CB2107" s="4" t="s">
        <v>8</v>
      </c>
      <c r="CD2107" s="4">
        <v>440.35</v>
      </c>
      <c r="EF2107">
        <v>520.912547528517</v>
      </c>
      <c r="EG2107">
        <v>4.56273764258606</v>
      </c>
      <c r="EH2107">
        <v>520.912547528517</v>
      </c>
      <c r="EI2107">
        <v>4.56273764258606</v>
      </c>
      <c r="EL2107" s="1">
        <f t="shared" si="59"/>
        <v>0</v>
      </c>
      <c r="EP2107" s="1">
        <v>0</v>
      </c>
      <c r="ES2107" s="1">
        <v>0</v>
      </c>
    </row>
    <row r="2108" customHeight="1" spans="1:149">
      <c r="A2108" s="62">
        <v>73</v>
      </c>
      <c r="B2108" s="4" t="s">
        <v>1624</v>
      </c>
      <c r="C2108" s="5" t="s">
        <v>1625</v>
      </c>
      <c r="D2108" s="4" t="s">
        <v>478</v>
      </c>
      <c r="N2108" s="4" t="s">
        <v>751</v>
      </c>
      <c r="O2108" s="4" t="s">
        <v>343</v>
      </c>
      <c r="P2108" s="4">
        <v>1.68</v>
      </c>
      <c r="T2108" s="4">
        <v>80.7513</v>
      </c>
      <c r="U2108" s="4">
        <v>0.2582</v>
      </c>
      <c r="V2108" s="4">
        <v>12.7892</v>
      </c>
      <c r="X2108" s="4">
        <v>0.432</v>
      </c>
      <c r="AD2108" s="4" t="s">
        <v>1626</v>
      </c>
      <c r="AG2108" s="4" t="s">
        <v>316</v>
      </c>
      <c r="AH2108" s="4" t="s">
        <v>346</v>
      </c>
      <c r="AI2108" s="4" t="s">
        <v>1627</v>
      </c>
      <c r="AL2108" s="4" t="s">
        <v>1628</v>
      </c>
      <c r="AM2108" s="4">
        <v>8.11</v>
      </c>
      <c r="AN2108" s="4">
        <v>13.62</v>
      </c>
      <c r="AO2108" s="4">
        <v>13.62</v>
      </c>
      <c r="AP2108" s="4">
        <v>0.2132</v>
      </c>
      <c r="AQ2108" s="4" t="s">
        <v>8</v>
      </c>
      <c r="AR2108" s="4">
        <v>440.35</v>
      </c>
      <c r="BI2108" s="4" t="s">
        <v>321</v>
      </c>
      <c r="BJ2108" s="4" t="s">
        <v>1630</v>
      </c>
      <c r="BP2108" s="4">
        <v>20</v>
      </c>
      <c r="BV2108" s="4" t="s">
        <v>522</v>
      </c>
      <c r="BX2108" s="4">
        <v>60</v>
      </c>
      <c r="CB2108" s="4" t="s">
        <v>8</v>
      </c>
      <c r="CD2108" s="4">
        <v>440.35</v>
      </c>
      <c r="EF2108">
        <v>520.912547528517</v>
      </c>
      <c r="EG2108">
        <v>4.56273764258606</v>
      </c>
      <c r="EH2108">
        <v>370.342205323194</v>
      </c>
      <c r="EI2108">
        <v>5.32319391634996</v>
      </c>
      <c r="EL2108" s="1">
        <f t="shared" si="59"/>
        <v>28.9051094890511</v>
      </c>
      <c r="EP2108" s="1">
        <v>28.9051094890511</v>
      </c>
      <c r="ES2108" s="1">
        <v>28.9051094890511</v>
      </c>
    </row>
    <row r="2109" customHeight="1" spans="1:149">
      <c r="A2109" s="62">
        <v>73</v>
      </c>
      <c r="B2109" s="4" t="s">
        <v>1624</v>
      </c>
      <c r="C2109" s="5" t="s">
        <v>1625</v>
      </c>
      <c r="D2109" s="4" t="s">
        <v>478</v>
      </c>
      <c r="N2109" s="4" t="s">
        <v>751</v>
      </c>
      <c r="O2109" s="4" t="s">
        <v>343</v>
      </c>
      <c r="P2109" s="4">
        <v>1.68</v>
      </c>
      <c r="T2109" s="4">
        <v>80.7513</v>
      </c>
      <c r="U2109" s="4">
        <v>0.2582</v>
      </c>
      <c r="V2109" s="4">
        <v>12.7892</v>
      </c>
      <c r="X2109" s="4">
        <v>0.432</v>
      </c>
      <c r="AD2109" s="4" t="s">
        <v>1626</v>
      </c>
      <c r="AG2109" s="4" t="s">
        <v>316</v>
      </c>
      <c r="AH2109" s="4" t="s">
        <v>346</v>
      </c>
      <c r="AI2109" s="4" t="s">
        <v>1627</v>
      </c>
      <c r="AL2109" s="4" t="s">
        <v>1628</v>
      </c>
      <c r="AM2109" s="4">
        <v>8.11</v>
      </c>
      <c r="AN2109" s="4">
        <v>13.62</v>
      </c>
      <c r="AO2109" s="4">
        <v>13.62</v>
      </c>
      <c r="AP2109" s="4">
        <v>0.2132</v>
      </c>
      <c r="AQ2109" s="4" t="s">
        <v>8</v>
      </c>
      <c r="AR2109" s="4">
        <v>440.35</v>
      </c>
      <c r="BI2109" s="4" t="s">
        <v>321</v>
      </c>
      <c r="BJ2109" s="4" t="s">
        <v>1631</v>
      </c>
      <c r="BP2109" s="4">
        <v>50</v>
      </c>
      <c r="BV2109" s="4" t="s">
        <v>522</v>
      </c>
      <c r="BX2109" s="4">
        <v>60</v>
      </c>
      <c r="CB2109" s="4" t="s">
        <v>8</v>
      </c>
      <c r="CD2109" s="4">
        <v>440.35</v>
      </c>
      <c r="EF2109">
        <v>520.912547528517</v>
      </c>
      <c r="EG2109">
        <v>4.56273764258606</v>
      </c>
      <c r="EH2109">
        <v>285.931558935361</v>
      </c>
      <c r="EI2109">
        <v>3.04182509505699</v>
      </c>
      <c r="EL2109" s="1">
        <f t="shared" si="59"/>
        <v>45.1094890510949</v>
      </c>
      <c r="EP2109" s="1">
        <v>45.1094890510949</v>
      </c>
      <c r="ES2109" s="1">
        <v>45.1094890510949</v>
      </c>
    </row>
    <row r="2110" customHeight="1" spans="1:149">
      <c r="A2110" s="62">
        <v>73</v>
      </c>
      <c r="B2110" s="4" t="s">
        <v>1624</v>
      </c>
      <c r="C2110" s="5" t="s">
        <v>1625</v>
      </c>
      <c r="D2110" s="4" t="s">
        <v>478</v>
      </c>
      <c r="N2110" s="4" t="s">
        <v>751</v>
      </c>
      <c r="O2110" s="4" t="s">
        <v>343</v>
      </c>
      <c r="P2110" s="4">
        <v>1.68</v>
      </c>
      <c r="T2110" s="4">
        <v>80.7513</v>
      </c>
      <c r="U2110" s="4">
        <v>0.2582</v>
      </c>
      <c r="V2110" s="4">
        <v>12.7892</v>
      </c>
      <c r="X2110" s="4">
        <v>0.432</v>
      </c>
      <c r="AD2110" s="4" t="s">
        <v>1626</v>
      </c>
      <c r="AG2110" s="4" t="s">
        <v>316</v>
      </c>
      <c r="AH2110" s="4" t="s">
        <v>346</v>
      </c>
      <c r="AI2110" s="4" t="s">
        <v>1627</v>
      </c>
      <c r="AL2110" s="4" t="s">
        <v>1628</v>
      </c>
      <c r="AM2110" s="4">
        <v>8.11</v>
      </c>
      <c r="AN2110" s="4">
        <v>13.62</v>
      </c>
      <c r="AO2110" s="4">
        <v>13.62</v>
      </c>
      <c r="AP2110" s="4">
        <v>0.2132</v>
      </c>
      <c r="AQ2110" s="4" t="s">
        <v>8</v>
      </c>
      <c r="AR2110" s="4">
        <v>440.35</v>
      </c>
      <c r="BI2110" s="4" t="s">
        <v>321</v>
      </c>
      <c r="BJ2110" s="4" t="s">
        <v>1632</v>
      </c>
      <c r="BP2110" s="4">
        <v>100</v>
      </c>
      <c r="BV2110" s="4" t="s">
        <v>522</v>
      </c>
      <c r="BX2110" s="4">
        <v>60</v>
      </c>
      <c r="CB2110" s="4" t="s">
        <v>8</v>
      </c>
      <c r="CD2110" s="4">
        <v>440.35</v>
      </c>
      <c r="EF2110">
        <v>520.912547528517</v>
      </c>
      <c r="EG2110">
        <v>4.56273764258606</v>
      </c>
      <c r="EH2110">
        <v>282.889733840304</v>
      </c>
      <c r="EI2110">
        <v>2.28136882129303</v>
      </c>
      <c r="EL2110" s="1">
        <f t="shared" si="59"/>
        <v>45.6934306569343</v>
      </c>
      <c r="EP2110" s="1">
        <v>45.6934306569343</v>
      </c>
      <c r="ES2110" s="1">
        <v>45.6934306569343</v>
      </c>
    </row>
    <row r="2111" customHeight="1" spans="1:149">
      <c r="A2111" s="62">
        <v>73</v>
      </c>
      <c r="B2111" s="4" t="s">
        <v>1624</v>
      </c>
      <c r="C2111" s="5" t="s">
        <v>1625</v>
      </c>
      <c r="D2111" s="4" t="s">
        <v>478</v>
      </c>
      <c r="N2111" s="4" t="s">
        <v>751</v>
      </c>
      <c r="O2111" s="4" t="s">
        <v>343</v>
      </c>
      <c r="P2111" s="4">
        <v>1.68</v>
      </c>
      <c r="T2111" s="4">
        <v>80.7513</v>
      </c>
      <c r="U2111" s="4">
        <v>0.2582</v>
      </c>
      <c r="V2111" s="4">
        <v>12.7892</v>
      </c>
      <c r="X2111" s="4">
        <v>0.432</v>
      </c>
      <c r="AD2111" s="4" t="s">
        <v>1626</v>
      </c>
      <c r="AG2111" s="4" t="s">
        <v>316</v>
      </c>
      <c r="AH2111" s="4" t="s">
        <v>346</v>
      </c>
      <c r="AI2111" s="4" t="s">
        <v>1627</v>
      </c>
      <c r="AL2111" s="4" t="s">
        <v>1628</v>
      </c>
      <c r="AM2111" s="4">
        <v>8.11</v>
      </c>
      <c r="AN2111" s="4">
        <v>13.62</v>
      </c>
      <c r="AO2111" s="4">
        <v>13.62</v>
      </c>
      <c r="AP2111" s="4">
        <v>0.2132</v>
      </c>
      <c r="AQ2111" s="4" t="s">
        <v>8</v>
      </c>
      <c r="AR2111" s="4">
        <v>440.35</v>
      </c>
      <c r="BI2111" s="4" t="s">
        <v>321</v>
      </c>
      <c r="BJ2111" s="4">
        <v>0</v>
      </c>
      <c r="BP2111" s="4">
        <v>0</v>
      </c>
      <c r="BV2111" s="4" t="s">
        <v>1633</v>
      </c>
      <c r="BX2111" s="4">
        <v>60</v>
      </c>
      <c r="CB2111" s="4" t="s">
        <v>8</v>
      </c>
      <c r="CD2111" s="4">
        <v>440.35</v>
      </c>
      <c r="EF2111">
        <v>520.912547528517</v>
      </c>
      <c r="EG2111">
        <v>1.14068441064705</v>
      </c>
      <c r="EH2111">
        <v>520.912547528517</v>
      </c>
      <c r="EI2111">
        <v>1.14068441064705</v>
      </c>
      <c r="EL2111" s="1">
        <f t="shared" si="59"/>
        <v>0</v>
      </c>
      <c r="EP2111" s="1">
        <v>0</v>
      </c>
      <c r="ES2111" s="1">
        <v>0</v>
      </c>
    </row>
    <row r="2112" customHeight="1" spans="1:149">
      <c r="A2112" s="62">
        <v>73</v>
      </c>
      <c r="B2112" s="4" t="s">
        <v>1624</v>
      </c>
      <c r="C2112" s="5" t="s">
        <v>1625</v>
      </c>
      <c r="D2112" s="4" t="s">
        <v>478</v>
      </c>
      <c r="N2112" s="4" t="s">
        <v>751</v>
      </c>
      <c r="O2112" s="4" t="s">
        <v>343</v>
      </c>
      <c r="P2112" s="4">
        <v>1.68</v>
      </c>
      <c r="T2112" s="4">
        <v>80.7513</v>
      </c>
      <c r="U2112" s="4">
        <v>0.2582</v>
      </c>
      <c r="V2112" s="4">
        <v>12.7892</v>
      </c>
      <c r="X2112" s="4">
        <v>0.432</v>
      </c>
      <c r="AD2112" s="4" t="s">
        <v>1626</v>
      </c>
      <c r="AG2112" s="4" t="s">
        <v>316</v>
      </c>
      <c r="AH2112" s="4" t="s">
        <v>346</v>
      </c>
      <c r="AI2112" s="4" t="s">
        <v>1627</v>
      </c>
      <c r="AL2112" s="4" t="s">
        <v>1628</v>
      </c>
      <c r="AM2112" s="4">
        <v>8.11</v>
      </c>
      <c r="AN2112" s="4">
        <v>13.62</v>
      </c>
      <c r="AO2112" s="4">
        <v>13.62</v>
      </c>
      <c r="AP2112" s="4">
        <v>0.2132</v>
      </c>
      <c r="AQ2112" s="4" t="s">
        <v>8</v>
      </c>
      <c r="AR2112" s="4">
        <v>440.35</v>
      </c>
      <c r="BI2112" s="4" t="s">
        <v>321</v>
      </c>
      <c r="BJ2112" s="4" t="s">
        <v>1630</v>
      </c>
      <c r="BP2112" s="4">
        <v>20</v>
      </c>
      <c r="BV2112" s="4" t="s">
        <v>1633</v>
      </c>
      <c r="BX2112" s="4">
        <v>60</v>
      </c>
      <c r="CB2112" s="4" t="s">
        <v>8</v>
      </c>
      <c r="CD2112" s="4">
        <v>440.35</v>
      </c>
      <c r="EF2112">
        <v>520.912547528517</v>
      </c>
      <c r="EG2112">
        <v>1.14068441064705</v>
      </c>
      <c r="EH2112">
        <v>367.300380228136</v>
      </c>
      <c r="EI2112">
        <v>3.04182509505699</v>
      </c>
      <c r="EL2112" s="1">
        <f t="shared" si="59"/>
        <v>29.4890510948907</v>
      </c>
      <c r="EP2112" s="1">
        <v>29.4890510948907</v>
      </c>
      <c r="ES2112" s="1">
        <v>29.4890510948907</v>
      </c>
    </row>
    <row r="2113" customHeight="1" spans="1:149">
      <c r="A2113" s="62">
        <v>73</v>
      </c>
      <c r="B2113" s="4" t="s">
        <v>1624</v>
      </c>
      <c r="C2113" s="5" t="s">
        <v>1625</v>
      </c>
      <c r="D2113" s="4" t="s">
        <v>478</v>
      </c>
      <c r="N2113" s="4" t="s">
        <v>751</v>
      </c>
      <c r="O2113" s="4" t="s">
        <v>343</v>
      </c>
      <c r="P2113" s="4">
        <v>1.68</v>
      </c>
      <c r="T2113" s="4">
        <v>80.7513</v>
      </c>
      <c r="U2113" s="4">
        <v>0.2582</v>
      </c>
      <c r="V2113" s="4">
        <v>12.7892</v>
      </c>
      <c r="X2113" s="4">
        <v>0.432</v>
      </c>
      <c r="AD2113" s="4" t="s">
        <v>1626</v>
      </c>
      <c r="AG2113" s="4" t="s">
        <v>316</v>
      </c>
      <c r="AH2113" s="4" t="s">
        <v>346</v>
      </c>
      <c r="AI2113" s="4" t="s">
        <v>1627</v>
      </c>
      <c r="AL2113" s="4" t="s">
        <v>1628</v>
      </c>
      <c r="AM2113" s="4">
        <v>8.11</v>
      </c>
      <c r="AN2113" s="4">
        <v>13.62</v>
      </c>
      <c r="AO2113" s="4">
        <v>13.62</v>
      </c>
      <c r="AP2113" s="4">
        <v>0.2132</v>
      </c>
      <c r="AQ2113" s="4" t="s">
        <v>8</v>
      </c>
      <c r="AR2113" s="4">
        <v>440.35</v>
      </c>
      <c r="BI2113" s="4" t="s">
        <v>321</v>
      </c>
      <c r="BJ2113" s="4" t="s">
        <v>1631</v>
      </c>
      <c r="BP2113" s="4">
        <v>50</v>
      </c>
      <c r="BV2113" s="4" t="s">
        <v>1633</v>
      </c>
      <c r="BX2113" s="4">
        <v>60</v>
      </c>
      <c r="CB2113" s="4" t="s">
        <v>8</v>
      </c>
      <c r="CD2113" s="4">
        <v>440.35</v>
      </c>
      <c r="EF2113">
        <v>520.912547528517</v>
      </c>
      <c r="EG2113">
        <v>1.14068441064705</v>
      </c>
      <c r="EH2113">
        <v>273.003802281368</v>
      </c>
      <c r="EI2113">
        <v>0</v>
      </c>
      <c r="EL2113" s="1">
        <f t="shared" si="59"/>
        <v>47.5912408759126</v>
      </c>
      <c r="EP2113" s="1">
        <v>47.5912408759126</v>
      </c>
      <c r="ES2113" s="1">
        <v>47.5912408759126</v>
      </c>
    </row>
    <row r="2114" customHeight="1" spans="1:149">
      <c r="A2114" s="62">
        <v>73</v>
      </c>
      <c r="B2114" s="4" t="s">
        <v>1624</v>
      </c>
      <c r="C2114" s="5" t="s">
        <v>1625</v>
      </c>
      <c r="D2114" s="4" t="s">
        <v>478</v>
      </c>
      <c r="N2114" s="4" t="s">
        <v>751</v>
      </c>
      <c r="O2114" s="4" t="s">
        <v>343</v>
      </c>
      <c r="P2114" s="4">
        <v>1.68</v>
      </c>
      <c r="T2114" s="4">
        <v>80.7513</v>
      </c>
      <c r="U2114" s="4">
        <v>0.2582</v>
      </c>
      <c r="V2114" s="4">
        <v>12.7892</v>
      </c>
      <c r="X2114" s="4">
        <v>0.432</v>
      </c>
      <c r="AD2114" s="4" t="s">
        <v>1626</v>
      </c>
      <c r="AG2114" s="4" t="s">
        <v>316</v>
      </c>
      <c r="AH2114" s="4" t="s">
        <v>346</v>
      </c>
      <c r="AI2114" s="4" t="s">
        <v>1627</v>
      </c>
      <c r="AL2114" s="4" t="s">
        <v>1628</v>
      </c>
      <c r="AM2114" s="4">
        <v>8.11</v>
      </c>
      <c r="AN2114" s="4">
        <v>13.62</v>
      </c>
      <c r="AO2114" s="4">
        <v>13.62</v>
      </c>
      <c r="AP2114" s="4">
        <v>0.2132</v>
      </c>
      <c r="AQ2114" s="4" t="s">
        <v>8</v>
      </c>
      <c r="AR2114" s="4">
        <v>440.35</v>
      </c>
      <c r="BI2114" s="4" t="s">
        <v>321</v>
      </c>
      <c r="BJ2114" s="4" t="s">
        <v>1632</v>
      </c>
      <c r="BP2114" s="4">
        <v>100</v>
      </c>
      <c r="BV2114" s="4" t="s">
        <v>1633</v>
      </c>
      <c r="BX2114" s="4">
        <v>60</v>
      </c>
      <c r="CB2114" s="4" t="s">
        <v>8</v>
      </c>
      <c r="CD2114" s="4">
        <v>440.35</v>
      </c>
      <c r="EF2114">
        <v>520.912547528517</v>
      </c>
      <c r="EG2114">
        <v>1.14068441064705</v>
      </c>
      <c r="EH2114">
        <v>268.441064638783</v>
      </c>
      <c r="EI2114">
        <v>6.08365019011404</v>
      </c>
      <c r="EL2114" s="1">
        <f t="shared" si="59"/>
        <v>48.4671532846716</v>
      </c>
      <c r="EP2114" s="1">
        <v>48.4671532846716</v>
      </c>
      <c r="ES2114" s="1">
        <v>48.4671532846716</v>
      </c>
    </row>
    <row r="2115" customHeight="1" spans="1:149">
      <c r="A2115" s="62">
        <v>73</v>
      </c>
      <c r="B2115" s="4" t="s">
        <v>1624</v>
      </c>
      <c r="C2115" s="5" t="s">
        <v>1625</v>
      </c>
      <c r="D2115" s="4" t="s">
        <v>478</v>
      </c>
      <c r="N2115" s="4" t="s">
        <v>751</v>
      </c>
      <c r="O2115" s="4" t="s">
        <v>343</v>
      </c>
      <c r="P2115" s="4">
        <v>1.68</v>
      </c>
      <c r="T2115" s="4">
        <v>80.7513</v>
      </c>
      <c r="U2115" s="4">
        <v>0.2582</v>
      </c>
      <c r="V2115" s="4">
        <v>12.7892</v>
      </c>
      <c r="X2115" s="4">
        <v>0.432</v>
      </c>
      <c r="AD2115" s="4" t="s">
        <v>1626</v>
      </c>
      <c r="AG2115" s="4" t="s">
        <v>316</v>
      </c>
      <c r="AH2115" s="4" t="s">
        <v>346</v>
      </c>
      <c r="AI2115" s="4" t="s">
        <v>1627</v>
      </c>
      <c r="AL2115" s="4" t="s">
        <v>1628</v>
      </c>
      <c r="AM2115" s="4">
        <v>8.11</v>
      </c>
      <c r="AN2115" s="4">
        <v>13.62</v>
      </c>
      <c r="AO2115" s="4">
        <v>13.62</v>
      </c>
      <c r="AP2115" s="4">
        <v>0.2132</v>
      </c>
      <c r="AQ2115" s="4" t="s">
        <v>8</v>
      </c>
      <c r="AR2115" s="4">
        <v>440.35</v>
      </c>
      <c r="BI2115" s="4" t="s">
        <v>321</v>
      </c>
      <c r="BJ2115" s="4">
        <v>0</v>
      </c>
      <c r="BP2115" s="4">
        <v>0</v>
      </c>
      <c r="BV2115" s="4" t="s">
        <v>1634</v>
      </c>
      <c r="BX2115" s="4">
        <v>60</v>
      </c>
      <c r="CB2115" s="4" t="s">
        <v>8</v>
      </c>
      <c r="CD2115" s="4">
        <v>440.35</v>
      </c>
      <c r="EF2115">
        <v>517.87072243346</v>
      </c>
      <c r="EG2115">
        <v>0</v>
      </c>
      <c r="EH2115">
        <v>517.87072243346</v>
      </c>
      <c r="EI2115">
        <v>0</v>
      </c>
      <c r="EL2115" s="1">
        <f t="shared" si="59"/>
        <v>0</v>
      </c>
      <c r="EP2115" s="1">
        <v>0</v>
      </c>
      <c r="ES2115" s="1">
        <v>0</v>
      </c>
    </row>
    <row r="2116" customHeight="1" spans="1:149">
      <c r="A2116" s="62">
        <v>73</v>
      </c>
      <c r="B2116" s="4" t="s">
        <v>1624</v>
      </c>
      <c r="C2116" s="5" t="s">
        <v>1625</v>
      </c>
      <c r="D2116" s="4" t="s">
        <v>478</v>
      </c>
      <c r="N2116" s="4" t="s">
        <v>751</v>
      </c>
      <c r="O2116" s="4" t="s">
        <v>343</v>
      </c>
      <c r="P2116" s="4">
        <v>1.68</v>
      </c>
      <c r="T2116" s="4">
        <v>80.7513</v>
      </c>
      <c r="U2116" s="4">
        <v>0.2582</v>
      </c>
      <c r="V2116" s="4">
        <v>12.7892</v>
      </c>
      <c r="X2116" s="4">
        <v>0.432</v>
      </c>
      <c r="AD2116" s="4" t="s">
        <v>1626</v>
      </c>
      <c r="AG2116" s="4" t="s">
        <v>316</v>
      </c>
      <c r="AH2116" s="4" t="s">
        <v>346</v>
      </c>
      <c r="AI2116" s="4" t="s">
        <v>1627</v>
      </c>
      <c r="AL2116" s="4" t="s">
        <v>1628</v>
      </c>
      <c r="AM2116" s="4">
        <v>8.11</v>
      </c>
      <c r="AN2116" s="4">
        <v>13.62</v>
      </c>
      <c r="AO2116" s="4">
        <v>13.62</v>
      </c>
      <c r="AP2116" s="4">
        <v>0.2132</v>
      </c>
      <c r="AQ2116" s="4" t="s">
        <v>8</v>
      </c>
      <c r="AR2116" s="4">
        <v>440.35</v>
      </c>
      <c r="BI2116" s="4" t="s">
        <v>321</v>
      </c>
      <c r="BJ2116" s="4" t="s">
        <v>1630</v>
      </c>
      <c r="BP2116" s="4">
        <v>20</v>
      </c>
      <c r="BV2116" s="4" t="s">
        <v>1634</v>
      </c>
      <c r="BX2116" s="4">
        <v>60</v>
      </c>
      <c r="CB2116" s="4" t="s">
        <v>8</v>
      </c>
      <c r="CD2116" s="4">
        <v>440.35</v>
      </c>
      <c r="EF2116">
        <v>517.87072243346</v>
      </c>
      <c r="EG2116">
        <v>0</v>
      </c>
      <c r="EH2116">
        <v>365.779467680608</v>
      </c>
      <c r="EI2116">
        <v>5.32319391634996</v>
      </c>
      <c r="EL2116" s="1">
        <f t="shared" si="59"/>
        <v>29.3685756240823</v>
      </c>
      <c r="EP2116" s="1">
        <v>29.3685756240823</v>
      </c>
      <c r="ES2116" s="1">
        <v>29.3685756240823</v>
      </c>
    </row>
    <row r="2117" customHeight="1" spans="1:149">
      <c r="A2117" s="62">
        <v>73</v>
      </c>
      <c r="B2117" s="4" t="s">
        <v>1624</v>
      </c>
      <c r="C2117" s="5" t="s">
        <v>1625</v>
      </c>
      <c r="D2117" s="4" t="s">
        <v>478</v>
      </c>
      <c r="N2117" s="4" t="s">
        <v>751</v>
      </c>
      <c r="O2117" s="4" t="s">
        <v>343</v>
      </c>
      <c r="P2117" s="4">
        <v>1.68</v>
      </c>
      <c r="T2117" s="4">
        <v>80.7513</v>
      </c>
      <c r="U2117" s="4">
        <v>0.2582</v>
      </c>
      <c r="V2117" s="4">
        <v>12.7892</v>
      </c>
      <c r="X2117" s="4">
        <v>0.432</v>
      </c>
      <c r="AD2117" s="4" t="s">
        <v>1626</v>
      </c>
      <c r="AG2117" s="4" t="s">
        <v>316</v>
      </c>
      <c r="AH2117" s="4" t="s">
        <v>346</v>
      </c>
      <c r="AI2117" s="4" t="s">
        <v>1627</v>
      </c>
      <c r="AL2117" s="4" t="s">
        <v>1628</v>
      </c>
      <c r="AM2117" s="4">
        <v>8.11</v>
      </c>
      <c r="AN2117" s="4">
        <v>13.62</v>
      </c>
      <c r="AO2117" s="4">
        <v>13.62</v>
      </c>
      <c r="AP2117" s="4">
        <v>0.2132</v>
      </c>
      <c r="AQ2117" s="4" t="s">
        <v>8</v>
      </c>
      <c r="AR2117" s="4">
        <v>440.35</v>
      </c>
      <c r="BI2117" s="4" t="s">
        <v>321</v>
      </c>
      <c r="BJ2117" s="4" t="s">
        <v>1631</v>
      </c>
      <c r="BP2117" s="4">
        <v>50</v>
      </c>
      <c r="BV2117" s="4" t="s">
        <v>1634</v>
      </c>
      <c r="BX2117" s="4">
        <v>60</v>
      </c>
      <c r="CB2117" s="4" t="s">
        <v>8</v>
      </c>
      <c r="CD2117" s="4">
        <v>440.35</v>
      </c>
      <c r="EF2117">
        <v>517.87072243346</v>
      </c>
      <c r="EG2117">
        <v>0</v>
      </c>
      <c r="EH2117">
        <v>270.722433460076</v>
      </c>
      <c r="EI2117">
        <v>3.04182509505699</v>
      </c>
      <c r="EL2117" s="1">
        <f t="shared" si="59"/>
        <v>47.7239353891336</v>
      </c>
      <c r="EP2117" s="1">
        <v>47.7239353891336</v>
      </c>
      <c r="ES2117" s="1">
        <v>47.7239353891336</v>
      </c>
    </row>
    <row r="2118" customHeight="1" spans="1:149">
      <c r="A2118" s="62">
        <v>73</v>
      </c>
      <c r="B2118" s="4" t="s">
        <v>1624</v>
      </c>
      <c r="C2118" s="5" t="s">
        <v>1625</v>
      </c>
      <c r="D2118" s="4" t="s">
        <v>478</v>
      </c>
      <c r="N2118" s="4" t="s">
        <v>751</v>
      </c>
      <c r="O2118" s="4" t="s">
        <v>343</v>
      </c>
      <c r="P2118" s="4">
        <v>1.68</v>
      </c>
      <c r="T2118" s="4">
        <v>80.7513</v>
      </c>
      <c r="U2118" s="4">
        <v>0.2582</v>
      </c>
      <c r="V2118" s="4">
        <v>12.7892</v>
      </c>
      <c r="X2118" s="4">
        <v>0.432</v>
      </c>
      <c r="AD2118" s="4" t="s">
        <v>1626</v>
      </c>
      <c r="AG2118" s="4" t="s">
        <v>316</v>
      </c>
      <c r="AH2118" s="4" t="s">
        <v>346</v>
      </c>
      <c r="AI2118" s="4" t="s">
        <v>1627</v>
      </c>
      <c r="AL2118" s="4" t="s">
        <v>1628</v>
      </c>
      <c r="AM2118" s="4">
        <v>8.11</v>
      </c>
      <c r="AN2118" s="4">
        <v>13.62</v>
      </c>
      <c r="AO2118" s="4">
        <v>13.62</v>
      </c>
      <c r="AP2118" s="4">
        <v>0.2132</v>
      </c>
      <c r="AQ2118" s="4" t="s">
        <v>8</v>
      </c>
      <c r="AR2118" s="4">
        <v>440.35</v>
      </c>
      <c r="BI2118" s="4" t="s">
        <v>321</v>
      </c>
      <c r="BJ2118" s="4" t="s">
        <v>1632</v>
      </c>
      <c r="BP2118" s="4">
        <v>100</v>
      </c>
      <c r="BV2118" s="4" t="s">
        <v>1634</v>
      </c>
      <c r="BX2118" s="4">
        <v>60</v>
      </c>
      <c r="CB2118" s="4" t="s">
        <v>8</v>
      </c>
      <c r="CD2118" s="4">
        <v>440.35</v>
      </c>
      <c r="EF2118">
        <v>517.87072243346</v>
      </c>
      <c r="EG2118">
        <v>0</v>
      </c>
      <c r="EH2118">
        <v>263.878326996197</v>
      </c>
      <c r="EI2118">
        <v>4.94296577946704</v>
      </c>
      <c r="EL2118" s="1">
        <f t="shared" si="59"/>
        <v>49.0455212922175</v>
      </c>
      <c r="EP2118" s="1">
        <v>49.0455212922175</v>
      </c>
      <c r="ES2118" s="1">
        <v>49.0455212922175</v>
      </c>
    </row>
    <row r="2119" customHeight="1" spans="1:149">
      <c r="A2119" s="62">
        <v>73</v>
      </c>
      <c r="B2119" s="4" t="s">
        <v>1624</v>
      </c>
      <c r="C2119" s="5" t="s">
        <v>1625</v>
      </c>
      <c r="D2119" s="4" t="s">
        <v>478</v>
      </c>
      <c r="N2119" s="4" t="s">
        <v>751</v>
      </c>
      <c r="O2119" s="4" t="s">
        <v>343</v>
      </c>
      <c r="P2119" s="4">
        <v>1.68</v>
      </c>
      <c r="T2119" s="4">
        <v>80.7513</v>
      </c>
      <c r="U2119" s="4">
        <v>0.2582</v>
      </c>
      <c r="V2119" s="4">
        <v>12.7892</v>
      </c>
      <c r="X2119" s="4">
        <v>0.432</v>
      </c>
      <c r="AD2119" s="4" t="s">
        <v>1626</v>
      </c>
      <c r="AG2119" s="4" t="s">
        <v>316</v>
      </c>
      <c r="AH2119" s="4" t="s">
        <v>1635</v>
      </c>
      <c r="AI2119" s="4" t="s">
        <v>1636</v>
      </c>
      <c r="AL2119" s="4" t="s">
        <v>1637</v>
      </c>
      <c r="AM2119" s="4">
        <v>6.02</v>
      </c>
      <c r="AN2119" s="4">
        <v>27.88</v>
      </c>
      <c r="AO2119" s="4">
        <v>27.88</v>
      </c>
      <c r="AP2119" s="4">
        <v>0.2402</v>
      </c>
      <c r="AQ2119" s="4" t="s">
        <v>8</v>
      </c>
      <c r="AR2119" s="4">
        <v>228.65</v>
      </c>
      <c r="BD2119" s="4" t="s">
        <v>1638</v>
      </c>
      <c r="BI2119" s="4" t="s">
        <v>321</v>
      </c>
      <c r="BJ2119" s="4" t="s">
        <v>1639</v>
      </c>
      <c r="BO2119" s="4">
        <v>0</v>
      </c>
      <c r="BP2119" s="4">
        <v>0</v>
      </c>
      <c r="BV2119" s="4" t="s">
        <v>1607</v>
      </c>
      <c r="BX2119" s="4">
        <v>60</v>
      </c>
      <c r="CB2119" s="4" t="s">
        <v>8</v>
      </c>
      <c r="CD2119" s="4">
        <v>228.65</v>
      </c>
      <c r="EF2119">
        <v>231.678986272439</v>
      </c>
      <c r="EG2119">
        <v>3.37909186906</v>
      </c>
      <c r="EH2119">
        <v>231.678986272439</v>
      </c>
      <c r="EI2119">
        <v>3.37909186906</v>
      </c>
      <c r="EL2119" s="1">
        <f t="shared" si="59"/>
        <v>0</v>
      </c>
      <c r="EP2119" s="1">
        <v>0</v>
      </c>
      <c r="ES2119" s="1">
        <v>0</v>
      </c>
    </row>
    <row r="2120" customHeight="1" spans="1:149">
      <c r="A2120" s="62">
        <v>73</v>
      </c>
      <c r="B2120" s="4" t="s">
        <v>1624</v>
      </c>
      <c r="C2120" s="5" t="s">
        <v>1625</v>
      </c>
      <c r="D2120" s="4" t="s">
        <v>478</v>
      </c>
      <c r="N2120" s="4" t="s">
        <v>751</v>
      </c>
      <c r="O2120" s="4" t="s">
        <v>343</v>
      </c>
      <c r="P2120" s="4">
        <v>1.68</v>
      </c>
      <c r="T2120" s="4">
        <v>80.7513</v>
      </c>
      <c r="U2120" s="4">
        <v>0.2582</v>
      </c>
      <c r="V2120" s="4">
        <v>12.7892</v>
      </c>
      <c r="X2120" s="4">
        <v>0.432</v>
      </c>
      <c r="AD2120" s="4" t="s">
        <v>1626</v>
      </c>
      <c r="AG2120" s="4" t="s">
        <v>316</v>
      </c>
      <c r="AH2120" s="4" t="s">
        <v>1635</v>
      </c>
      <c r="AI2120" s="4" t="s">
        <v>1636</v>
      </c>
      <c r="AL2120" s="4" t="s">
        <v>1637</v>
      </c>
      <c r="AM2120" s="4">
        <v>6.02</v>
      </c>
      <c r="AN2120" s="4">
        <v>27.88</v>
      </c>
      <c r="AO2120" s="4">
        <v>27.88</v>
      </c>
      <c r="AP2120" s="4">
        <v>0.2402</v>
      </c>
      <c r="AQ2120" s="4" t="s">
        <v>8</v>
      </c>
      <c r="AR2120" s="4">
        <v>228.65</v>
      </c>
      <c r="BD2120" s="4" t="s">
        <v>1638</v>
      </c>
      <c r="BI2120" s="4" t="s">
        <v>321</v>
      </c>
      <c r="BJ2120" s="4" t="s">
        <v>1640</v>
      </c>
      <c r="BO2120" s="4">
        <v>0.05</v>
      </c>
      <c r="BP2120" s="4">
        <v>5</v>
      </c>
      <c r="BV2120" s="4" t="s">
        <v>1607</v>
      </c>
      <c r="BX2120" s="4">
        <v>60</v>
      </c>
      <c r="CB2120" s="4" t="s">
        <v>8</v>
      </c>
      <c r="CD2120" s="4">
        <v>228.65</v>
      </c>
      <c r="EF2120">
        <v>231.678986272439</v>
      </c>
      <c r="EG2120">
        <v>3.37909186906</v>
      </c>
      <c r="EH2120">
        <v>169.165786694825</v>
      </c>
      <c r="EI2120">
        <v>2.11193241816198</v>
      </c>
      <c r="EL2120" s="1">
        <f t="shared" ref="EL2120:EL2142" si="60">(EF2120-EH2120)/EF2120*100</f>
        <v>26.9826800364633</v>
      </c>
      <c r="EP2120" s="1">
        <v>26.9826800364633</v>
      </c>
      <c r="ES2120" s="1">
        <v>26.9826800364633</v>
      </c>
    </row>
    <row r="2121" customHeight="1" spans="1:149">
      <c r="A2121" s="62">
        <v>73</v>
      </c>
      <c r="B2121" s="4" t="s">
        <v>1624</v>
      </c>
      <c r="C2121" s="5" t="s">
        <v>1625</v>
      </c>
      <c r="D2121" s="4" t="s">
        <v>478</v>
      </c>
      <c r="N2121" s="4" t="s">
        <v>751</v>
      </c>
      <c r="O2121" s="4" t="s">
        <v>343</v>
      </c>
      <c r="P2121" s="4">
        <v>1.68</v>
      </c>
      <c r="T2121" s="4">
        <v>80.7513</v>
      </c>
      <c r="U2121" s="4">
        <v>0.2582</v>
      </c>
      <c r="V2121" s="4">
        <v>12.7892</v>
      </c>
      <c r="X2121" s="4">
        <v>0.432</v>
      </c>
      <c r="AD2121" s="4" t="s">
        <v>1626</v>
      </c>
      <c r="AG2121" s="4" t="s">
        <v>316</v>
      </c>
      <c r="AH2121" s="4" t="s">
        <v>1635</v>
      </c>
      <c r="AI2121" s="4" t="s">
        <v>1636</v>
      </c>
      <c r="AL2121" s="4" t="s">
        <v>1637</v>
      </c>
      <c r="AM2121" s="4">
        <v>6.02</v>
      </c>
      <c r="AN2121" s="4">
        <v>27.88</v>
      </c>
      <c r="AO2121" s="4">
        <v>27.88</v>
      </c>
      <c r="AP2121" s="4">
        <v>0.2402</v>
      </c>
      <c r="AQ2121" s="4" t="s">
        <v>8</v>
      </c>
      <c r="AR2121" s="4">
        <v>228.65</v>
      </c>
      <c r="BD2121" s="4" t="s">
        <v>1638</v>
      </c>
      <c r="BI2121" s="4" t="s">
        <v>321</v>
      </c>
      <c r="BJ2121" s="4" t="s">
        <v>1641</v>
      </c>
      <c r="BO2121" s="4">
        <v>0.1</v>
      </c>
      <c r="BP2121" s="4">
        <v>10</v>
      </c>
      <c r="BV2121" s="4" t="s">
        <v>1607</v>
      </c>
      <c r="BX2121" s="4">
        <v>60</v>
      </c>
      <c r="CB2121" s="4" t="s">
        <v>8</v>
      </c>
      <c r="CD2121" s="4">
        <v>228.65</v>
      </c>
      <c r="EF2121">
        <v>231.678986272439</v>
      </c>
      <c r="EG2121">
        <v>3.37909186906</v>
      </c>
      <c r="EH2121">
        <v>148.891235480464</v>
      </c>
      <c r="EI2121">
        <v>0</v>
      </c>
      <c r="EL2121" s="1">
        <f t="shared" si="60"/>
        <v>35.7338195077486</v>
      </c>
      <c r="EP2121" s="1">
        <v>35.7338195077486</v>
      </c>
      <c r="ES2121" s="1">
        <v>35.7338195077486</v>
      </c>
    </row>
    <row r="2122" customHeight="1" spans="1:149">
      <c r="A2122" s="62">
        <v>73</v>
      </c>
      <c r="B2122" s="4" t="s">
        <v>1624</v>
      </c>
      <c r="C2122" s="5" t="s">
        <v>1625</v>
      </c>
      <c r="D2122" s="4" t="s">
        <v>478</v>
      </c>
      <c r="N2122" s="4" t="s">
        <v>751</v>
      </c>
      <c r="O2122" s="4" t="s">
        <v>343</v>
      </c>
      <c r="P2122" s="4">
        <v>1.68</v>
      </c>
      <c r="T2122" s="4">
        <v>80.7513</v>
      </c>
      <c r="U2122" s="4">
        <v>0.2582</v>
      </c>
      <c r="V2122" s="4">
        <v>12.7892</v>
      </c>
      <c r="X2122" s="4">
        <v>0.432</v>
      </c>
      <c r="AD2122" s="4" t="s">
        <v>1626</v>
      </c>
      <c r="AG2122" s="4" t="s">
        <v>316</v>
      </c>
      <c r="AH2122" s="4" t="s">
        <v>1635</v>
      </c>
      <c r="AI2122" s="4" t="s">
        <v>1636</v>
      </c>
      <c r="AL2122" s="4" t="s">
        <v>1637</v>
      </c>
      <c r="AM2122" s="4">
        <v>6.02</v>
      </c>
      <c r="AN2122" s="4">
        <v>27.88</v>
      </c>
      <c r="AO2122" s="4">
        <v>27.88</v>
      </c>
      <c r="AP2122" s="4">
        <v>0.2402</v>
      </c>
      <c r="AQ2122" s="4" t="s">
        <v>8</v>
      </c>
      <c r="AR2122" s="4">
        <v>228.65</v>
      </c>
      <c r="BD2122" s="4" t="s">
        <v>1638</v>
      </c>
      <c r="BI2122" s="4" t="s">
        <v>321</v>
      </c>
      <c r="BJ2122" s="4" t="s">
        <v>1630</v>
      </c>
      <c r="BO2122" s="4">
        <v>0.2</v>
      </c>
      <c r="BP2122" s="4">
        <v>20</v>
      </c>
      <c r="BV2122" s="4" t="s">
        <v>1607</v>
      </c>
      <c r="BX2122" s="4">
        <v>60</v>
      </c>
      <c r="CB2122" s="4" t="s">
        <v>8</v>
      </c>
      <c r="CD2122" s="4">
        <v>228.65</v>
      </c>
      <c r="EF2122">
        <v>231.678986272439</v>
      </c>
      <c r="EG2122">
        <v>3.37909186906</v>
      </c>
      <c r="EH2122">
        <v>114.67793030623</v>
      </c>
      <c r="EI2122">
        <v>2.95670538542799</v>
      </c>
      <c r="EL2122" s="1">
        <f t="shared" si="60"/>
        <v>50.5013673655424</v>
      </c>
      <c r="EP2122" s="1">
        <v>50.5013673655424</v>
      </c>
      <c r="ES2122" s="1">
        <v>50.5013673655424</v>
      </c>
    </row>
    <row r="2123" customHeight="1" spans="1:149">
      <c r="A2123" s="62">
        <v>73</v>
      </c>
      <c r="B2123" s="4" t="s">
        <v>1624</v>
      </c>
      <c r="C2123" s="5" t="s">
        <v>1625</v>
      </c>
      <c r="D2123" s="4" t="s">
        <v>478</v>
      </c>
      <c r="N2123" s="4" t="s">
        <v>751</v>
      </c>
      <c r="O2123" s="4" t="s">
        <v>343</v>
      </c>
      <c r="P2123" s="4">
        <v>1.68</v>
      </c>
      <c r="T2123" s="4">
        <v>80.7513</v>
      </c>
      <c r="U2123" s="4">
        <v>0.2582</v>
      </c>
      <c r="V2123" s="4">
        <v>12.7892</v>
      </c>
      <c r="X2123" s="4">
        <v>0.432</v>
      </c>
      <c r="AD2123" s="4" t="s">
        <v>1626</v>
      </c>
      <c r="AG2123" s="4" t="s">
        <v>316</v>
      </c>
      <c r="AH2123" s="4" t="s">
        <v>1635</v>
      </c>
      <c r="AI2123" s="4" t="s">
        <v>1636</v>
      </c>
      <c r="AL2123" s="4" t="s">
        <v>1637</v>
      </c>
      <c r="AM2123" s="4">
        <v>6.02</v>
      </c>
      <c r="AN2123" s="4">
        <v>27.88</v>
      </c>
      <c r="AO2123" s="4">
        <v>27.88</v>
      </c>
      <c r="AP2123" s="4">
        <v>0.2402</v>
      </c>
      <c r="AQ2123" s="4" t="s">
        <v>8</v>
      </c>
      <c r="AR2123" s="4">
        <v>228.65</v>
      </c>
      <c r="BD2123" s="4" t="s">
        <v>1638</v>
      </c>
      <c r="BI2123" s="4" t="s">
        <v>321</v>
      </c>
      <c r="BJ2123" s="4" t="s">
        <v>1639</v>
      </c>
      <c r="BO2123" s="4">
        <v>0</v>
      </c>
      <c r="BP2123" s="4">
        <v>0</v>
      </c>
      <c r="BV2123" s="4" t="s">
        <v>1552</v>
      </c>
      <c r="BX2123" s="4">
        <v>60</v>
      </c>
      <c r="CB2123" s="4" t="s">
        <v>8</v>
      </c>
      <c r="CD2123" s="4">
        <v>228.65</v>
      </c>
      <c r="EF2123">
        <v>246.88489968321</v>
      </c>
      <c r="EG2123">
        <v>4.43505807814199</v>
      </c>
      <c r="EH2123">
        <v>246.88489968321</v>
      </c>
      <c r="EI2123">
        <v>4.43505807814199</v>
      </c>
      <c r="EL2123" s="1">
        <f t="shared" si="60"/>
        <v>0</v>
      </c>
      <c r="EP2123" s="1">
        <v>0</v>
      </c>
      <c r="ES2123" s="1">
        <v>0</v>
      </c>
    </row>
    <row r="2124" customHeight="1" spans="1:149">
      <c r="A2124" s="62">
        <v>73</v>
      </c>
      <c r="B2124" s="4" t="s">
        <v>1624</v>
      </c>
      <c r="C2124" s="5" t="s">
        <v>1625</v>
      </c>
      <c r="D2124" s="4" t="s">
        <v>478</v>
      </c>
      <c r="N2124" s="4" t="s">
        <v>751</v>
      </c>
      <c r="O2124" s="4" t="s">
        <v>343</v>
      </c>
      <c r="P2124" s="4">
        <v>1.68</v>
      </c>
      <c r="T2124" s="4">
        <v>80.7513</v>
      </c>
      <c r="U2124" s="4">
        <v>0.2582</v>
      </c>
      <c r="V2124" s="4">
        <v>12.7892</v>
      </c>
      <c r="X2124" s="4">
        <v>0.432</v>
      </c>
      <c r="AD2124" s="4" t="s">
        <v>1626</v>
      </c>
      <c r="AG2124" s="4" t="s">
        <v>316</v>
      </c>
      <c r="AH2124" s="4" t="s">
        <v>1635</v>
      </c>
      <c r="AI2124" s="4" t="s">
        <v>1636</v>
      </c>
      <c r="AL2124" s="4" t="s">
        <v>1637</v>
      </c>
      <c r="AM2124" s="4">
        <v>6.02</v>
      </c>
      <c r="AN2124" s="4">
        <v>27.88</v>
      </c>
      <c r="AO2124" s="4">
        <v>27.88</v>
      </c>
      <c r="AP2124" s="4">
        <v>0.2402</v>
      </c>
      <c r="AQ2124" s="4" t="s">
        <v>8</v>
      </c>
      <c r="AR2124" s="4">
        <v>228.65</v>
      </c>
      <c r="BD2124" s="4" t="s">
        <v>1638</v>
      </c>
      <c r="BI2124" s="4" t="s">
        <v>321</v>
      </c>
      <c r="BJ2124" s="4" t="s">
        <v>1640</v>
      </c>
      <c r="BO2124" s="4">
        <v>0.05</v>
      </c>
      <c r="BP2124" s="4">
        <v>5</v>
      </c>
      <c r="BV2124" s="4" t="s">
        <v>1552</v>
      </c>
      <c r="BX2124" s="4">
        <v>60</v>
      </c>
      <c r="CB2124" s="4" t="s">
        <v>8</v>
      </c>
      <c r="CD2124" s="4">
        <v>228.65</v>
      </c>
      <c r="EF2124">
        <v>246.88489968321</v>
      </c>
      <c r="EG2124">
        <v>4.43505807814199</v>
      </c>
      <c r="EH2124">
        <v>133.685322069693</v>
      </c>
      <c r="EI2124">
        <v>0.42238648363201</v>
      </c>
      <c r="EL2124" s="1">
        <f t="shared" si="60"/>
        <v>45.851154833191</v>
      </c>
      <c r="EP2124" s="1">
        <v>45.851154833191</v>
      </c>
      <c r="ES2124" s="1">
        <v>45.851154833191</v>
      </c>
    </row>
    <row r="2125" customHeight="1" spans="1:149">
      <c r="A2125" s="62">
        <v>73</v>
      </c>
      <c r="B2125" s="4" t="s">
        <v>1624</v>
      </c>
      <c r="C2125" s="5" t="s">
        <v>1625</v>
      </c>
      <c r="D2125" s="4" t="s">
        <v>478</v>
      </c>
      <c r="N2125" s="4" t="s">
        <v>751</v>
      </c>
      <c r="O2125" s="4" t="s">
        <v>343</v>
      </c>
      <c r="P2125" s="4">
        <v>1.68</v>
      </c>
      <c r="T2125" s="4">
        <v>80.7513</v>
      </c>
      <c r="U2125" s="4">
        <v>0.2582</v>
      </c>
      <c r="V2125" s="4">
        <v>12.7892</v>
      </c>
      <c r="X2125" s="4">
        <v>0.432</v>
      </c>
      <c r="AD2125" s="4" t="s">
        <v>1626</v>
      </c>
      <c r="AG2125" s="4" t="s">
        <v>316</v>
      </c>
      <c r="AH2125" s="4" t="s">
        <v>1635</v>
      </c>
      <c r="AI2125" s="4" t="s">
        <v>1636</v>
      </c>
      <c r="AL2125" s="4" t="s">
        <v>1637</v>
      </c>
      <c r="AM2125" s="4">
        <v>6.02</v>
      </c>
      <c r="AN2125" s="4">
        <v>27.88</v>
      </c>
      <c r="AO2125" s="4">
        <v>27.88</v>
      </c>
      <c r="AP2125" s="4">
        <v>0.2402</v>
      </c>
      <c r="AQ2125" s="4" t="s">
        <v>8</v>
      </c>
      <c r="AR2125" s="4">
        <v>228.65</v>
      </c>
      <c r="BD2125" s="4" t="s">
        <v>1638</v>
      </c>
      <c r="BI2125" s="4" t="s">
        <v>321</v>
      </c>
      <c r="BJ2125" s="4" t="s">
        <v>1641</v>
      </c>
      <c r="BO2125" s="4">
        <v>0.1</v>
      </c>
      <c r="BP2125" s="4">
        <v>10</v>
      </c>
      <c r="BV2125" s="4" t="s">
        <v>1552</v>
      </c>
      <c r="BX2125" s="4">
        <v>60</v>
      </c>
      <c r="CB2125" s="4" t="s">
        <v>8</v>
      </c>
      <c r="CD2125" s="4">
        <v>228.65</v>
      </c>
      <c r="EF2125">
        <v>246.88489968321</v>
      </c>
      <c r="EG2125">
        <v>4.43505807814199</v>
      </c>
      <c r="EH2125">
        <v>94.4033790918691</v>
      </c>
      <c r="EI2125">
        <v>2.9567053854276</v>
      </c>
      <c r="EL2125" s="1">
        <f t="shared" si="60"/>
        <v>61.7621899059024</v>
      </c>
      <c r="EP2125" s="1">
        <v>61.7621899059024</v>
      </c>
      <c r="ES2125" s="1">
        <v>61.7621899059024</v>
      </c>
    </row>
    <row r="2126" customHeight="1" spans="1:149">
      <c r="A2126" s="62">
        <v>73</v>
      </c>
      <c r="B2126" s="4" t="s">
        <v>1624</v>
      </c>
      <c r="C2126" s="5" t="s">
        <v>1625</v>
      </c>
      <c r="D2126" s="4" t="s">
        <v>478</v>
      </c>
      <c r="N2126" s="4" t="s">
        <v>751</v>
      </c>
      <c r="O2126" s="4" t="s">
        <v>343</v>
      </c>
      <c r="P2126" s="4">
        <v>1.68</v>
      </c>
      <c r="T2126" s="4">
        <v>80.7513</v>
      </c>
      <c r="U2126" s="4">
        <v>0.2582</v>
      </c>
      <c r="V2126" s="4">
        <v>12.7892</v>
      </c>
      <c r="X2126" s="4">
        <v>0.432</v>
      </c>
      <c r="AD2126" s="4" t="s">
        <v>1626</v>
      </c>
      <c r="AG2126" s="4" t="s">
        <v>316</v>
      </c>
      <c r="AH2126" s="4" t="s">
        <v>1635</v>
      </c>
      <c r="AI2126" s="4" t="s">
        <v>1636</v>
      </c>
      <c r="AL2126" s="4" t="s">
        <v>1637</v>
      </c>
      <c r="AM2126" s="4">
        <v>6.02</v>
      </c>
      <c r="AN2126" s="4">
        <v>27.88</v>
      </c>
      <c r="AO2126" s="4">
        <v>27.88</v>
      </c>
      <c r="AP2126" s="4">
        <v>0.2402</v>
      </c>
      <c r="AQ2126" s="4" t="s">
        <v>8</v>
      </c>
      <c r="AR2126" s="4">
        <v>228.65</v>
      </c>
      <c r="BD2126" s="4" t="s">
        <v>1638</v>
      </c>
      <c r="BI2126" s="4" t="s">
        <v>321</v>
      </c>
      <c r="BJ2126" s="4" t="s">
        <v>1630</v>
      </c>
      <c r="BO2126" s="4">
        <v>0.2</v>
      </c>
      <c r="BP2126" s="4">
        <v>20</v>
      </c>
      <c r="BV2126" s="4" t="s">
        <v>1552</v>
      </c>
      <c r="BX2126" s="4">
        <v>60</v>
      </c>
      <c r="CB2126" s="4" t="s">
        <v>8</v>
      </c>
      <c r="CD2126" s="4">
        <v>228.65</v>
      </c>
      <c r="EF2126">
        <v>246.88489968321</v>
      </c>
      <c r="EG2126">
        <v>4.43505807814199</v>
      </c>
      <c r="EH2126">
        <v>85.9556494192186</v>
      </c>
      <c r="EI2126">
        <v>4.0126715945088</v>
      </c>
      <c r="EL2126" s="1">
        <f t="shared" si="60"/>
        <v>65.1839178785286</v>
      </c>
      <c r="EP2126" s="1">
        <v>65.1839178785286</v>
      </c>
      <c r="ES2126" s="1">
        <v>65.1839178785286</v>
      </c>
    </row>
    <row r="2127" customHeight="1" spans="1:149">
      <c r="A2127" s="62">
        <v>73</v>
      </c>
      <c r="B2127" s="4" t="s">
        <v>1624</v>
      </c>
      <c r="C2127" s="5" t="s">
        <v>1625</v>
      </c>
      <c r="D2127" s="4" t="s">
        <v>478</v>
      </c>
      <c r="N2127" s="4" t="s">
        <v>751</v>
      </c>
      <c r="O2127" s="4" t="s">
        <v>343</v>
      </c>
      <c r="P2127" s="4">
        <v>1.68</v>
      </c>
      <c r="T2127" s="4">
        <v>80.7513</v>
      </c>
      <c r="U2127" s="4">
        <v>0.2582</v>
      </c>
      <c r="V2127" s="4">
        <v>12.7892</v>
      </c>
      <c r="X2127" s="4">
        <v>0.432</v>
      </c>
      <c r="AD2127" s="4" t="s">
        <v>1626</v>
      </c>
      <c r="AG2127" s="4" t="s">
        <v>316</v>
      </c>
      <c r="AH2127" s="4" t="s">
        <v>1635</v>
      </c>
      <c r="AI2127" s="4" t="s">
        <v>1636</v>
      </c>
      <c r="AL2127" s="4" t="s">
        <v>1637</v>
      </c>
      <c r="AM2127" s="4">
        <v>6.02</v>
      </c>
      <c r="AN2127" s="4">
        <v>27.88</v>
      </c>
      <c r="AO2127" s="4">
        <v>27.88</v>
      </c>
      <c r="AP2127" s="4">
        <v>0.2402</v>
      </c>
      <c r="AQ2127" s="4" t="s">
        <v>8</v>
      </c>
      <c r="AR2127" s="4">
        <v>228.65</v>
      </c>
      <c r="BD2127" s="4" t="s">
        <v>1638</v>
      </c>
      <c r="BI2127" s="4" t="s">
        <v>321</v>
      </c>
      <c r="BJ2127" s="4" t="s">
        <v>1639</v>
      </c>
      <c r="BO2127" s="4">
        <v>0</v>
      </c>
      <c r="BP2127" s="4">
        <v>0</v>
      </c>
      <c r="BV2127" s="4" t="s">
        <v>488</v>
      </c>
      <c r="BX2127" s="4">
        <v>60</v>
      </c>
      <c r="CB2127" s="4" t="s">
        <v>8</v>
      </c>
      <c r="CD2127" s="4">
        <v>228.65</v>
      </c>
      <c r="EF2127">
        <v>260.823653643083</v>
      </c>
      <c r="EG2127">
        <v>4.22386483632499</v>
      </c>
      <c r="EH2127">
        <v>260.823653643083</v>
      </c>
      <c r="EI2127">
        <v>4.22386483632499</v>
      </c>
      <c r="EL2127" s="1">
        <f t="shared" si="60"/>
        <v>0</v>
      </c>
      <c r="EP2127" s="1">
        <v>0</v>
      </c>
      <c r="ES2127" s="1">
        <v>0</v>
      </c>
    </row>
    <row r="2128" customHeight="1" spans="1:149">
      <c r="A2128" s="62">
        <v>73</v>
      </c>
      <c r="B2128" s="4" t="s">
        <v>1624</v>
      </c>
      <c r="C2128" s="5" t="s">
        <v>1625</v>
      </c>
      <c r="D2128" s="4" t="s">
        <v>478</v>
      </c>
      <c r="N2128" s="4" t="s">
        <v>751</v>
      </c>
      <c r="O2128" s="4" t="s">
        <v>343</v>
      </c>
      <c r="P2128" s="4">
        <v>1.68</v>
      </c>
      <c r="T2128" s="4">
        <v>80.7513</v>
      </c>
      <c r="U2128" s="4">
        <v>0.2582</v>
      </c>
      <c r="V2128" s="4">
        <v>12.7892</v>
      </c>
      <c r="X2128" s="4">
        <v>0.432</v>
      </c>
      <c r="AD2128" s="4" t="s">
        <v>1626</v>
      </c>
      <c r="AG2128" s="4" t="s">
        <v>316</v>
      </c>
      <c r="AH2128" s="4" t="s">
        <v>1635</v>
      </c>
      <c r="AI2128" s="4" t="s">
        <v>1636</v>
      </c>
      <c r="AL2128" s="4" t="s">
        <v>1637</v>
      </c>
      <c r="AM2128" s="4">
        <v>6.02</v>
      </c>
      <c r="AN2128" s="4">
        <v>27.88</v>
      </c>
      <c r="AO2128" s="4">
        <v>27.88</v>
      </c>
      <c r="AP2128" s="4">
        <v>0.2402</v>
      </c>
      <c r="AQ2128" s="4" t="s">
        <v>8</v>
      </c>
      <c r="AR2128" s="4">
        <v>228.65</v>
      </c>
      <c r="BD2128" s="4" t="s">
        <v>1638</v>
      </c>
      <c r="BI2128" s="4" t="s">
        <v>321</v>
      </c>
      <c r="BJ2128" s="4" t="s">
        <v>1640</v>
      </c>
      <c r="BO2128" s="4">
        <v>0.05</v>
      </c>
      <c r="BP2128" s="4">
        <v>5</v>
      </c>
      <c r="BV2128" s="4" t="s">
        <v>488</v>
      </c>
      <c r="BX2128" s="4">
        <v>60</v>
      </c>
      <c r="CB2128" s="4" t="s">
        <v>8</v>
      </c>
      <c r="CD2128" s="4">
        <v>228.65</v>
      </c>
      <c r="EF2128">
        <v>260.823653643083</v>
      </c>
      <c r="EG2128">
        <v>4.22386483632499</v>
      </c>
      <c r="EH2128">
        <v>131.151003167898</v>
      </c>
      <c r="EI2128">
        <v>8.02534318901802</v>
      </c>
      <c r="EL2128" s="1">
        <f t="shared" si="60"/>
        <v>49.7165991902836</v>
      </c>
      <c r="EP2128" s="1">
        <v>49.7165991902836</v>
      </c>
      <c r="ES2128" s="1">
        <v>49.7165991902836</v>
      </c>
    </row>
    <row r="2129" customHeight="1" spans="1:183">
      <c r="A2129" s="62">
        <v>73</v>
      </c>
      <c r="B2129" s="4" t="s">
        <v>1624</v>
      </c>
      <c r="C2129" s="5" t="s">
        <v>1625</v>
      </c>
      <c r="D2129" s="4" t="s">
        <v>478</v>
      </c>
      <c r="N2129" s="4" t="s">
        <v>751</v>
      </c>
      <c r="O2129" s="4" t="s">
        <v>343</v>
      </c>
      <c r="P2129" s="4">
        <v>1.68</v>
      </c>
      <c r="T2129" s="4">
        <v>80.7513</v>
      </c>
      <c r="U2129" s="4">
        <v>0.2582</v>
      </c>
      <c r="V2129" s="4">
        <v>12.7892</v>
      </c>
      <c r="X2129" s="4">
        <v>0.432</v>
      </c>
      <c r="AD2129" s="4" t="s">
        <v>1626</v>
      </c>
      <c r="AG2129" s="4" t="s">
        <v>316</v>
      </c>
      <c r="AH2129" s="4" t="s">
        <v>1635</v>
      </c>
      <c r="AI2129" s="4" t="s">
        <v>1636</v>
      </c>
      <c r="AL2129" s="4" t="s">
        <v>1637</v>
      </c>
      <c r="AM2129" s="4">
        <v>6.02</v>
      </c>
      <c r="AN2129" s="4">
        <v>27.88</v>
      </c>
      <c r="AO2129" s="4">
        <v>27.88</v>
      </c>
      <c r="AP2129" s="4">
        <v>0.2402</v>
      </c>
      <c r="AQ2129" s="4" t="s">
        <v>8</v>
      </c>
      <c r="AR2129" s="4">
        <v>228.65</v>
      </c>
      <c r="BD2129" s="4" t="s">
        <v>1638</v>
      </c>
      <c r="BI2129" s="4" t="s">
        <v>321</v>
      </c>
      <c r="BJ2129" s="4" t="s">
        <v>1641</v>
      </c>
      <c r="BO2129" s="4">
        <v>0.1</v>
      </c>
      <c r="BP2129" s="4">
        <v>10</v>
      </c>
      <c r="BV2129" s="4" t="s">
        <v>488</v>
      </c>
      <c r="BX2129" s="4">
        <v>60</v>
      </c>
      <c r="CB2129" s="4" t="s">
        <v>8</v>
      </c>
      <c r="CD2129" s="4">
        <v>228.65</v>
      </c>
      <c r="EF2129">
        <v>260.823653643083</v>
      </c>
      <c r="EG2129">
        <v>4.22386483632499</v>
      </c>
      <c r="EH2129">
        <v>82.9989440337909</v>
      </c>
      <c r="EI2129">
        <v>1.26715945089751</v>
      </c>
      <c r="EL2129" s="1">
        <f t="shared" si="60"/>
        <v>68.1781376518218</v>
      </c>
      <c r="EP2129" s="1">
        <v>68.1781376518218</v>
      </c>
      <c r="ES2129" s="1">
        <v>68.1781376518218</v>
      </c>
    </row>
    <row r="2130" customHeight="1" spans="1:183">
      <c r="A2130" s="62">
        <v>73</v>
      </c>
      <c r="B2130" s="4" t="s">
        <v>1624</v>
      </c>
      <c r="C2130" s="5" t="s">
        <v>1625</v>
      </c>
      <c r="D2130" s="4" t="s">
        <v>478</v>
      </c>
      <c r="N2130" s="4" t="s">
        <v>751</v>
      </c>
      <c r="O2130" s="4" t="s">
        <v>343</v>
      </c>
      <c r="P2130" s="4">
        <v>1.68</v>
      </c>
      <c r="T2130" s="4">
        <v>80.7513</v>
      </c>
      <c r="U2130" s="4">
        <v>0.2582</v>
      </c>
      <c r="V2130" s="4">
        <v>12.7892</v>
      </c>
      <c r="X2130" s="4">
        <v>0.432</v>
      </c>
      <c r="AD2130" s="4" t="s">
        <v>1626</v>
      </c>
      <c r="AG2130" s="4" t="s">
        <v>316</v>
      </c>
      <c r="AH2130" s="4" t="s">
        <v>1635</v>
      </c>
      <c r="AI2130" s="4" t="s">
        <v>1636</v>
      </c>
      <c r="AL2130" s="4" t="s">
        <v>1637</v>
      </c>
      <c r="AM2130" s="4">
        <v>6.02</v>
      </c>
      <c r="AN2130" s="4">
        <v>27.88</v>
      </c>
      <c r="AO2130" s="4">
        <v>27.88</v>
      </c>
      <c r="AP2130" s="4">
        <v>0.2402</v>
      </c>
      <c r="AQ2130" s="4" t="s">
        <v>8</v>
      </c>
      <c r="AR2130" s="4">
        <v>228.65</v>
      </c>
      <c r="BD2130" s="4" t="s">
        <v>1638</v>
      </c>
      <c r="BI2130" s="4" t="s">
        <v>321</v>
      </c>
      <c r="BJ2130" s="4" t="s">
        <v>1630</v>
      </c>
      <c r="BO2130" s="4">
        <v>0.2</v>
      </c>
      <c r="BP2130" s="4">
        <v>20</v>
      </c>
      <c r="BV2130" s="4" t="s">
        <v>488</v>
      </c>
      <c r="BX2130" s="4">
        <v>60</v>
      </c>
      <c r="CB2130" s="4" t="s">
        <v>8</v>
      </c>
      <c r="CD2130" s="4">
        <v>228.65</v>
      </c>
      <c r="EF2130">
        <v>260.823653643083</v>
      </c>
      <c r="EG2130">
        <v>4.22386483632499</v>
      </c>
      <c r="EH2130">
        <v>69.6937697993664</v>
      </c>
      <c r="EI2130">
        <v>2.74551214361119</v>
      </c>
      <c r="EL2130" s="1">
        <f t="shared" si="60"/>
        <v>73.2793522267206</v>
      </c>
      <c r="EP2130" s="1">
        <v>73.2793522267206</v>
      </c>
      <c r="ES2130" s="1">
        <v>73.2793522267206</v>
      </c>
    </row>
    <row r="2131" customHeight="1" spans="1:183">
      <c r="A2131" s="62">
        <v>73</v>
      </c>
      <c r="B2131" s="4" t="s">
        <v>1624</v>
      </c>
      <c r="C2131" s="5" t="s">
        <v>1625</v>
      </c>
      <c r="D2131" s="4" t="s">
        <v>478</v>
      </c>
      <c r="N2131" s="4" t="s">
        <v>751</v>
      </c>
      <c r="O2131" s="4" t="s">
        <v>343</v>
      </c>
      <c r="P2131" s="4">
        <v>1.68</v>
      </c>
      <c r="T2131" s="4">
        <v>80.7513</v>
      </c>
      <c r="U2131" s="4">
        <v>0.2582</v>
      </c>
      <c r="V2131" s="4">
        <v>12.7892</v>
      </c>
      <c r="X2131" s="4">
        <v>0.432</v>
      </c>
      <c r="AD2131" s="4" t="s">
        <v>1626</v>
      </c>
      <c r="AG2131" s="4" t="s">
        <v>316</v>
      </c>
      <c r="AH2131" s="4" t="s">
        <v>1635</v>
      </c>
      <c r="AI2131" s="4" t="s">
        <v>1636</v>
      </c>
      <c r="AL2131" s="4" t="s">
        <v>1637</v>
      </c>
      <c r="AM2131" s="4">
        <v>6.02</v>
      </c>
      <c r="AN2131" s="4">
        <v>27.88</v>
      </c>
      <c r="AO2131" s="4">
        <v>27.88</v>
      </c>
      <c r="AP2131" s="4">
        <v>0.2402</v>
      </c>
      <c r="AQ2131" s="4" t="s">
        <v>8</v>
      </c>
      <c r="AR2131" s="4">
        <v>228.65</v>
      </c>
      <c r="BD2131" s="4" t="s">
        <v>1638</v>
      </c>
      <c r="BI2131" s="4" t="s">
        <v>321</v>
      </c>
      <c r="BJ2131" s="4" t="s">
        <v>1639</v>
      </c>
      <c r="BO2131" s="4">
        <v>0</v>
      </c>
      <c r="BP2131" s="4">
        <v>0</v>
      </c>
      <c r="BV2131" s="4" t="s">
        <v>522</v>
      </c>
      <c r="BX2131" s="4">
        <v>60</v>
      </c>
      <c r="CB2131" s="4" t="s">
        <v>8</v>
      </c>
      <c r="CD2131" s="4">
        <v>228.65</v>
      </c>
      <c r="EF2131">
        <v>262.935586061246</v>
      </c>
      <c r="EG2131">
        <v>10.559662090813</v>
      </c>
      <c r="EH2131">
        <v>262.935586061246</v>
      </c>
      <c r="EI2131">
        <v>10.559662090813</v>
      </c>
      <c r="EL2131" s="1">
        <f t="shared" si="60"/>
        <v>0</v>
      </c>
      <c r="EP2131" s="1">
        <v>0</v>
      </c>
      <c r="ES2131" s="1">
        <v>0</v>
      </c>
    </row>
    <row r="2132" customHeight="1" spans="1:183">
      <c r="A2132" s="62">
        <v>73</v>
      </c>
      <c r="B2132" s="4" t="s">
        <v>1624</v>
      </c>
      <c r="C2132" s="5" t="s">
        <v>1625</v>
      </c>
      <c r="D2132" s="4" t="s">
        <v>478</v>
      </c>
      <c r="N2132" s="4" t="s">
        <v>751</v>
      </c>
      <c r="O2132" s="4" t="s">
        <v>343</v>
      </c>
      <c r="P2132" s="4">
        <v>1.68</v>
      </c>
      <c r="T2132" s="4">
        <v>80.7513</v>
      </c>
      <c r="U2132" s="4">
        <v>0.2582</v>
      </c>
      <c r="V2132" s="4">
        <v>12.7892</v>
      </c>
      <c r="X2132" s="4">
        <v>0.432</v>
      </c>
      <c r="AD2132" s="4" t="s">
        <v>1626</v>
      </c>
      <c r="AG2132" s="4" t="s">
        <v>316</v>
      </c>
      <c r="AH2132" s="4" t="s">
        <v>1635</v>
      </c>
      <c r="AI2132" s="4" t="s">
        <v>1636</v>
      </c>
      <c r="AL2132" s="4" t="s">
        <v>1637</v>
      </c>
      <c r="AM2132" s="4">
        <v>6.02</v>
      </c>
      <c r="AN2132" s="4">
        <v>27.88</v>
      </c>
      <c r="AO2132" s="4">
        <v>27.88</v>
      </c>
      <c r="AP2132" s="4">
        <v>0.2402</v>
      </c>
      <c r="AQ2132" s="4" t="s">
        <v>8</v>
      </c>
      <c r="AR2132" s="4">
        <v>228.65</v>
      </c>
      <c r="BD2132" s="4" t="s">
        <v>1638</v>
      </c>
      <c r="BI2132" s="4" t="s">
        <v>321</v>
      </c>
      <c r="BJ2132" s="4" t="s">
        <v>1640</v>
      </c>
      <c r="BO2132" s="4">
        <v>0.05</v>
      </c>
      <c r="BP2132" s="4">
        <v>5</v>
      </c>
      <c r="BV2132" s="4" t="s">
        <v>522</v>
      </c>
      <c r="BX2132" s="4">
        <v>60</v>
      </c>
      <c r="CB2132" s="4" t="s">
        <v>8</v>
      </c>
      <c r="CD2132" s="4">
        <v>228.65</v>
      </c>
      <c r="EF2132">
        <v>262.935586061246</v>
      </c>
      <c r="EG2132">
        <v>10.559662090813</v>
      </c>
      <c r="EH2132">
        <v>122.703273495248</v>
      </c>
      <c r="EI2132">
        <v>4.012671594509</v>
      </c>
      <c r="EL2132" s="1">
        <f t="shared" si="60"/>
        <v>53.3333333333334</v>
      </c>
      <c r="EP2132" s="1">
        <v>53.3333333333334</v>
      </c>
      <c r="ES2132" s="1">
        <v>53.3333333333334</v>
      </c>
    </row>
    <row r="2133" customHeight="1" spans="1:183">
      <c r="A2133" s="62">
        <v>73</v>
      </c>
      <c r="B2133" s="4" t="s">
        <v>1624</v>
      </c>
      <c r="C2133" s="5" t="s">
        <v>1625</v>
      </c>
      <c r="D2133" s="4" t="s">
        <v>478</v>
      </c>
      <c r="N2133" s="4" t="s">
        <v>751</v>
      </c>
      <c r="O2133" s="4" t="s">
        <v>343</v>
      </c>
      <c r="P2133" s="4">
        <v>1.68</v>
      </c>
      <c r="T2133" s="4">
        <v>80.7513</v>
      </c>
      <c r="U2133" s="4">
        <v>0.2582</v>
      </c>
      <c r="V2133" s="4">
        <v>12.7892</v>
      </c>
      <c r="X2133" s="4">
        <v>0.432</v>
      </c>
      <c r="AD2133" s="4" t="s">
        <v>1626</v>
      </c>
      <c r="AG2133" s="4" t="s">
        <v>316</v>
      </c>
      <c r="AH2133" s="4" t="s">
        <v>1635</v>
      </c>
      <c r="AI2133" s="4" t="s">
        <v>1636</v>
      </c>
      <c r="AL2133" s="4" t="s">
        <v>1637</v>
      </c>
      <c r="AM2133" s="4">
        <v>6.02</v>
      </c>
      <c r="AN2133" s="4">
        <v>27.88</v>
      </c>
      <c r="AO2133" s="4">
        <v>27.88</v>
      </c>
      <c r="AP2133" s="4">
        <v>0.2402</v>
      </c>
      <c r="AQ2133" s="4" t="s">
        <v>8</v>
      </c>
      <c r="AR2133" s="4">
        <v>228.65</v>
      </c>
      <c r="BD2133" s="4" t="s">
        <v>1638</v>
      </c>
      <c r="BI2133" s="4" t="s">
        <v>321</v>
      </c>
      <c r="BJ2133" s="4" t="s">
        <v>1641</v>
      </c>
      <c r="BO2133" s="4">
        <v>0.1</v>
      </c>
      <c r="BP2133" s="4">
        <v>10</v>
      </c>
      <c r="BV2133" s="4" t="s">
        <v>522</v>
      </c>
      <c r="BX2133" s="4">
        <v>60</v>
      </c>
      <c r="CB2133" s="4" t="s">
        <v>8</v>
      </c>
      <c r="CD2133" s="4">
        <v>228.65</v>
      </c>
      <c r="EF2133">
        <v>262.935586061246</v>
      </c>
      <c r="EG2133">
        <v>10.559662090813</v>
      </c>
      <c r="EH2133">
        <v>80.8870116156283</v>
      </c>
      <c r="EI2133">
        <v>0.844772967265001</v>
      </c>
      <c r="EL2133" s="1">
        <f t="shared" si="60"/>
        <v>69.2369477911647</v>
      </c>
      <c r="EP2133" s="1">
        <v>69.2369477911647</v>
      </c>
      <c r="ES2133" s="1">
        <v>69.2369477911647</v>
      </c>
    </row>
    <row r="2134" customHeight="1" spans="1:183">
      <c r="A2134" s="62">
        <v>73</v>
      </c>
      <c r="B2134" s="4" t="s">
        <v>1624</v>
      </c>
      <c r="C2134" s="5" t="s">
        <v>1625</v>
      </c>
      <c r="D2134" s="4" t="s">
        <v>478</v>
      </c>
      <c r="N2134" s="4" t="s">
        <v>751</v>
      </c>
      <c r="O2134" s="4" t="s">
        <v>343</v>
      </c>
      <c r="P2134" s="4">
        <v>1.68</v>
      </c>
      <c r="T2134" s="4">
        <v>80.7513</v>
      </c>
      <c r="U2134" s="4">
        <v>0.2582</v>
      </c>
      <c r="V2134" s="4">
        <v>12.7892</v>
      </c>
      <c r="X2134" s="4">
        <v>0.432</v>
      </c>
      <c r="AD2134" s="4" t="s">
        <v>1626</v>
      </c>
      <c r="AG2134" s="4" t="s">
        <v>316</v>
      </c>
      <c r="AH2134" s="4" t="s">
        <v>1635</v>
      </c>
      <c r="AI2134" s="4" t="s">
        <v>1636</v>
      </c>
      <c r="AL2134" s="4" t="s">
        <v>1637</v>
      </c>
      <c r="AM2134" s="4">
        <v>6.02</v>
      </c>
      <c r="AN2134" s="4">
        <v>27.88</v>
      </c>
      <c r="AO2134" s="4">
        <v>27.88</v>
      </c>
      <c r="AP2134" s="4">
        <v>0.2402</v>
      </c>
      <c r="AQ2134" s="4" t="s">
        <v>8</v>
      </c>
      <c r="AR2134" s="4">
        <v>228.65</v>
      </c>
      <c r="BD2134" s="4" t="s">
        <v>1638</v>
      </c>
      <c r="BI2134" s="4" t="s">
        <v>321</v>
      </c>
      <c r="BJ2134" s="4" t="s">
        <v>1630</v>
      </c>
      <c r="BO2134" s="4">
        <v>0.2</v>
      </c>
      <c r="BP2134" s="4">
        <v>20</v>
      </c>
      <c r="BV2134" s="4" t="s">
        <v>522</v>
      </c>
      <c r="BX2134" s="4">
        <v>60</v>
      </c>
      <c r="CB2134" s="4" t="s">
        <v>8</v>
      </c>
      <c r="CD2134" s="4">
        <v>228.65</v>
      </c>
      <c r="EF2134">
        <v>262.935586061246</v>
      </c>
      <c r="EG2134">
        <v>10.559662090813</v>
      </c>
      <c r="EH2134">
        <v>64.4139387539598</v>
      </c>
      <c r="EI2134">
        <v>3.37909186906</v>
      </c>
      <c r="EL2134" s="1">
        <f t="shared" si="60"/>
        <v>75.5020080321285</v>
      </c>
      <c r="EP2134" s="1">
        <v>75.5020080321285</v>
      </c>
      <c r="ES2134" s="1">
        <v>75.5020080321285</v>
      </c>
    </row>
    <row r="2135" customHeight="1" spans="1:183">
      <c r="A2135" s="62">
        <v>73</v>
      </c>
      <c r="B2135" s="4" t="s">
        <v>1624</v>
      </c>
      <c r="C2135" s="5" t="s">
        <v>1625</v>
      </c>
      <c r="D2135" s="4" t="s">
        <v>478</v>
      </c>
      <c r="N2135" s="4" t="s">
        <v>751</v>
      </c>
      <c r="O2135" s="4" t="s">
        <v>343</v>
      </c>
      <c r="P2135" s="4">
        <v>1.68</v>
      </c>
      <c r="T2135" s="4">
        <v>80.7513</v>
      </c>
      <c r="U2135" s="4">
        <v>0.2582</v>
      </c>
      <c r="V2135" s="4">
        <v>12.7892</v>
      </c>
      <c r="X2135" s="4">
        <v>0.432</v>
      </c>
      <c r="AD2135" s="4" t="s">
        <v>1626</v>
      </c>
      <c r="AG2135" s="4" t="s">
        <v>316</v>
      </c>
      <c r="AH2135" s="4" t="s">
        <v>1635</v>
      </c>
      <c r="AI2135" s="4" t="s">
        <v>1636</v>
      </c>
      <c r="AL2135" s="4" t="s">
        <v>1637</v>
      </c>
      <c r="AM2135" s="4">
        <v>6.02</v>
      </c>
      <c r="AN2135" s="4">
        <v>27.88</v>
      </c>
      <c r="AO2135" s="4">
        <v>27.88</v>
      </c>
      <c r="AP2135" s="4">
        <v>0.2402</v>
      </c>
      <c r="AQ2135" s="4" t="s">
        <v>8</v>
      </c>
      <c r="AR2135" s="4">
        <v>228.65</v>
      </c>
      <c r="BD2135" s="4" t="s">
        <v>1638</v>
      </c>
      <c r="BI2135" s="4" t="s">
        <v>321</v>
      </c>
      <c r="BJ2135" s="4" t="s">
        <v>1639</v>
      </c>
      <c r="BO2135" s="4">
        <v>0</v>
      </c>
      <c r="BP2135" s="4">
        <v>0</v>
      </c>
      <c r="BV2135" s="4" t="s">
        <v>1633</v>
      </c>
      <c r="BX2135" s="4">
        <v>60</v>
      </c>
      <c r="CB2135" s="4" t="s">
        <v>8</v>
      </c>
      <c r="CD2135" s="4">
        <v>228.65</v>
      </c>
      <c r="EF2135">
        <v>261.668426610348</v>
      </c>
      <c r="EG2135">
        <v>7.18057022175299</v>
      </c>
      <c r="EH2135">
        <v>261.668426610348</v>
      </c>
      <c r="EI2135">
        <v>7.18057022175299</v>
      </c>
      <c r="EL2135" s="1">
        <f t="shared" si="60"/>
        <v>0</v>
      </c>
      <c r="EP2135" s="1">
        <v>0</v>
      </c>
      <c r="ES2135" s="1">
        <v>0</v>
      </c>
    </row>
    <row r="2136" customHeight="1" spans="1:183">
      <c r="A2136" s="62">
        <v>73</v>
      </c>
      <c r="B2136" s="4" t="s">
        <v>1624</v>
      </c>
      <c r="C2136" s="5" t="s">
        <v>1625</v>
      </c>
      <c r="D2136" s="4" t="s">
        <v>478</v>
      </c>
      <c r="N2136" s="4" t="s">
        <v>751</v>
      </c>
      <c r="O2136" s="4" t="s">
        <v>343</v>
      </c>
      <c r="P2136" s="4">
        <v>1.68</v>
      </c>
      <c r="T2136" s="4">
        <v>80.7513</v>
      </c>
      <c r="U2136" s="4">
        <v>0.2582</v>
      </c>
      <c r="V2136" s="4">
        <v>12.7892</v>
      </c>
      <c r="X2136" s="4">
        <v>0.432</v>
      </c>
      <c r="AD2136" s="4" t="s">
        <v>1626</v>
      </c>
      <c r="AG2136" s="4" t="s">
        <v>316</v>
      </c>
      <c r="AH2136" s="4" t="s">
        <v>1635</v>
      </c>
      <c r="AI2136" s="4" t="s">
        <v>1636</v>
      </c>
      <c r="AL2136" s="4" t="s">
        <v>1637</v>
      </c>
      <c r="AM2136" s="4">
        <v>6.02</v>
      </c>
      <c r="AN2136" s="4">
        <v>27.88</v>
      </c>
      <c r="AO2136" s="4">
        <v>27.88</v>
      </c>
      <c r="AP2136" s="4">
        <v>0.2402</v>
      </c>
      <c r="AQ2136" s="4" t="s">
        <v>8</v>
      </c>
      <c r="AR2136" s="4">
        <v>228.65</v>
      </c>
      <c r="BD2136" s="4" t="s">
        <v>1638</v>
      </c>
      <c r="BI2136" s="4" t="s">
        <v>321</v>
      </c>
      <c r="BJ2136" s="4" t="s">
        <v>1640</v>
      </c>
      <c r="BO2136" s="4">
        <v>0.05</v>
      </c>
      <c r="BP2136" s="4">
        <v>5</v>
      </c>
      <c r="BV2136" s="4" t="s">
        <v>1633</v>
      </c>
      <c r="BX2136" s="4">
        <v>60</v>
      </c>
      <c r="CB2136" s="4" t="s">
        <v>8</v>
      </c>
      <c r="CD2136" s="4">
        <v>228.65</v>
      </c>
      <c r="EF2136">
        <v>261.668426610348</v>
      </c>
      <c r="EG2136">
        <v>7.18057022175299</v>
      </c>
      <c r="EH2136">
        <v>113.410770855332</v>
      </c>
      <c r="EI2136">
        <v>1.478352692714</v>
      </c>
      <c r="EL2136" s="1">
        <f t="shared" si="60"/>
        <v>56.6585956416466</v>
      </c>
      <c r="EP2136" s="1">
        <v>56.6585956416466</v>
      </c>
      <c r="ES2136" s="1">
        <v>56.6585956416466</v>
      </c>
    </row>
    <row r="2137" customHeight="1" spans="1:183">
      <c r="A2137" s="62">
        <v>73</v>
      </c>
      <c r="B2137" s="4" t="s">
        <v>1624</v>
      </c>
      <c r="C2137" s="5" t="s">
        <v>1625</v>
      </c>
      <c r="D2137" s="4" t="s">
        <v>478</v>
      </c>
      <c r="N2137" s="4" t="s">
        <v>751</v>
      </c>
      <c r="O2137" s="4" t="s">
        <v>343</v>
      </c>
      <c r="P2137" s="4">
        <v>1.68</v>
      </c>
      <c r="T2137" s="4">
        <v>80.7513</v>
      </c>
      <c r="U2137" s="4">
        <v>0.2582</v>
      </c>
      <c r="V2137" s="4">
        <v>12.7892</v>
      </c>
      <c r="X2137" s="4">
        <v>0.432</v>
      </c>
      <c r="AD2137" s="4" t="s">
        <v>1626</v>
      </c>
      <c r="AG2137" s="4" t="s">
        <v>316</v>
      </c>
      <c r="AH2137" s="4" t="s">
        <v>1635</v>
      </c>
      <c r="AI2137" s="4" t="s">
        <v>1636</v>
      </c>
      <c r="AL2137" s="4" t="s">
        <v>1637</v>
      </c>
      <c r="AM2137" s="4">
        <v>6.02</v>
      </c>
      <c r="AN2137" s="4">
        <v>27.88</v>
      </c>
      <c r="AO2137" s="4">
        <v>27.88</v>
      </c>
      <c r="AP2137" s="4">
        <v>0.2402</v>
      </c>
      <c r="AQ2137" s="4" t="s">
        <v>8</v>
      </c>
      <c r="AR2137" s="4">
        <v>228.65</v>
      </c>
      <c r="BD2137" s="4" t="s">
        <v>1638</v>
      </c>
      <c r="BI2137" s="4" t="s">
        <v>321</v>
      </c>
      <c r="BJ2137" s="4" t="s">
        <v>1641</v>
      </c>
      <c r="BO2137" s="4">
        <v>0.1</v>
      </c>
      <c r="BP2137" s="4">
        <v>10</v>
      </c>
      <c r="BV2137" s="4" t="s">
        <v>1633</v>
      </c>
      <c r="BX2137" s="4">
        <v>60</v>
      </c>
      <c r="CB2137" s="4" t="s">
        <v>8</v>
      </c>
      <c r="CD2137" s="4">
        <v>228.65</v>
      </c>
      <c r="EF2137">
        <v>261.668426610348</v>
      </c>
      <c r="EG2137">
        <v>7.18057022175299</v>
      </c>
      <c r="EH2137">
        <v>78.7750791974656</v>
      </c>
      <c r="EI2137">
        <v>0.422386483632508</v>
      </c>
      <c r="EL2137" s="1">
        <f t="shared" si="60"/>
        <v>69.8950766747377</v>
      </c>
      <c r="EP2137" s="1">
        <v>69.8950766747377</v>
      </c>
      <c r="ES2137" s="1">
        <v>69.8950766747377</v>
      </c>
    </row>
    <row r="2138" customHeight="1" spans="1:183">
      <c r="A2138" s="62">
        <v>73</v>
      </c>
      <c r="B2138" s="4" t="s">
        <v>1624</v>
      </c>
      <c r="C2138" s="5" t="s">
        <v>1625</v>
      </c>
      <c r="D2138" s="4" t="s">
        <v>478</v>
      </c>
      <c r="N2138" s="4" t="s">
        <v>751</v>
      </c>
      <c r="O2138" s="4" t="s">
        <v>343</v>
      </c>
      <c r="P2138" s="4">
        <v>1.68</v>
      </c>
      <c r="T2138" s="4">
        <v>80.7513</v>
      </c>
      <c r="U2138" s="4">
        <v>0.2582</v>
      </c>
      <c r="V2138" s="4">
        <v>12.7892</v>
      </c>
      <c r="X2138" s="4">
        <v>0.432</v>
      </c>
      <c r="AD2138" s="4" t="s">
        <v>1626</v>
      </c>
      <c r="AG2138" s="4" t="s">
        <v>316</v>
      </c>
      <c r="AH2138" s="4" t="s">
        <v>1635</v>
      </c>
      <c r="AI2138" s="4" t="s">
        <v>1636</v>
      </c>
      <c r="AL2138" s="4" t="s">
        <v>1637</v>
      </c>
      <c r="AM2138" s="4">
        <v>6.02</v>
      </c>
      <c r="AN2138" s="4">
        <v>27.88</v>
      </c>
      <c r="AO2138" s="4">
        <v>27.88</v>
      </c>
      <c r="AP2138" s="4">
        <v>0.2402</v>
      </c>
      <c r="AQ2138" s="4" t="s">
        <v>8</v>
      </c>
      <c r="AR2138" s="4">
        <v>228.65</v>
      </c>
      <c r="BD2138" s="4" t="s">
        <v>1638</v>
      </c>
      <c r="BI2138" s="4" t="s">
        <v>321</v>
      </c>
      <c r="BJ2138" s="4" t="s">
        <v>1630</v>
      </c>
      <c r="BO2138" s="4">
        <v>0.2</v>
      </c>
      <c r="BP2138" s="4">
        <v>20</v>
      </c>
      <c r="BV2138" s="4" t="s">
        <v>1633</v>
      </c>
      <c r="BX2138" s="4">
        <v>60</v>
      </c>
      <c r="CB2138" s="4" t="s">
        <v>8</v>
      </c>
      <c r="CD2138" s="4">
        <v>228.65</v>
      </c>
      <c r="EF2138">
        <v>261.668426610348</v>
      </c>
      <c r="EG2138">
        <v>7.18057022175299</v>
      </c>
      <c r="EH2138">
        <v>61.8796198521647</v>
      </c>
      <c r="EI2138">
        <v>1.4783526927138</v>
      </c>
      <c r="EL2138" s="1">
        <f t="shared" si="60"/>
        <v>76.3518966908797</v>
      </c>
      <c r="EP2138" s="1">
        <v>76.3518966908797</v>
      </c>
      <c r="ES2138" s="1">
        <v>76.3518966908797</v>
      </c>
    </row>
    <row r="2139" customHeight="1" spans="1:183">
      <c r="A2139" s="62">
        <v>73</v>
      </c>
      <c r="B2139" s="4" t="s">
        <v>1624</v>
      </c>
      <c r="C2139" s="5" t="s">
        <v>1625</v>
      </c>
      <c r="D2139" s="4" t="s">
        <v>478</v>
      </c>
      <c r="N2139" s="4" t="s">
        <v>751</v>
      </c>
      <c r="O2139" s="4" t="s">
        <v>343</v>
      </c>
      <c r="P2139" s="4">
        <v>1.68</v>
      </c>
      <c r="T2139" s="4">
        <v>80.7513</v>
      </c>
      <c r="U2139" s="4">
        <v>0.2582</v>
      </c>
      <c r="V2139" s="4">
        <v>12.7892</v>
      </c>
      <c r="X2139" s="4">
        <v>0.432</v>
      </c>
      <c r="AD2139" s="4" t="s">
        <v>1626</v>
      </c>
      <c r="AG2139" s="4" t="s">
        <v>316</v>
      </c>
      <c r="AH2139" s="4" t="s">
        <v>1635</v>
      </c>
      <c r="AI2139" s="4" t="s">
        <v>1636</v>
      </c>
      <c r="AL2139" s="4" t="s">
        <v>1637</v>
      </c>
      <c r="AM2139" s="4">
        <v>6.02</v>
      </c>
      <c r="AN2139" s="4">
        <v>27.88</v>
      </c>
      <c r="AO2139" s="4">
        <v>27.88</v>
      </c>
      <c r="AP2139" s="4">
        <v>0.2402</v>
      </c>
      <c r="AQ2139" s="4" t="s">
        <v>8</v>
      </c>
      <c r="AR2139" s="4">
        <v>228.65</v>
      </c>
      <c r="BD2139" s="4" t="s">
        <v>1638</v>
      </c>
      <c r="BI2139" s="4" t="s">
        <v>321</v>
      </c>
      <c r="BJ2139" s="4" t="s">
        <v>1639</v>
      </c>
      <c r="BO2139" s="4">
        <v>0</v>
      </c>
      <c r="BP2139" s="4">
        <v>0</v>
      </c>
      <c r="BV2139" s="4" t="s">
        <v>1634</v>
      </c>
      <c r="BX2139" s="4">
        <v>60</v>
      </c>
      <c r="CB2139" s="4" t="s">
        <v>8</v>
      </c>
      <c r="CD2139" s="4">
        <v>228.65</v>
      </c>
      <c r="EF2139">
        <v>258.71172122492</v>
      </c>
      <c r="EG2139">
        <v>8.87011615628299</v>
      </c>
      <c r="EH2139">
        <v>258.71172122492</v>
      </c>
      <c r="EI2139">
        <v>8.87011615628299</v>
      </c>
      <c r="EL2139" s="1">
        <f t="shared" si="60"/>
        <v>0</v>
      </c>
      <c r="EP2139" s="1">
        <v>0</v>
      </c>
      <c r="ES2139" s="1">
        <v>0</v>
      </c>
    </row>
    <row r="2140" customHeight="1" spans="1:183">
      <c r="A2140" s="62">
        <v>73</v>
      </c>
      <c r="B2140" s="4" t="s">
        <v>1624</v>
      </c>
      <c r="C2140" s="5" t="s">
        <v>1625</v>
      </c>
      <c r="D2140" s="4" t="s">
        <v>478</v>
      </c>
      <c r="N2140" s="4" t="s">
        <v>751</v>
      </c>
      <c r="O2140" s="4" t="s">
        <v>343</v>
      </c>
      <c r="P2140" s="4">
        <v>1.68</v>
      </c>
      <c r="T2140" s="4">
        <v>80.7513</v>
      </c>
      <c r="U2140" s="4">
        <v>0.2582</v>
      </c>
      <c r="V2140" s="4">
        <v>12.7892</v>
      </c>
      <c r="X2140" s="4">
        <v>0.432</v>
      </c>
      <c r="AD2140" s="4" t="s">
        <v>1626</v>
      </c>
      <c r="AG2140" s="4" t="s">
        <v>316</v>
      </c>
      <c r="AH2140" s="4" t="s">
        <v>1635</v>
      </c>
      <c r="AI2140" s="4" t="s">
        <v>1636</v>
      </c>
      <c r="AL2140" s="4" t="s">
        <v>1637</v>
      </c>
      <c r="AM2140" s="4">
        <v>6.02</v>
      </c>
      <c r="AN2140" s="4">
        <v>27.88</v>
      </c>
      <c r="AO2140" s="4">
        <v>27.88</v>
      </c>
      <c r="AP2140" s="4">
        <v>0.2402</v>
      </c>
      <c r="AQ2140" s="4" t="s">
        <v>8</v>
      </c>
      <c r="AR2140" s="4">
        <v>228.65</v>
      </c>
      <c r="BD2140" s="4" t="s">
        <v>1638</v>
      </c>
      <c r="BI2140" s="4" t="s">
        <v>321</v>
      </c>
      <c r="BJ2140" s="4" t="s">
        <v>1640</v>
      </c>
      <c r="BO2140" s="4">
        <v>0.05</v>
      </c>
      <c r="BP2140" s="4">
        <v>5</v>
      </c>
      <c r="BV2140" s="4" t="s">
        <v>1634</v>
      </c>
      <c r="BX2140" s="4">
        <v>60</v>
      </c>
      <c r="CB2140" s="4" t="s">
        <v>8</v>
      </c>
      <c r="CD2140" s="4">
        <v>228.65</v>
      </c>
      <c r="EF2140">
        <v>258.71172122492</v>
      </c>
      <c r="EG2140">
        <v>8.87011615628299</v>
      </c>
      <c r="EH2140">
        <v>110.031678986272</v>
      </c>
      <c r="EI2140">
        <v>1.26715945089799</v>
      </c>
      <c r="EL2140" s="1">
        <f t="shared" si="60"/>
        <v>57.4693877551021</v>
      </c>
      <c r="EP2140" s="1">
        <v>57.4693877551021</v>
      </c>
      <c r="ES2140" s="1">
        <v>57.4693877551021</v>
      </c>
    </row>
    <row r="2141" customHeight="1" spans="1:183">
      <c r="A2141" s="62">
        <v>73</v>
      </c>
      <c r="B2141" s="4" t="s">
        <v>1624</v>
      </c>
      <c r="C2141" s="5" t="s">
        <v>1625</v>
      </c>
      <c r="D2141" s="4" t="s">
        <v>478</v>
      </c>
      <c r="N2141" s="4" t="s">
        <v>751</v>
      </c>
      <c r="O2141" s="4" t="s">
        <v>343</v>
      </c>
      <c r="P2141" s="4">
        <v>1.68</v>
      </c>
      <c r="T2141" s="4">
        <v>80.7513</v>
      </c>
      <c r="U2141" s="4">
        <v>0.2582</v>
      </c>
      <c r="V2141" s="4">
        <v>12.7892</v>
      </c>
      <c r="X2141" s="4">
        <v>0.432</v>
      </c>
      <c r="AD2141" s="4" t="s">
        <v>1626</v>
      </c>
      <c r="AG2141" s="4" t="s">
        <v>316</v>
      </c>
      <c r="AH2141" s="4" t="s">
        <v>1635</v>
      </c>
      <c r="AI2141" s="4" t="s">
        <v>1636</v>
      </c>
      <c r="AL2141" s="4" t="s">
        <v>1637</v>
      </c>
      <c r="AM2141" s="4">
        <v>6.02</v>
      </c>
      <c r="AN2141" s="4">
        <v>27.88</v>
      </c>
      <c r="AO2141" s="4">
        <v>27.88</v>
      </c>
      <c r="AP2141" s="4">
        <v>0.2402</v>
      </c>
      <c r="AQ2141" s="4" t="s">
        <v>8</v>
      </c>
      <c r="AR2141" s="4">
        <v>228.65</v>
      </c>
      <c r="BD2141" s="4" t="s">
        <v>1638</v>
      </c>
      <c r="BI2141" s="4" t="s">
        <v>321</v>
      </c>
      <c r="BJ2141" s="4" t="s">
        <v>1641</v>
      </c>
      <c r="BO2141" s="4">
        <v>0.1</v>
      </c>
      <c r="BP2141" s="4">
        <v>10</v>
      </c>
      <c r="BV2141" s="4" t="s">
        <v>1634</v>
      </c>
      <c r="BX2141" s="4">
        <v>60</v>
      </c>
      <c r="CB2141" s="4" t="s">
        <v>8</v>
      </c>
      <c r="CD2141" s="4">
        <v>228.65</v>
      </c>
      <c r="EF2141">
        <v>258.71172122492</v>
      </c>
      <c r="EG2141">
        <v>8.87011615628299</v>
      </c>
      <c r="EH2141">
        <v>77.9303062302006</v>
      </c>
      <c r="EI2141">
        <v>0.633579725448797</v>
      </c>
      <c r="EL2141" s="1">
        <f t="shared" si="60"/>
        <v>69.8775510204081</v>
      </c>
      <c r="EP2141" s="1">
        <v>69.8775510204081</v>
      </c>
      <c r="ES2141" s="1">
        <v>69.8775510204081</v>
      </c>
    </row>
    <row r="2142" customHeight="1" spans="1:183">
      <c r="A2142" s="62">
        <v>73</v>
      </c>
      <c r="B2142" s="4" t="s">
        <v>1624</v>
      </c>
      <c r="C2142" s="5" t="s">
        <v>1625</v>
      </c>
      <c r="D2142" s="4" t="s">
        <v>478</v>
      </c>
      <c r="N2142" s="4" t="s">
        <v>751</v>
      </c>
      <c r="O2142" s="4" t="s">
        <v>343</v>
      </c>
      <c r="P2142" s="4">
        <v>1.68</v>
      </c>
      <c r="T2142" s="4">
        <v>80.7513</v>
      </c>
      <c r="U2142" s="4">
        <v>0.2582</v>
      </c>
      <c r="V2142" s="4">
        <v>12.7892</v>
      </c>
      <c r="X2142" s="4">
        <v>0.432</v>
      </c>
      <c r="AD2142" s="4" t="s">
        <v>1626</v>
      </c>
      <c r="AG2142" s="4" t="s">
        <v>316</v>
      </c>
      <c r="AH2142" s="4" t="s">
        <v>1635</v>
      </c>
      <c r="AI2142" s="4" t="s">
        <v>1636</v>
      </c>
      <c r="AL2142" s="4" t="s">
        <v>1637</v>
      </c>
      <c r="AM2142" s="4">
        <v>6.02</v>
      </c>
      <c r="AN2142" s="4">
        <v>27.88</v>
      </c>
      <c r="AO2142" s="4">
        <v>27.88</v>
      </c>
      <c r="AP2142" s="4">
        <v>0.2402</v>
      </c>
      <c r="AQ2142" s="4" t="s">
        <v>8</v>
      </c>
      <c r="AR2142" s="4">
        <v>228.65</v>
      </c>
      <c r="BD2142" s="4" t="s">
        <v>1638</v>
      </c>
      <c r="BI2142" s="4" t="s">
        <v>321</v>
      </c>
      <c r="BJ2142" s="4" t="s">
        <v>1630</v>
      </c>
      <c r="BO2142" s="4">
        <v>0.2</v>
      </c>
      <c r="BP2142" s="4">
        <v>20</v>
      </c>
      <c r="BV2142" s="4" t="s">
        <v>1634</v>
      </c>
      <c r="BX2142" s="4">
        <v>60</v>
      </c>
      <c r="CB2142" s="4" t="s">
        <v>8</v>
      </c>
      <c r="CD2142" s="4">
        <v>228.65</v>
      </c>
      <c r="EF2142">
        <v>258.71172122492</v>
      </c>
      <c r="EG2142">
        <v>8.87011615628299</v>
      </c>
      <c r="EH2142">
        <v>61.0348468848997</v>
      </c>
      <c r="EI2142">
        <v>0.211193241816304</v>
      </c>
      <c r="EL2142" s="1">
        <f t="shared" si="60"/>
        <v>76.408163265306</v>
      </c>
      <c r="EP2142" s="1">
        <v>76.408163265306</v>
      </c>
      <c r="ES2142" s="1">
        <v>76.408163265306</v>
      </c>
    </row>
    <row r="2143" customHeight="1" spans="1:183">
      <c r="A2143" s="62">
        <v>74</v>
      </c>
      <c r="B2143" s="4" t="s">
        <v>1642</v>
      </c>
      <c r="C2143" s="5" t="s">
        <v>1532</v>
      </c>
      <c r="H2143" s="4" t="s">
        <v>328</v>
      </c>
      <c r="I2143" s="4" t="s">
        <v>627</v>
      </c>
      <c r="K2143" s="4" t="s">
        <v>328</v>
      </c>
      <c r="L2143" s="4">
        <v>400</v>
      </c>
      <c r="N2143" s="4" t="s">
        <v>1533</v>
      </c>
      <c r="O2143" s="4" t="s">
        <v>502</v>
      </c>
      <c r="T2143" s="4">
        <v>78.7</v>
      </c>
      <c r="U2143" s="4">
        <v>0.22</v>
      </c>
      <c r="V2143" s="4">
        <v>10.99</v>
      </c>
      <c r="AG2143" s="4" t="s">
        <v>316</v>
      </c>
      <c r="AH2143" s="4" t="s">
        <v>976</v>
      </c>
      <c r="AI2143" s="4" t="s">
        <v>1534</v>
      </c>
      <c r="AM2143" s="4">
        <v>7.42</v>
      </c>
      <c r="AO2143" s="4">
        <v>8.78</v>
      </c>
      <c r="AP2143" s="4">
        <v>2.4</v>
      </c>
      <c r="AQ2143" s="4" t="s">
        <v>11</v>
      </c>
      <c r="AR2143" s="4">
        <v>57.91</v>
      </c>
      <c r="BD2143" s="4" t="s">
        <v>1643</v>
      </c>
      <c r="BI2143" s="4" t="s">
        <v>321</v>
      </c>
      <c r="BL2143" s="4">
        <v>120</v>
      </c>
      <c r="BP2143" s="4">
        <v>3</v>
      </c>
      <c r="BV2143" s="4" t="s">
        <v>522</v>
      </c>
      <c r="CB2143" s="4" t="s">
        <v>11</v>
      </c>
      <c r="CD2143" s="1">
        <v>330</v>
      </c>
      <c r="FX2143" s="1">
        <v>330</v>
      </c>
      <c r="FY2143" s="1">
        <v>26.4</v>
      </c>
      <c r="GA2143" s="1">
        <v>3.11</v>
      </c>
    </row>
    <row r="2144" customHeight="1" spans="1:183">
      <c r="A2144" s="62">
        <v>74</v>
      </c>
      <c r="B2144" s="4" t="s">
        <v>1642</v>
      </c>
      <c r="C2144" s="5" t="s">
        <v>1532</v>
      </c>
      <c r="H2144" s="4" t="s">
        <v>328</v>
      </c>
      <c r="I2144" s="4" t="s">
        <v>627</v>
      </c>
      <c r="K2144" s="4" t="s">
        <v>328</v>
      </c>
      <c r="L2144" s="4">
        <v>400</v>
      </c>
      <c r="N2144" s="4" t="s">
        <v>1533</v>
      </c>
      <c r="O2144" s="4" t="s">
        <v>502</v>
      </c>
      <c r="T2144" s="4">
        <v>78.7</v>
      </c>
      <c r="U2144" s="4">
        <v>0.22</v>
      </c>
      <c r="V2144" s="4">
        <v>10.99</v>
      </c>
      <c r="AG2144" s="4" t="s">
        <v>316</v>
      </c>
      <c r="AH2144" s="4" t="s">
        <v>976</v>
      </c>
      <c r="AI2144" s="4" t="s">
        <v>1534</v>
      </c>
      <c r="AM2144" s="4">
        <v>7.42</v>
      </c>
      <c r="AO2144" s="4">
        <v>8.78</v>
      </c>
      <c r="AP2144" s="4">
        <v>2.4</v>
      </c>
      <c r="AQ2144" s="4" t="s">
        <v>11</v>
      </c>
      <c r="AR2144" s="4">
        <v>57.91</v>
      </c>
      <c r="BD2144" s="4" t="s">
        <v>1643</v>
      </c>
      <c r="BI2144" s="4" t="s">
        <v>321</v>
      </c>
      <c r="BL2144" s="4">
        <v>120</v>
      </c>
      <c r="BP2144" s="4">
        <v>3</v>
      </c>
      <c r="BV2144" s="4" t="s">
        <v>522</v>
      </c>
      <c r="CB2144" s="4" t="s">
        <v>11</v>
      </c>
      <c r="CD2144" s="1">
        <v>939</v>
      </c>
      <c r="FX2144" s="1">
        <v>939</v>
      </c>
      <c r="FY2144" s="1">
        <v>42.52</v>
      </c>
      <c r="GA2144" s="1">
        <v>21.48</v>
      </c>
    </row>
    <row r="2145" customHeight="1" spans="1:191">
      <c r="A2145" s="62">
        <v>74</v>
      </c>
      <c r="B2145" s="4" t="s">
        <v>1642</v>
      </c>
      <c r="C2145" s="5" t="s">
        <v>1532</v>
      </c>
      <c r="H2145" s="4" t="s">
        <v>328</v>
      </c>
      <c r="I2145" s="4" t="s">
        <v>627</v>
      </c>
      <c r="K2145" s="4" t="s">
        <v>328</v>
      </c>
      <c r="L2145" s="4">
        <v>400</v>
      </c>
      <c r="N2145" s="4" t="s">
        <v>1533</v>
      </c>
      <c r="O2145" s="4" t="s">
        <v>502</v>
      </c>
      <c r="T2145" s="4">
        <v>78.7</v>
      </c>
      <c r="U2145" s="4">
        <v>0.22</v>
      </c>
      <c r="V2145" s="4">
        <v>10.99</v>
      </c>
      <c r="AG2145" s="4" t="s">
        <v>316</v>
      </c>
      <c r="AH2145" s="4" t="s">
        <v>976</v>
      </c>
      <c r="AI2145" s="4" t="s">
        <v>1534</v>
      </c>
      <c r="AM2145" s="4">
        <v>7.42</v>
      </c>
      <c r="AO2145" s="4">
        <v>8.78</v>
      </c>
      <c r="AP2145" s="4">
        <v>2.4</v>
      </c>
      <c r="AQ2145" s="4" t="s">
        <v>11</v>
      </c>
      <c r="AR2145" s="4">
        <v>57.91</v>
      </c>
      <c r="BD2145" s="4" t="s">
        <v>1643</v>
      </c>
      <c r="BI2145" s="4" t="s">
        <v>321</v>
      </c>
      <c r="BL2145" s="4">
        <v>120</v>
      </c>
      <c r="BP2145" s="4">
        <v>3</v>
      </c>
      <c r="BV2145" s="4" t="s">
        <v>522</v>
      </c>
      <c r="CB2145" s="4" t="s">
        <v>11</v>
      </c>
      <c r="CD2145" s="1">
        <v>2878</v>
      </c>
      <c r="FX2145" s="1">
        <v>2878</v>
      </c>
      <c r="FY2145" s="1">
        <v>53.12</v>
      </c>
      <c r="GA2145" s="1">
        <v>17.56</v>
      </c>
    </row>
    <row r="2146" customHeight="1" spans="1:191">
      <c r="A2146" s="62">
        <v>75</v>
      </c>
      <c r="B2146" s="4" t="s">
        <v>1644</v>
      </c>
      <c r="C2146" s="5" t="s">
        <v>1645</v>
      </c>
      <c r="D2146" s="4" t="s">
        <v>961</v>
      </c>
      <c r="F2146" s="4" t="s">
        <v>328</v>
      </c>
      <c r="G2146" s="4" t="s">
        <v>1646</v>
      </c>
      <c r="N2146" s="4" t="s">
        <v>14</v>
      </c>
      <c r="O2146" s="4" t="s">
        <v>343</v>
      </c>
      <c r="P2146" s="4">
        <v>2</v>
      </c>
      <c r="Q2146" s="4" t="s">
        <v>540</v>
      </c>
      <c r="T2146" s="4">
        <v>39</v>
      </c>
      <c r="U2146" s="4">
        <v>0.05603</v>
      </c>
      <c r="V2146" s="4">
        <v>5.571</v>
      </c>
      <c r="AD2146" s="4" t="s">
        <v>1647</v>
      </c>
      <c r="AG2146" s="4" t="s">
        <v>316</v>
      </c>
      <c r="AH2146" s="4" t="s">
        <v>394</v>
      </c>
      <c r="AI2146" s="4" t="s">
        <v>1648</v>
      </c>
      <c r="AM2146" s="4">
        <v>6.3</v>
      </c>
      <c r="BD2146" s="4" t="s">
        <v>1649</v>
      </c>
      <c r="BI2146" s="4" t="s">
        <v>321</v>
      </c>
      <c r="BJ2146" s="4" t="s">
        <v>1650</v>
      </c>
      <c r="BL2146" s="4">
        <v>50</v>
      </c>
      <c r="BM2146" s="4">
        <v>0.5</v>
      </c>
      <c r="BO2146" s="4">
        <v>0.01</v>
      </c>
      <c r="BP2146" s="4">
        <v>1</v>
      </c>
      <c r="BS2146" s="4">
        <v>6.3</v>
      </c>
      <c r="BU2146" s="4">
        <v>0</v>
      </c>
      <c r="BV2146" s="4">
        <v>360</v>
      </c>
      <c r="CB2146" s="4" t="s">
        <v>11</v>
      </c>
      <c r="CD2146" s="4">
        <v>800</v>
      </c>
      <c r="CE2146" s="4" t="s">
        <v>7</v>
      </c>
      <c r="CG2146" s="4">
        <v>600</v>
      </c>
      <c r="EA2146" s="1">
        <v>13.8</v>
      </c>
      <c r="GI2146" s="1">
        <v>35.4</v>
      </c>
    </row>
    <row r="2147" customHeight="1" spans="1:191">
      <c r="A2147" s="62">
        <v>75</v>
      </c>
      <c r="B2147" s="4" t="s">
        <v>1644</v>
      </c>
      <c r="C2147" s="5" t="s">
        <v>1645</v>
      </c>
      <c r="D2147" s="4" t="s">
        <v>961</v>
      </c>
      <c r="F2147" s="4" t="s">
        <v>328</v>
      </c>
      <c r="G2147" s="4" t="s">
        <v>1646</v>
      </c>
      <c r="N2147" s="4" t="s">
        <v>14</v>
      </c>
      <c r="O2147" s="4" t="s">
        <v>343</v>
      </c>
      <c r="P2147" s="4">
        <v>2</v>
      </c>
      <c r="Q2147" s="4" t="s">
        <v>540</v>
      </c>
      <c r="T2147" s="4">
        <v>39</v>
      </c>
      <c r="U2147" s="4">
        <v>0.05603</v>
      </c>
      <c r="V2147" s="4">
        <v>5.571</v>
      </c>
      <c r="AD2147" s="4" t="s">
        <v>1647</v>
      </c>
      <c r="AG2147" s="4" t="s">
        <v>316</v>
      </c>
      <c r="AH2147" s="4" t="s">
        <v>394</v>
      </c>
      <c r="AI2147" s="4" t="s">
        <v>1648</v>
      </c>
      <c r="AM2147" s="4">
        <v>6.3</v>
      </c>
      <c r="BI2147" s="4" t="s">
        <v>321</v>
      </c>
      <c r="BJ2147" s="4" t="s">
        <v>1650</v>
      </c>
      <c r="BL2147" s="4">
        <v>50</v>
      </c>
      <c r="BM2147" s="4">
        <v>0.5</v>
      </c>
      <c r="BO2147" s="4">
        <v>0.01</v>
      </c>
      <c r="BP2147" s="4">
        <v>1</v>
      </c>
      <c r="BS2147" s="4">
        <v>6.3</v>
      </c>
      <c r="BU2147" s="4">
        <v>30</v>
      </c>
      <c r="BV2147" s="4">
        <v>360</v>
      </c>
      <c r="CB2147" s="4" t="s">
        <v>11</v>
      </c>
      <c r="CD2147" s="4">
        <v>800</v>
      </c>
      <c r="CE2147" s="4" t="s">
        <v>7</v>
      </c>
      <c r="CG2147" s="4">
        <v>600</v>
      </c>
      <c r="DO2147" s="1"/>
      <c r="EA2147" s="1">
        <v>42</v>
      </c>
      <c r="GI2147" s="1">
        <v>49.6</v>
      </c>
    </row>
    <row r="2148" customHeight="1" spans="1:191">
      <c r="A2148" s="62">
        <v>76</v>
      </c>
      <c r="B2148" s="4" t="s">
        <v>1651</v>
      </c>
      <c r="C2148" s="5" t="s">
        <v>1652</v>
      </c>
      <c r="D2148" s="4" t="s">
        <v>300</v>
      </c>
      <c r="H2148" s="4" t="s">
        <v>328</v>
      </c>
      <c r="I2148" s="4" t="s">
        <v>627</v>
      </c>
      <c r="N2148" s="4" t="s">
        <v>567</v>
      </c>
      <c r="O2148" s="4" t="s">
        <v>502</v>
      </c>
      <c r="P2148" s="4">
        <v>2</v>
      </c>
      <c r="Q2148" s="4" t="s">
        <v>539</v>
      </c>
      <c r="T2148" s="4">
        <v>316.33</v>
      </c>
      <c r="U2148" s="4">
        <v>0.25</v>
      </c>
      <c r="V2148" s="4">
        <v>3.22</v>
      </c>
      <c r="AD2148" s="4" t="s">
        <v>1653</v>
      </c>
      <c r="AG2148" s="4" t="s">
        <v>316</v>
      </c>
      <c r="AH2148" s="4" t="s">
        <v>317</v>
      </c>
      <c r="AI2148" s="4" t="s">
        <v>1654</v>
      </c>
      <c r="AM2148" s="4">
        <v>6.56</v>
      </c>
      <c r="AN2148" s="4">
        <v>6.01</v>
      </c>
      <c r="AO2148" s="4" t="s">
        <v>1655</v>
      </c>
      <c r="BD2148" s="4" t="s">
        <v>1656</v>
      </c>
      <c r="BI2148" s="4" t="s">
        <v>321</v>
      </c>
      <c r="BL2148" s="4">
        <v>100</v>
      </c>
      <c r="BP2148" s="4">
        <v>1</v>
      </c>
      <c r="BV2148" s="4" t="s">
        <v>883</v>
      </c>
      <c r="BW2148" s="4">
        <v>25</v>
      </c>
      <c r="CB2148" s="4" t="s">
        <v>7</v>
      </c>
      <c r="CD2148" s="4">
        <v>4890</v>
      </c>
      <c r="DO2148" s="1"/>
      <c r="DP2148" s="1">
        <v>0.349185667752443</v>
      </c>
      <c r="DQ2148" s="1">
        <v>0.349185667752443</v>
      </c>
      <c r="DR2148" s="1">
        <v>0.037785016286645</v>
      </c>
      <c r="DS2148" s="1">
        <v>0.0729641693811074</v>
      </c>
      <c r="DT2148" s="1">
        <v>0.017806731813247</v>
      </c>
      <c r="DY2148" s="1">
        <v>0</v>
      </c>
      <c r="EA2148" s="1">
        <v>79.1044776119403</v>
      </c>
      <c r="ED2148" s="1">
        <v>79.1044776119403</v>
      </c>
    </row>
    <row r="2149" customHeight="1" spans="1:191">
      <c r="A2149" s="62">
        <v>76</v>
      </c>
      <c r="B2149" s="4" t="s">
        <v>1651</v>
      </c>
      <c r="C2149" s="5" t="s">
        <v>1652</v>
      </c>
      <c r="D2149" s="4" t="s">
        <v>300</v>
      </c>
      <c r="H2149" s="4" t="s">
        <v>328</v>
      </c>
      <c r="I2149" s="4" t="s">
        <v>627</v>
      </c>
      <c r="N2149" s="4" t="s">
        <v>567</v>
      </c>
      <c r="O2149" s="4" t="s">
        <v>502</v>
      </c>
      <c r="P2149" s="4">
        <v>2</v>
      </c>
      <c r="Q2149" s="4" t="s">
        <v>539</v>
      </c>
      <c r="T2149" s="4">
        <v>316.33</v>
      </c>
      <c r="U2149" s="4">
        <v>0.25</v>
      </c>
      <c r="V2149" s="4">
        <v>3.22</v>
      </c>
      <c r="AD2149" s="4" t="s">
        <v>1653</v>
      </c>
      <c r="AG2149" s="4" t="s">
        <v>316</v>
      </c>
      <c r="AH2149" s="4" t="s">
        <v>317</v>
      </c>
      <c r="AI2149" s="4" t="s">
        <v>1654</v>
      </c>
      <c r="AM2149" s="4">
        <v>6.56</v>
      </c>
      <c r="AN2149" s="4">
        <v>6.01</v>
      </c>
      <c r="AO2149" s="4" t="s">
        <v>1655</v>
      </c>
      <c r="BD2149" s="4" t="s">
        <v>1656</v>
      </c>
      <c r="BI2149" s="4" t="s">
        <v>321</v>
      </c>
      <c r="BL2149" s="4">
        <v>100</v>
      </c>
      <c r="BP2149" s="4">
        <v>1</v>
      </c>
      <c r="BV2149" s="4" t="s">
        <v>883</v>
      </c>
      <c r="BW2149" s="4">
        <v>25</v>
      </c>
      <c r="CB2149" s="4" t="s">
        <v>7</v>
      </c>
      <c r="CD2149" s="4">
        <v>4890</v>
      </c>
      <c r="DO2149" s="1"/>
      <c r="DP2149" s="1">
        <v>0.349185667752443</v>
      </c>
      <c r="DQ2149" s="1">
        <v>0.349185667752443</v>
      </c>
      <c r="DR2149" s="1">
        <v>0.037785016286645</v>
      </c>
      <c r="DS2149" s="1">
        <v>0.0564603691639522</v>
      </c>
      <c r="DT2149" s="1">
        <v>0.0095548317046688</v>
      </c>
      <c r="DY2149" s="1">
        <v>0</v>
      </c>
      <c r="EA2149" s="1">
        <v>83.8308457711443</v>
      </c>
      <c r="ED2149" s="1">
        <v>83.8308457711443</v>
      </c>
    </row>
    <row r="2150" customHeight="1" spans="1:191">
      <c r="A2150" s="62">
        <v>76</v>
      </c>
      <c r="B2150" s="4" t="s">
        <v>1651</v>
      </c>
      <c r="C2150" s="5" t="s">
        <v>1652</v>
      </c>
      <c r="D2150" s="4" t="s">
        <v>300</v>
      </c>
      <c r="H2150" s="4" t="s">
        <v>328</v>
      </c>
      <c r="I2150" s="4" t="s">
        <v>627</v>
      </c>
      <c r="N2150" s="4" t="s">
        <v>567</v>
      </c>
      <c r="O2150" s="4" t="s">
        <v>502</v>
      </c>
      <c r="P2150" s="4">
        <v>2</v>
      </c>
      <c r="Q2150" s="4" t="s">
        <v>539</v>
      </c>
      <c r="T2150" s="4">
        <v>316.33</v>
      </c>
      <c r="U2150" s="4">
        <v>0.25</v>
      </c>
      <c r="V2150" s="4">
        <v>3.22</v>
      </c>
      <c r="AD2150" s="4" t="s">
        <v>1653</v>
      </c>
      <c r="AG2150" s="4" t="s">
        <v>316</v>
      </c>
      <c r="AH2150" s="4" t="s">
        <v>317</v>
      </c>
      <c r="AI2150" s="4" t="s">
        <v>1654</v>
      </c>
      <c r="AM2150" s="4">
        <v>6.56</v>
      </c>
      <c r="AN2150" s="4">
        <v>6.01</v>
      </c>
      <c r="AO2150" s="4" t="s">
        <v>1655</v>
      </c>
      <c r="BD2150" s="4" t="s">
        <v>1656</v>
      </c>
      <c r="BI2150" s="4" t="s">
        <v>321</v>
      </c>
      <c r="BL2150" s="4">
        <v>100</v>
      </c>
      <c r="BP2150" s="4">
        <v>1</v>
      </c>
      <c r="BV2150" s="4" t="s">
        <v>883</v>
      </c>
      <c r="BW2150" s="4">
        <v>25</v>
      </c>
      <c r="CB2150" s="4" t="s">
        <v>7</v>
      </c>
      <c r="CD2150" s="4">
        <v>4890</v>
      </c>
      <c r="DO2150" s="1"/>
      <c r="DP2150" s="1">
        <v>0.349185667752443</v>
      </c>
      <c r="DQ2150" s="1">
        <v>0.349185667752443</v>
      </c>
      <c r="DR2150" s="1">
        <v>0.037785016286645</v>
      </c>
      <c r="DS2150" s="1">
        <v>0.0338762214983713</v>
      </c>
      <c r="DT2150" s="1">
        <v>0.0069489685124865</v>
      </c>
      <c r="DY2150" s="1">
        <v>0</v>
      </c>
      <c r="EA2150" s="1">
        <v>90.2985074626866</v>
      </c>
      <c r="ED2150" s="1">
        <v>90.2985074626866</v>
      </c>
    </row>
    <row r="2151" customHeight="1" spans="1:191">
      <c r="A2151" s="62">
        <v>76</v>
      </c>
      <c r="B2151" s="4" t="s">
        <v>1651</v>
      </c>
      <c r="C2151" s="5" t="s">
        <v>836</v>
      </c>
      <c r="D2151" s="4" t="s">
        <v>300</v>
      </c>
      <c r="N2151" s="4" t="s">
        <v>567</v>
      </c>
      <c r="O2151" s="4" t="s">
        <v>502</v>
      </c>
      <c r="P2151" s="4">
        <v>2</v>
      </c>
      <c r="Q2151" s="4" t="s">
        <v>539</v>
      </c>
      <c r="T2151" s="4">
        <v>55.72</v>
      </c>
      <c r="U2151" s="4">
        <v>0.08</v>
      </c>
      <c r="V2151" s="4">
        <v>6.05</v>
      </c>
      <c r="AD2151" s="4" t="s">
        <v>1657</v>
      </c>
      <c r="AG2151" s="4" t="s">
        <v>316</v>
      </c>
      <c r="AH2151" s="4" t="s">
        <v>317</v>
      </c>
      <c r="AI2151" s="4" t="s">
        <v>1654</v>
      </c>
      <c r="AM2151" s="4">
        <v>6.56</v>
      </c>
      <c r="AN2151" s="4">
        <v>6.01</v>
      </c>
      <c r="AO2151" s="4" t="s">
        <v>1655</v>
      </c>
      <c r="BD2151" s="4" t="s">
        <v>1656</v>
      </c>
      <c r="BI2151" s="4" t="s">
        <v>321</v>
      </c>
      <c r="BL2151" s="4">
        <v>100</v>
      </c>
      <c r="BP2151" s="4">
        <v>1</v>
      </c>
      <c r="BV2151" s="4" t="s">
        <v>883</v>
      </c>
      <c r="BW2151" s="4">
        <v>25</v>
      </c>
      <c r="CB2151" s="4" t="s">
        <v>7</v>
      </c>
      <c r="CD2151" s="4">
        <v>4890</v>
      </c>
      <c r="DO2151" s="1"/>
      <c r="DP2151" s="1">
        <v>0.349185667752443</v>
      </c>
      <c r="DQ2151" s="1">
        <v>0.349185667752443</v>
      </c>
      <c r="DR2151" s="1">
        <v>0.037785016286645</v>
      </c>
      <c r="DS2151" s="1">
        <v>0.134201954397394</v>
      </c>
      <c r="DT2151" s="1">
        <v>0.00868621064060801</v>
      </c>
      <c r="DY2151" s="1">
        <v>0</v>
      </c>
      <c r="EA2151" s="1">
        <v>61.5671641791045</v>
      </c>
      <c r="ED2151" s="1">
        <v>61.5671641791045</v>
      </c>
    </row>
    <row r="2152" customHeight="1" spans="1:191">
      <c r="A2152" s="62">
        <v>76</v>
      </c>
      <c r="B2152" s="4" t="s">
        <v>1651</v>
      </c>
      <c r="C2152" s="5" t="s">
        <v>836</v>
      </c>
      <c r="D2152" s="4" t="s">
        <v>300</v>
      </c>
      <c r="N2152" s="4" t="s">
        <v>567</v>
      </c>
      <c r="O2152" s="4" t="s">
        <v>502</v>
      </c>
      <c r="P2152" s="4">
        <v>2</v>
      </c>
      <c r="Q2152" s="4" t="s">
        <v>539</v>
      </c>
      <c r="T2152" s="4">
        <v>55.72</v>
      </c>
      <c r="U2152" s="4">
        <v>0.08</v>
      </c>
      <c r="V2152" s="4">
        <v>6.05</v>
      </c>
      <c r="AD2152" s="4" t="s">
        <v>1657</v>
      </c>
      <c r="AG2152" s="4" t="s">
        <v>316</v>
      </c>
      <c r="AH2152" s="4" t="s">
        <v>317</v>
      </c>
      <c r="AI2152" s="4" t="s">
        <v>1654</v>
      </c>
      <c r="AM2152" s="4">
        <v>6.56</v>
      </c>
      <c r="AN2152" s="4">
        <v>6.01</v>
      </c>
      <c r="AO2152" s="4" t="s">
        <v>1655</v>
      </c>
      <c r="BD2152" s="4" t="s">
        <v>1656</v>
      </c>
      <c r="BI2152" s="4" t="s">
        <v>321</v>
      </c>
      <c r="BL2152" s="4">
        <v>100</v>
      </c>
      <c r="BP2152" s="4">
        <v>1</v>
      </c>
      <c r="BV2152" s="4" t="s">
        <v>883</v>
      </c>
      <c r="BW2152" s="4">
        <v>25</v>
      </c>
      <c r="CB2152" s="4" t="s">
        <v>7</v>
      </c>
      <c r="CD2152" s="4">
        <v>4890</v>
      </c>
      <c r="DO2152" s="1"/>
      <c r="DP2152" s="1">
        <v>0.349185667752443</v>
      </c>
      <c r="DQ2152" s="1">
        <v>0.349185667752443</v>
      </c>
      <c r="DR2152" s="1">
        <v>0.037785016286645</v>
      </c>
      <c r="DS2152" s="1">
        <v>0.0946796959826275</v>
      </c>
      <c r="DT2152" s="1">
        <v>0.0082519001085777</v>
      </c>
      <c r="DY2152" s="1">
        <v>0</v>
      </c>
      <c r="EA2152" s="1">
        <v>72.8855721393035</v>
      </c>
      <c r="ED2152" s="1">
        <v>72.8855721393035</v>
      </c>
    </row>
    <row r="2153" customHeight="1" spans="1:191">
      <c r="A2153" s="62">
        <v>76</v>
      </c>
      <c r="B2153" s="4" t="s">
        <v>1651</v>
      </c>
      <c r="C2153" s="5" t="s">
        <v>836</v>
      </c>
      <c r="D2153" s="4" t="s">
        <v>300</v>
      </c>
      <c r="N2153" s="4" t="s">
        <v>567</v>
      </c>
      <c r="O2153" s="4" t="s">
        <v>502</v>
      </c>
      <c r="P2153" s="4">
        <v>2</v>
      </c>
      <c r="Q2153" s="4" t="s">
        <v>539</v>
      </c>
      <c r="T2153" s="4">
        <v>55.72</v>
      </c>
      <c r="U2153" s="4">
        <v>0.08</v>
      </c>
      <c r="V2153" s="4">
        <v>6.05</v>
      </c>
      <c r="AD2153" s="4" t="s">
        <v>1657</v>
      </c>
      <c r="AG2153" s="4" t="s">
        <v>316</v>
      </c>
      <c r="AH2153" s="4" t="s">
        <v>317</v>
      </c>
      <c r="AI2153" s="4" t="s">
        <v>1654</v>
      </c>
      <c r="AM2153" s="4">
        <v>6.56</v>
      </c>
      <c r="AN2153" s="4">
        <v>6.01</v>
      </c>
      <c r="AO2153" s="4" t="s">
        <v>1655</v>
      </c>
      <c r="BD2153" s="4" t="s">
        <v>1656</v>
      </c>
      <c r="BI2153" s="4" t="s">
        <v>321</v>
      </c>
      <c r="BL2153" s="4">
        <v>100</v>
      </c>
      <c r="BP2153" s="4">
        <v>1</v>
      </c>
      <c r="BV2153" s="4" t="s">
        <v>883</v>
      </c>
      <c r="BW2153" s="4">
        <v>25</v>
      </c>
      <c r="CB2153" s="4" t="s">
        <v>7</v>
      </c>
      <c r="CD2153" s="4">
        <v>4890</v>
      </c>
      <c r="DO2153" s="1"/>
      <c r="DP2153" s="1">
        <v>0.349185667752443</v>
      </c>
      <c r="DQ2153" s="1">
        <v>0.349185667752443</v>
      </c>
      <c r="DR2153" s="1">
        <v>0.037785016286645</v>
      </c>
      <c r="DS2153" s="1">
        <v>0.0790445168295331</v>
      </c>
      <c r="DT2153" s="1">
        <v>0.0069489685124864</v>
      </c>
      <c r="DY2153" s="1">
        <v>0</v>
      </c>
      <c r="EA2153" s="1">
        <v>77.363184079602</v>
      </c>
      <c r="ED2153" s="1">
        <v>77.363184079602</v>
      </c>
    </row>
    <row r="2154" customHeight="1" spans="1:191">
      <c r="A2154" s="62">
        <v>77</v>
      </c>
      <c r="B2154" s="4" t="s">
        <v>1658</v>
      </c>
      <c r="C2154" s="5" t="s">
        <v>1659</v>
      </c>
      <c r="D2154" s="4" t="s">
        <v>300</v>
      </c>
      <c r="H2154" s="4" t="s">
        <v>328</v>
      </c>
      <c r="I2154" s="4" t="s">
        <v>1660</v>
      </c>
      <c r="N2154" s="4" t="s">
        <v>567</v>
      </c>
      <c r="O2154" s="4" t="s">
        <v>502</v>
      </c>
      <c r="Q2154" s="4" t="s">
        <v>542</v>
      </c>
      <c r="X2154" s="4">
        <v>0.811</v>
      </c>
      <c r="Y2154" s="4">
        <v>0.398</v>
      </c>
      <c r="AE2154" s="4" t="s">
        <v>1661</v>
      </c>
      <c r="AG2154" s="4" t="s">
        <v>316</v>
      </c>
      <c r="AH2154" s="4" t="s">
        <v>1662</v>
      </c>
      <c r="AI2154" s="4" t="s">
        <v>1663</v>
      </c>
      <c r="AL2154" s="4" t="s">
        <v>1664</v>
      </c>
      <c r="AM2154" s="4">
        <v>7.125</v>
      </c>
      <c r="AN2154" s="4">
        <v>31.45</v>
      </c>
      <c r="AO2154" s="4">
        <v>42.44</v>
      </c>
      <c r="AQ2154" s="4" t="s">
        <v>7</v>
      </c>
      <c r="AR2154" s="4">
        <v>129.04</v>
      </c>
      <c r="AS2154" s="4" t="s">
        <v>11</v>
      </c>
      <c r="AT2154" s="4">
        <v>203.75</v>
      </c>
      <c r="BI2154" s="4" t="s">
        <v>321</v>
      </c>
      <c r="BP2154" s="4">
        <v>0</v>
      </c>
      <c r="BV2154" s="4" t="s">
        <v>1665</v>
      </c>
      <c r="BX2154" s="4">
        <v>25.9</v>
      </c>
      <c r="DO2154" s="1"/>
      <c r="DS2154" s="1">
        <v>65.6957928802588</v>
      </c>
      <c r="GA2154" s="1">
        <v>83.4951456310679</v>
      </c>
    </row>
    <row r="2155" customHeight="1" spans="1:191">
      <c r="A2155" s="62">
        <v>77</v>
      </c>
      <c r="B2155" s="4" t="s">
        <v>1658</v>
      </c>
      <c r="C2155" s="5" t="s">
        <v>1659</v>
      </c>
      <c r="D2155" s="4" t="s">
        <v>300</v>
      </c>
      <c r="H2155" s="4" t="s">
        <v>328</v>
      </c>
      <c r="I2155" s="4" t="s">
        <v>1660</v>
      </c>
      <c r="N2155" s="4" t="s">
        <v>567</v>
      </c>
      <c r="O2155" s="4" t="s">
        <v>502</v>
      </c>
      <c r="Q2155" s="4" t="s">
        <v>542</v>
      </c>
      <c r="X2155" s="4">
        <v>0.811</v>
      </c>
      <c r="Y2155" s="4">
        <v>0.398</v>
      </c>
      <c r="AE2155" s="4" t="s">
        <v>1661</v>
      </c>
      <c r="AG2155" s="4" t="s">
        <v>316</v>
      </c>
      <c r="AH2155" s="4" t="s">
        <v>1662</v>
      </c>
      <c r="AI2155" s="4" t="s">
        <v>1663</v>
      </c>
      <c r="AL2155" s="4" t="s">
        <v>1664</v>
      </c>
      <c r="AM2155" s="4">
        <v>7.125</v>
      </c>
      <c r="AN2155" s="4">
        <v>31.45</v>
      </c>
      <c r="AO2155" s="4">
        <v>42.44</v>
      </c>
      <c r="AQ2155" s="4" t="s">
        <v>7</v>
      </c>
      <c r="AR2155" s="4">
        <v>129.04</v>
      </c>
      <c r="AS2155" s="4" t="s">
        <v>11</v>
      </c>
      <c r="AT2155" s="4">
        <v>203.75</v>
      </c>
      <c r="BI2155" s="4" t="s">
        <v>321</v>
      </c>
      <c r="BP2155" s="4">
        <v>0.5</v>
      </c>
      <c r="BV2155" s="4" t="s">
        <v>1665</v>
      </c>
      <c r="BX2155" s="4">
        <v>25.9</v>
      </c>
      <c r="DS2155" s="1">
        <v>34.9514563106796</v>
      </c>
      <c r="GA2155" s="1">
        <v>47.0873786407766</v>
      </c>
    </row>
    <row r="2156" customHeight="1" spans="1:191">
      <c r="A2156" s="62">
        <v>77</v>
      </c>
      <c r="B2156" s="4" t="s">
        <v>1658</v>
      </c>
      <c r="C2156" s="5" t="s">
        <v>1659</v>
      </c>
      <c r="D2156" s="4" t="s">
        <v>300</v>
      </c>
      <c r="H2156" s="4" t="s">
        <v>328</v>
      </c>
      <c r="I2156" s="4" t="s">
        <v>1660</v>
      </c>
      <c r="N2156" s="4" t="s">
        <v>567</v>
      </c>
      <c r="O2156" s="4" t="s">
        <v>502</v>
      </c>
      <c r="Q2156" s="4" t="s">
        <v>542</v>
      </c>
      <c r="X2156" s="4">
        <v>0.811</v>
      </c>
      <c r="Y2156" s="4">
        <v>0.398</v>
      </c>
      <c r="AE2156" s="4" t="s">
        <v>1661</v>
      </c>
      <c r="AG2156" s="4" t="s">
        <v>316</v>
      </c>
      <c r="AH2156" s="4" t="s">
        <v>1662</v>
      </c>
      <c r="AI2156" s="4" t="s">
        <v>1663</v>
      </c>
      <c r="AL2156" s="4" t="s">
        <v>1664</v>
      </c>
      <c r="AM2156" s="4">
        <v>7.125</v>
      </c>
      <c r="AN2156" s="4">
        <v>31.45</v>
      </c>
      <c r="AO2156" s="4">
        <v>42.44</v>
      </c>
      <c r="AQ2156" s="4" t="s">
        <v>7</v>
      </c>
      <c r="AR2156" s="4">
        <v>129.04</v>
      </c>
      <c r="AS2156" s="4" t="s">
        <v>11</v>
      </c>
      <c r="AT2156" s="4">
        <v>203.75</v>
      </c>
      <c r="BI2156" s="4" t="s">
        <v>321</v>
      </c>
      <c r="BP2156" s="4">
        <v>1</v>
      </c>
      <c r="BV2156" s="4" t="s">
        <v>1665</v>
      </c>
      <c r="BX2156" s="4">
        <v>25.9</v>
      </c>
      <c r="DS2156" s="1">
        <v>24.4336569579288</v>
      </c>
      <c r="GA2156" s="1">
        <v>28.4789644012945</v>
      </c>
    </row>
    <row r="2157" customHeight="1" spans="1:191">
      <c r="A2157" s="62">
        <v>77</v>
      </c>
      <c r="B2157" s="4" t="s">
        <v>1658</v>
      </c>
      <c r="C2157" s="5" t="s">
        <v>1659</v>
      </c>
      <c r="D2157" s="4" t="s">
        <v>300</v>
      </c>
      <c r="H2157" s="4" t="s">
        <v>328</v>
      </c>
      <c r="I2157" s="4" t="s">
        <v>1660</v>
      </c>
      <c r="N2157" s="4" t="s">
        <v>567</v>
      </c>
      <c r="O2157" s="4" t="s">
        <v>502</v>
      </c>
      <c r="Q2157" s="4" t="s">
        <v>542</v>
      </c>
      <c r="X2157" s="4">
        <v>0.811</v>
      </c>
      <c r="Y2157" s="4">
        <v>0.398</v>
      </c>
      <c r="AE2157" s="4" t="s">
        <v>1661</v>
      </c>
      <c r="AG2157" s="4" t="s">
        <v>316</v>
      </c>
      <c r="AH2157" s="4" t="s">
        <v>1662</v>
      </c>
      <c r="AI2157" s="4" t="s">
        <v>1663</v>
      </c>
      <c r="AL2157" s="4" t="s">
        <v>1664</v>
      </c>
      <c r="AM2157" s="4">
        <v>7.125</v>
      </c>
      <c r="AN2157" s="4">
        <v>31.45</v>
      </c>
      <c r="AO2157" s="4">
        <v>42.44</v>
      </c>
      <c r="AQ2157" s="4" t="s">
        <v>7</v>
      </c>
      <c r="AR2157" s="4">
        <v>129.04</v>
      </c>
      <c r="AS2157" s="4" t="s">
        <v>11</v>
      </c>
      <c r="AT2157" s="4">
        <v>203.75</v>
      </c>
      <c r="BI2157" s="4" t="s">
        <v>321</v>
      </c>
      <c r="BP2157" s="4">
        <v>1.5</v>
      </c>
      <c r="BV2157" s="4" t="s">
        <v>1665</v>
      </c>
      <c r="BX2157" s="4">
        <v>25.9</v>
      </c>
      <c r="DS2157" s="1">
        <v>18.7702265372168</v>
      </c>
      <c r="GA2157" s="1">
        <v>17.1521035598705</v>
      </c>
    </row>
    <row r="2158" customHeight="1" spans="1:191">
      <c r="A2158" s="62">
        <v>77</v>
      </c>
      <c r="B2158" s="4" t="s">
        <v>1658</v>
      </c>
      <c r="C2158" s="5" t="s">
        <v>1659</v>
      </c>
      <c r="D2158" s="4" t="s">
        <v>300</v>
      </c>
      <c r="H2158" s="4" t="s">
        <v>328</v>
      </c>
      <c r="I2158" s="4" t="s">
        <v>1660</v>
      </c>
      <c r="N2158" s="4" t="s">
        <v>567</v>
      </c>
      <c r="O2158" s="4" t="s">
        <v>502</v>
      </c>
      <c r="Q2158" s="4" t="s">
        <v>542</v>
      </c>
      <c r="X2158" s="4">
        <v>0.811</v>
      </c>
      <c r="Y2158" s="4">
        <v>0.398</v>
      </c>
      <c r="AE2158" s="4" t="s">
        <v>1661</v>
      </c>
      <c r="AG2158" s="4" t="s">
        <v>316</v>
      </c>
      <c r="AH2158" s="4" t="s">
        <v>1662</v>
      </c>
      <c r="AI2158" s="4" t="s">
        <v>1663</v>
      </c>
      <c r="AL2158" s="4" t="s">
        <v>1664</v>
      </c>
      <c r="AM2158" s="4">
        <v>7.063</v>
      </c>
      <c r="AN2158" s="4">
        <v>38.12</v>
      </c>
      <c r="AO2158" s="4">
        <v>41.12</v>
      </c>
      <c r="AQ2158" s="4" t="s">
        <v>7</v>
      </c>
      <c r="AR2158" s="4">
        <v>133.03</v>
      </c>
      <c r="AS2158" s="4" t="s">
        <v>11</v>
      </c>
      <c r="AT2158" s="4">
        <v>295.85</v>
      </c>
      <c r="BI2158" s="4" t="s">
        <v>321</v>
      </c>
      <c r="BP2158" s="4">
        <v>0</v>
      </c>
      <c r="BV2158" s="4" t="s">
        <v>1665</v>
      </c>
      <c r="BX2158" s="4">
        <v>26</v>
      </c>
      <c r="DS2158" s="1">
        <v>82.7935222672064</v>
      </c>
      <c r="GA2158" s="1">
        <v>129.757085020242</v>
      </c>
    </row>
    <row r="2159" customHeight="1" spans="1:191">
      <c r="A2159" s="62">
        <v>77</v>
      </c>
      <c r="B2159" s="4" t="s">
        <v>1658</v>
      </c>
      <c r="C2159" s="5" t="s">
        <v>1659</v>
      </c>
      <c r="D2159" s="4" t="s">
        <v>300</v>
      </c>
      <c r="H2159" s="4" t="s">
        <v>328</v>
      </c>
      <c r="I2159" s="4" t="s">
        <v>1660</v>
      </c>
      <c r="N2159" s="4" t="s">
        <v>567</v>
      </c>
      <c r="O2159" s="4" t="s">
        <v>502</v>
      </c>
      <c r="Q2159" s="4" t="s">
        <v>542</v>
      </c>
      <c r="X2159" s="4">
        <v>0.811</v>
      </c>
      <c r="Y2159" s="4">
        <v>0.398</v>
      </c>
      <c r="AE2159" s="4" t="s">
        <v>1661</v>
      </c>
      <c r="AG2159" s="4" t="s">
        <v>316</v>
      </c>
      <c r="AH2159" s="4" t="s">
        <v>1662</v>
      </c>
      <c r="AI2159" s="4" t="s">
        <v>1663</v>
      </c>
      <c r="AL2159" s="4" t="s">
        <v>1664</v>
      </c>
      <c r="AM2159" s="4">
        <v>7.063</v>
      </c>
      <c r="AN2159" s="4">
        <v>38.12</v>
      </c>
      <c r="AO2159" s="4">
        <v>41.12</v>
      </c>
      <c r="AQ2159" s="4" t="s">
        <v>7</v>
      </c>
      <c r="AR2159" s="4">
        <v>133.03</v>
      </c>
      <c r="AS2159" s="4" t="s">
        <v>11</v>
      </c>
      <c r="AT2159" s="4">
        <v>295.85</v>
      </c>
      <c r="BI2159" s="4" t="s">
        <v>321</v>
      </c>
      <c r="BP2159" s="4">
        <v>0.5</v>
      </c>
      <c r="BV2159" s="4" t="s">
        <v>1665</v>
      </c>
      <c r="BX2159" s="4">
        <v>26</v>
      </c>
      <c r="DS2159" s="1">
        <v>47.165991902834</v>
      </c>
      <c r="GA2159" s="1">
        <v>64.9797570850202</v>
      </c>
    </row>
    <row r="2160" customHeight="1" spans="1:191">
      <c r="A2160" s="62">
        <v>77</v>
      </c>
      <c r="B2160" s="4" t="s">
        <v>1658</v>
      </c>
      <c r="C2160" s="5" t="s">
        <v>1659</v>
      </c>
      <c r="D2160" s="4" t="s">
        <v>300</v>
      </c>
      <c r="H2160" s="4" t="s">
        <v>328</v>
      </c>
      <c r="I2160" s="4" t="s">
        <v>1660</v>
      </c>
      <c r="N2160" s="4" t="s">
        <v>567</v>
      </c>
      <c r="O2160" s="4" t="s">
        <v>502</v>
      </c>
      <c r="Q2160" s="4" t="s">
        <v>542</v>
      </c>
      <c r="X2160" s="4">
        <v>0.811</v>
      </c>
      <c r="Y2160" s="4">
        <v>0.398</v>
      </c>
      <c r="AE2160" s="4" t="s">
        <v>1661</v>
      </c>
      <c r="AG2160" s="4" t="s">
        <v>316</v>
      </c>
      <c r="AH2160" s="4" t="s">
        <v>1662</v>
      </c>
      <c r="AI2160" s="4" t="s">
        <v>1663</v>
      </c>
      <c r="AL2160" s="4" t="s">
        <v>1664</v>
      </c>
      <c r="AM2160" s="4">
        <v>7.063</v>
      </c>
      <c r="AN2160" s="4">
        <v>38.12</v>
      </c>
      <c r="AO2160" s="4">
        <v>41.12</v>
      </c>
      <c r="AQ2160" s="4" t="s">
        <v>7</v>
      </c>
      <c r="AR2160" s="4">
        <v>133.03</v>
      </c>
      <c r="AS2160" s="4" t="s">
        <v>11</v>
      </c>
      <c r="AT2160" s="4">
        <v>295.85</v>
      </c>
      <c r="BI2160" s="4" t="s">
        <v>321</v>
      </c>
      <c r="BP2160" s="4">
        <v>1</v>
      </c>
      <c r="BV2160" s="4" t="s">
        <v>1665</v>
      </c>
      <c r="BX2160" s="4">
        <v>26</v>
      </c>
      <c r="DS2160" s="1">
        <v>23.6842105263158</v>
      </c>
      <c r="GA2160" s="1">
        <v>22.8744939271255</v>
      </c>
    </row>
    <row r="2161" customHeight="1" spans="1:184">
      <c r="A2161" s="62">
        <v>77</v>
      </c>
      <c r="B2161" s="4" t="s">
        <v>1658</v>
      </c>
      <c r="C2161" s="5" t="s">
        <v>1659</v>
      </c>
      <c r="D2161" s="4" t="s">
        <v>300</v>
      </c>
      <c r="H2161" s="4" t="s">
        <v>328</v>
      </c>
      <c r="I2161" s="4" t="s">
        <v>1660</v>
      </c>
      <c r="N2161" s="4" t="s">
        <v>567</v>
      </c>
      <c r="O2161" s="4" t="s">
        <v>502</v>
      </c>
      <c r="Q2161" s="4" t="s">
        <v>542</v>
      </c>
      <c r="X2161" s="4">
        <v>0.811</v>
      </c>
      <c r="Y2161" s="4">
        <v>0.398</v>
      </c>
      <c r="AE2161" s="4" t="s">
        <v>1661</v>
      </c>
      <c r="AG2161" s="4" t="s">
        <v>316</v>
      </c>
      <c r="AH2161" s="4" t="s">
        <v>1662</v>
      </c>
      <c r="AI2161" s="4" t="s">
        <v>1663</v>
      </c>
      <c r="AL2161" s="4" t="s">
        <v>1664</v>
      </c>
      <c r="AM2161" s="4">
        <v>7.063</v>
      </c>
      <c r="AN2161" s="4">
        <v>38.12</v>
      </c>
      <c r="AO2161" s="4">
        <v>41.12</v>
      </c>
      <c r="AQ2161" s="4" t="s">
        <v>7</v>
      </c>
      <c r="AR2161" s="4">
        <v>133.03</v>
      </c>
      <c r="AS2161" s="4" t="s">
        <v>11</v>
      </c>
      <c r="AT2161" s="4">
        <v>295.85</v>
      </c>
      <c r="BI2161" s="4" t="s">
        <v>321</v>
      </c>
      <c r="BP2161" s="4">
        <v>1.5</v>
      </c>
      <c r="BV2161" s="4" t="s">
        <v>1665</v>
      </c>
      <c r="BX2161" s="4">
        <v>26</v>
      </c>
      <c r="DS2161" s="1">
        <v>32.5910931174089</v>
      </c>
      <c r="GA2161" s="1">
        <v>4.251012145749</v>
      </c>
    </row>
    <row r="2162" customHeight="1" spans="1:184">
      <c r="A2162" s="62">
        <v>77</v>
      </c>
      <c r="B2162" s="4" t="s">
        <v>1658</v>
      </c>
      <c r="C2162" s="5" t="s">
        <v>1659</v>
      </c>
      <c r="D2162" s="4" t="s">
        <v>300</v>
      </c>
      <c r="H2162" s="4" t="s">
        <v>328</v>
      </c>
      <c r="I2162" s="4" t="s">
        <v>1660</v>
      </c>
      <c r="N2162" s="4" t="s">
        <v>567</v>
      </c>
      <c r="O2162" s="4" t="s">
        <v>502</v>
      </c>
      <c r="Q2162" s="4" t="s">
        <v>542</v>
      </c>
      <c r="X2162" s="4">
        <v>0.811</v>
      </c>
      <c r="Y2162" s="4">
        <v>0.398</v>
      </c>
      <c r="AE2162" s="4" t="s">
        <v>1661</v>
      </c>
      <c r="AG2162" s="4" t="s">
        <v>316</v>
      </c>
      <c r="AH2162" s="4" t="s">
        <v>1662</v>
      </c>
      <c r="AI2162" s="4" t="s">
        <v>1663</v>
      </c>
      <c r="AL2162" s="4" t="s">
        <v>1664</v>
      </c>
      <c r="AM2162" s="4">
        <v>6.709</v>
      </c>
      <c r="AN2162" s="4">
        <v>38.84</v>
      </c>
      <c r="AO2162" s="4">
        <v>44.16</v>
      </c>
      <c r="AQ2162" s="4" t="s">
        <v>7</v>
      </c>
      <c r="AR2162" s="4">
        <v>172.97</v>
      </c>
      <c r="AS2162" s="4" t="s">
        <v>11</v>
      </c>
      <c r="AT2162" s="4">
        <v>262.23</v>
      </c>
      <c r="BI2162" s="4" t="s">
        <v>321</v>
      </c>
      <c r="BP2162" s="4">
        <v>0</v>
      </c>
      <c r="BV2162" s="4" t="s">
        <v>1665</v>
      </c>
      <c r="BX2162" s="4">
        <v>24.25</v>
      </c>
      <c r="DS2162" s="1">
        <v>101.086956521739</v>
      </c>
      <c r="GA2162" s="1">
        <v>147.554347826086</v>
      </c>
    </row>
    <row r="2163" customHeight="1" spans="1:184">
      <c r="A2163" s="62">
        <v>77</v>
      </c>
      <c r="B2163" s="4" t="s">
        <v>1658</v>
      </c>
      <c r="C2163" s="5" t="s">
        <v>1659</v>
      </c>
      <c r="D2163" s="4" t="s">
        <v>300</v>
      </c>
      <c r="H2163" s="4" t="s">
        <v>328</v>
      </c>
      <c r="I2163" s="4" t="s">
        <v>1660</v>
      </c>
      <c r="N2163" s="4" t="s">
        <v>567</v>
      </c>
      <c r="O2163" s="4" t="s">
        <v>502</v>
      </c>
      <c r="Q2163" s="4" t="s">
        <v>542</v>
      </c>
      <c r="X2163" s="4">
        <v>0.811</v>
      </c>
      <c r="Y2163" s="4">
        <v>0.398</v>
      </c>
      <c r="AE2163" s="4" t="s">
        <v>1661</v>
      </c>
      <c r="AG2163" s="4" t="s">
        <v>316</v>
      </c>
      <c r="AH2163" s="4" t="s">
        <v>1662</v>
      </c>
      <c r="AI2163" s="4" t="s">
        <v>1663</v>
      </c>
      <c r="AL2163" s="4" t="s">
        <v>1664</v>
      </c>
      <c r="AM2163" s="4">
        <v>6.709</v>
      </c>
      <c r="AN2163" s="4">
        <v>38.84</v>
      </c>
      <c r="AO2163" s="4">
        <v>44.16</v>
      </c>
      <c r="AQ2163" s="4" t="s">
        <v>7</v>
      </c>
      <c r="AR2163" s="4">
        <v>172.97</v>
      </c>
      <c r="AS2163" s="4" t="s">
        <v>11</v>
      </c>
      <c r="AT2163" s="4">
        <v>262.23</v>
      </c>
      <c r="BI2163" s="4" t="s">
        <v>321</v>
      </c>
      <c r="BP2163" s="4">
        <v>0.5</v>
      </c>
      <c r="BV2163" s="4" t="s">
        <v>1665</v>
      </c>
      <c r="BX2163" s="4">
        <v>24.25</v>
      </c>
      <c r="DS2163" s="1">
        <v>26.9021739130434</v>
      </c>
      <c r="GA2163" s="1">
        <v>42.3913043478261</v>
      </c>
    </row>
    <row r="2164" customHeight="1" spans="1:184">
      <c r="A2164" s="62">
        <v>77</v>
      </c>
      <c r="B2164" s="4" t="s">
        <v>1658</v>
      </c>
      <c r="C2164" s="5" t="s">
        <v>1659</v>
      </c>
      <c r="D2164" s="4" t="s">
        <v>300</v>
      </c>
      <c r="H2164" s="4" t="s">
        <v>328</v>
      </c>
      <c r="I2164" s="4" t="s">
        <v>1660</v>
      </c>
      <c r="N2164" s="4" t="s">
        <v>567</v>
      </c>
      <c r="O2164" s="4" t="s">
        <v>502</v>
      </c>
      <c r="Q2164" s="4" t="s">
        <v>542</v>
      </c>
      <c r="X2164" s="4">
        <v>0.811</v>
      </c>
      <c r="Y2164" s="4">
        <v>0.398</v>
      </c>
      <c r="AE2164" s="4" t="s">
        <v>1661</v>
      </c>
      <c r="AG2164" s="4" t="s">
        <v>316</v>
      </c>
      <c r="AH2164" s="4" t="s">
        <v>1662</v>
      </c>
      <c r="AI2164" s="4" t="s">
        <v>1663</v>
      </c>
      <c r="AL2164" s="4" t="s">
        <v>1664</v>
      </c>
      <c r="AM2164" s="4">
        <v>6.709</v>
      </c>
      <c r="AN2164" s="4">
        <v>38.84</v>
      </c>
      <c r="AO2164" s="4">
        <v>44.16</v>
      </c>
      <c r="AQ2164" s="4" t="s">
        <v>7</v>
      </c>
      <c r="AR2164" s="4">
        <v>172.97</v>
      </c>
      <c r="AS2164" s="4" t="s">
        <v>11</v>
      </c>
      <c r="AT2164" s="4">
        <v>262.23</v>
      </c>
      <c r="BI2164" s="4" t="s">
        <v>321</v>
      </c>
      <c r="BP2164" s="4">
        <v>1</v>
      </c>
      <c r="BV2164" s="4" t="s">
        <v>1665</v>
      </c>
      <c r="BX2164" s="4">
        <v>24.25</v>
      </c>
      <c r="DS2164" s="1">
        <v>30.1630434782609</v>
      </c>
      <c r="GA2164" s="1">
        <v>22.0108695652173</v>
      </c>
    </row>
    <row r="2165" customHeight="1" spans="1:184">
      <c r="A2165" s="62">
        <v>77</v>
      </c>
      <c r="B2165" s="4" t="s">
        <v>1658</v>
      </c>
      <c r="C2165" s="5" t="s">
        <v>1659</v>
      </c>
      <c r="D2165" s="4" t="s">
        <v>300</v>
      </c>
      <c r="H2165" s="4" t="s">
        <v>328</v>
      </c>
      <c r="I2165" s="4" t="s">
        <v>1660</v>
      </c>
      <c r="N2165" s="4" t="s">
        <v>567</v>
      </c>
      <c r="O2165" s="4" t="s">
        <v>502</v>
      </c>
      <c r="Q2165" s="4" t="s">
        <v>542</v>
      </c>
      <c r="X2165" s="4">
        <v>0.811</v>
      </c>
      <c r="Y2165" s="4">
        <v>0.398</v>
      </c>
      <c r="AE2165" s="4" t="s">
        <v>1661</v>
      </c>
      <c r="AG2165" s="4" t="s">
        <v>316</v>
      </c>
      <c r="AH2165" s="4" t="s">
        <v>1662</v>
      </c>
      <c r="AI2165" s="4" t="s">
        <v>1663</v>
      </c>
      <c r="AL2165" s="4" t="s">
        <v>1664</v>
      </c>
      <c r="AM2165" s="4">
        <v>6.709</v>
      </c>
      <c r="AN2165" s="4">
        <v>38.84</v>
      </c>
      <c r="AO2165" s="4">
        <v>44.16</v>
      </c>
      <c r="AQ2165" s="4" t="s">
        <v>7</v>
      </c>
      <c r="AR2165" s="4">
        <v>172.97</v>
      </c>
      <c r="AS2165" s="4" t="s">
        <v>11</v>
      </c>
      <c r="AT2165" s="4">
        <v>262.23</v>
      </c>
      <c r="BI2165" s="4" t="s">
        <v>321</v>
      </c>
      <c r="BP2165" s="4">
        <v>1.5</v>
      </c>
      <c r="BV2165" s="4" t="s">
        <v>1665</v>
      </c>
      <c r="BX2165" s="4">
        <v>24.25</v>
      </c>
      <c r="DS2165" s="1">
        <v>32.608695652174</v>
      </c>
      <c r="GA2165" s="1">
        <v>1.22282608695666</v>
      </c>
    </row>
    <row r="2166" customHeight="1" spans="1:184">
      <c r="A2166" s="62">
        <v>78</v>
      </c>
      <c r="B2166" s="4" t="s">
        <v>1666</v>
      </c>
      <c r="C2166" s="5" t="s">
        <v>1667</v>
      </c>
      <c r="N2166" s="4" t="s">
        <v>567</v>
      </c>
      <c r="O2166" s="4" t="s">
        <v>343</v>
      </c>
      <c r="AG2166" s="4" t="s">
        <v>316</v>
      </c>
      <c r="AH2166" s="4" t="s">
        <v>543</v>
      </c>
      <c r="AI2166" s="4" t="s">
        <v>1668</v>
      </c>
      <c r="AL2166" s="4" t="s">
        <v>1669</v>
      </c>
      <c r="AQ2166" s="4" t="s">
        <v>11</v>
      </c>
      <c r="AR2166" s="4">
        <v>400</v>
      </c>
      <c r="BD2166" s="4" t="s">
        <v>1670</v>
      </c>
      <c r="BI2166" s="4" t="s">
        <v>321</v>
      </c>
      <c r="BP2166" s="4">
        <v>1</v>
      </c>
      <c r="BS2166" s="4">
        <v>7.4</v>
      </c>
      <c r="BV2166" s="4" t="s">
        <v>488</v>
      </c>
      <c r="BW2166" s="4">
        <v>25</v>
      </c>
      <c r="BX2166" s="4">
        <v>60</v>
      </c>
      <c r="FX2166" s="1">
        <v>102.643754130865</v>
      </c>
      <c r="FY2166" s="1">
        <v>102.643754130865</v>
      </c>
      <c r="FZ2166" s="1">
        <v>0.859220092531004</v>
      </c>
      <c r="GA2166" s="1">
        <v>89.4249834765366</v>
      </c>
      <c r="GB2166" s="1">
        <v>1.05750165234629</v>
      </c>
    </row>
    <row r="2167" customHeight="1" spans="1:184">
      <c r="A2167" s="62">
        <v>78</v>
      </c>
      <c r="B2167" s="4" t="s">
        <v>1666</v>
      </c>
      <c r="C2167" s="5" t="s">
        <v>1667</v>
      </c>
      <c r="N2167" s="4" t="s">
        <v>567</v>
      </c>
      <c r="O2167" s="4" t="s">
        <v>343</v>
      </c>
      <c r="AG2167" s="4" t="s">
        <v>316</v>
      </c>
      <c r="AH2167" s="4" t="s">
        <v>543</v>
      </c>
      <c r="AI2167" s="4" t="s">
        <v>1668</v>
      </c>
      <c r="AL2167" s="4" t="s">
        <v>1669</v>
      </c>
      <c r="AQ2167" s="4" t="s">
        <v>11</v>
      </c>
      <c r="AR2167" s="4">
        <v>400</v>
      </c>
      <c r="BD2167" s="4" t="s">
        <v>1670</v>
      </c>
      <c r="BI2167" s="4" t="s">
        <v>321</v>
      </c>
      <c r="BP2167" s="4">
        <v>1</v>
      </c>
      <c r="BS2167" s="4">
        <v>7.4</v>
      </c>
      <c r="BV2167" s="4" t="s">
        <v>796</v>
      </c>
      <c r="BW2167" s="4">
        <v>25</v>
      </c>
      <c r="BX2167" s="4">
        <v>60</v>
      </c>
      <c r="FX2167" s="1">
        <v>102.709847984137</v>
      </c>
      <c r="FY2167" s="1">
        <v>102.709847984137</v>
      </c>
      <c r="FZ2167" s="1">
        <v>0.925313945802998</v>
      </c>
      <c r="GA2167" s="1">
        <v>83.7409120951751</v>
      </c>
      <c r="GB2167" s="1">
        <v>1.123595505618</v>
      </c>
    </row>
    <row r="2168" customHeight="1" spans="1:184">
      <c r="A2168" s="62">
        <v>78</v>
      </c>
      <c r="B2168" s="4" t="s">
        <v>1666</v>
      </c>
      <c r="C2168" s="5" t="s">
        <v>1667</v>
      </c>
      <c r="N2168" s="4" t="s">
        <v>567</v>
      </c>
      <c r="O2168" s="4" t="s">
        <v>343</v>
      </c>
      <c r="AG2168" s="4" t="s">
        <v>316</v>
      </c>
      <c r="AH2168" s="4" t="s">
        <v>543</v>
      </c>
      <c r="AI2168" s="4" t="s">
        <v>1668</v>
      </c>
      <c r="AL2168" s="4" t="s">
        <v>1669</v>
      </c>
      <c r="AQ2168" s="4" t="s">
        <v>11</v>
      </c>
      <c r="AR2168" s="4">
        <v>400</v>
      </c>
      <c r="BD2168" s="4" t="s">
        <v>1670</v>
      </c>
      <c r="BI2168" s="4" t="s">
        <v>321</v>
      </c>
      <c r="BP2168" s="4">
        <v>1</v>
      </c>
      <c r="BS2168" s="4">
        <v>7.4</v>
      </c>
      <c r="BV2168" s="4" t="s">
        <v>1671</v>
      </c>
      <c r="BW2168" s="4">
        <v>25</v>
      </c>
      <c r="BX2168" s="4">
        <v>60</v>
      </c>
      <c r="FX2168" s="1">
        <v>102.775941837409</v>
      </c>
      <c r="FY2168" s="1">
        <v>102.775941837409</v>
      </c>
      <c r="FZ2168" s="1">
        <v>0.925313945802998</v>
      </c>
      <c r="GA2168" s="1">
        <v>83.2782551222736</v>
      </c>
      <c r="GB2168" s="1">
        <v>0.991407799074707</v>
      </c>
    </row>
    <row r="2169" customHeight="1" spans="1:184">
      <c r="A2169" s="62">
        <v>78</v>
      </c>
      <c r="B2169" s="4" t="s">
        <v>1666</v>
      </c>
      <c r="C2169" s="5" t="s">
        <v>1667</v>
      </c>
      <c r="N2169" s="4" t="s">
        <v>567</v>
      </c>
      <c r="O2169" s="4" t="s">
        <v>343</v>
      </c>
      <c r="AG2169" s="4" t="s">
        <v>316</v>
      </c>
      <c r="AH2169" s="4" t="s">
        <v>543</v>
      </c>
      <c r="AI2169" s="4" t="s">
        <v>1668</v>
      </c>
      <c r="AL2169" s="4" t="s">
        <v>1669</v>
      </c>
      <c r="AQ2169" s="4" t="s">
        <v>11</v>
      </c>
      <c r="AR2169" s="4">
        <v>400</v>
      </c>
      <c r="BD2169" s="4" t="s">
        <v>1670</v>
      </c>
      <c r="BI2169" s="4" t="s">
        <v>321</v>
      </c>
      <c r="BP2169" s="4">
        <v>3</v>
      </c>
      <c r="BS2169" s="4">
        <v>7.4</v>
      </c>
      <c r="BV2169" s="4" t="s">
        <v>488</v>
      </c>
      <c r="BW2169" s="4">
        <v>25</v>
      </c>
      <c r="BX2169" s="4">
        <v>60</v>
      </c>
      <c r="FX2169" s="1">
        <v>102.643754130865</v>
      </c>
      <c r="FY2169" s="1">
        <v>102.643754130865</v>
      </c>
      <c r="FZ2169" s="1">
        <v>0.859220092531004</v>
      </c>
      <c r="GA2169" s="1">
        <v>84.2696629213483</v>
      </c>
      <c r="GB2169" s="1">
        <v>0.925313945803097</v>
      </c>
    </row>
    <row r="2170" customHeight="1" spans="1:184">
      <c r="A2170" s="62">
        <v>78</v>
      </c>
      <c r="B2170" s="4" t="s">
        <v>1666</v>
      </c>
      <c r="C2170" s="5" t="s">
        <v>1667</v>
      </c>
      <c r="N2170" s="4" t="s">
        <v>567</v>
      </c>
      <c r="O2170" s="4" t="s">
        <v>343</v>
      </c>
      <c r="AG2170" s="4" t="s">
        <v>316</v>
      </c>
      <c r="AH2170" s="4" t="s">
        <v>543</v>
      </c>
      <c r="AI2170" s="4" t="s">
        <v>1668</v>
      </c>
      <c r="AL2170" s="4" t="s">
        <v>1669</v>
      </c>
      <c r="AQ2170" s="4" t="s">
        <v>11</v>
      </c>
      <c r="AR2170" s="4">
        <v>400</v>
      </c>
      <c r="BD2170" s="4" t="s">
        <v>1670</v>
      </c>
      <c r="BI2170" s="4" t="s">
        <v>321</v>
      </c>
      <c r="BP2170" s="4">
        <v>3</v>
      </c>
      <c r="BS2170" s="4">
        <v>7.4</v>
      </c>
      <c r="BV2170" s="4" t="s">
        <v>796</v>
      </c>
      <c r="BW2170" s="4">
        <v>25</v>
      </c>
      <c r="BX2170" s="4">
        <v>60</v>
      </c>
      <c r="FX2170" s="1">
        <v>102.709847984137</v>
      </c>
      <c r="FY2170" s="1">
        <v>102.709847984137</v>
      </c>
      <c r="FZ2170" s="1">
        <v>0.925313945802998</v>
      </c>
      <c r="GA2170" s="1">
        <v>79.9074686054196</v>
      </c>
      <c r="GB2170" s="1">
        <v>0.925313945802998</v>
      </c>
    </row>
    <row r="2171" customHeight="1" spans="1:184">
      <c r="A2171" s="62">
        <v>78</v>
      </c>
      <c r="B2171" s="4" t="s">
        <v>1666</v>
      </c>
      <c r="C2171" s="5" t="s">
        <v>1667</v>
      </c>
      <c r="N2171" s="4" t="s">
        <v>567</v>
      </c>
      <c r="O2171" s="4" t="s">
        <v>343</v>
      </c>
      <c r="AG2171" s="4" t="s">
        <v>316</v>
      </c>
      <c r="AH2171" s="4" t="s">
        <v>543</v>
      </c>
      <c r="AI2171" s="4" t="s">
        <v>1668</v>
      </c>
      <c r="AL2171" s="4" t="s">
        <v>1669</v>
      </c>
      <c r="AQ2171" s="4" t="s">
        <v>11</v>
      </c>
      <c r="AR2171" s="4">
        <v>400</v>
      </c>
      <c r="BD2171" s="4" t="s">
        <v>1670</v>
      </c>
      <c r="BI2171" s="4" t="s">
        <v>321</v>
      </c>
      <c r="BP2171" s="4">
        <v>3</v>
      </c>
      <c r="BS2171" s="4">
        <v>7.4</v>
      </c>
      <c r="BV2171" s="4" t="s">
        <v>1671</v>
      </c>
      <c r="BW2171" s="4">
        <v>25</v>
      </c>
      <c r="BX2171" s="4">
        <v>60</v>
      </c>
      <c r="FX2171" s="1">
        <v>102.775941837409</v>
      </c>
      <c r="FY2171" s="1">
        <v>102.775941837409</v>
      </c>
      <c r="FZ2171" s="1">
        <v>0.925313945802998</v>
      </c>
      <c r="GA2171" s="1">
        <v>79.4448116325181</v>
      </c>
      <c r="GB2171" s="1">
        <v>0.859220092531402</v>
      </c>
    </row>
    <row r="2172" customHeight="1" spans="1:184">
      <c r="A2172" s="62">
        <v>78</v>
      </c>
      <c r="B2172" s="4" t="s">
        <v>1666</v>
      </c>
      <c r="C2172" s="5" t="s">
        <v>1672</v>
      </c>
      <c r="K2172" s="4" t="s">
        <v>328</v>
      </c>
      <c r="L2172" s="4">
        <v>200</v>
      </c>
      <c r="N2172" s="4" t="s">
        <v>567</v>
      </c>
      <c r="O2172" s="4" t="s">
        <v>343</v>
      </c>
      <c r="AG2172" s="4" t="s">
        <v>316</v>
      </c>
      <c r="AH2172" s="4" t="s">
        <v>543</v>
      </c>
      <c r="AI2172" s="4" t="s">
        <v>1668</v>
      </c>
      <c r="AL2172" s="4" t="s">
        <v>1669</v>
      </c>
      <c r="AQ2172" s="4" t="s">
        <v>11</v>
      </c>
      <c r="AR2172" s="4">
        <v>400</v>
      </c>
      <c r="BD2172" s="4" t="s">
        <v>1670</v>
      </c>
      <c r="BI2172" s="4" t="s">
        <v>321</v>
      </c>
      <c r="BP2172" s="4">
        <v>1</v>
      </c>
      <c r="BS2172" s="4">
        <v>7.4</v>
      </c>
      <c r="BV2172" s="4" t="s">
        <v>488</v>
      </c>
      <c r="BW2172" s="4">
        <v>25</v>
      </c>
      <c r="BX2172" s="4">
        <v>60</v>
      </c>
      <c r="FX2172" s="1">
        <v>102.643754130865</v>
      </c>
      <c r="FY2172" s="1">
        <v>102.643754130865</v>
      </c>
      <c r="FZ2172" s="1">
        <v>0.859220092531004</v>
      </c>
      <c r="GA2172" s="1">
        <v>84.137475214805</v>
      </c>
      <c r="GB2172" s="1">
        <v>0.925313945803097</v>
      </c>
    </row>
    <row r="2173" customHeight="1" spans="1:184">
      <c r="A2173" s="62">
        <v>78</v>
      </c>
      <c r="B2173" s="4" t="s">
        <v>1666</v>
      </c>
      <c r="C2173" s="5" t="s">
        <v>1672</v>
      </c>
      <c r="K2173" s="4" t="s">
        <v>328</v>
      </c>
      <c r="L2173" s="4">
        <v>200</v>
      </c>
      <c r="N2173" s="4" t="s">
        <v>567</v>
      </c>
      <c r="O2173" s="4" t="s">
        <v>343</v>
      </c>
      <c r="AG2173" s="4" t="s">
        <v>316</v>
      </c>
      <c r="AH2173" s="4" t="s">
        <v>543</v>
      </c>
      <c r="AI2173" s="4" t="s">
        <v>1668</v>
      </c>
      <c r="AL2173" s="4" t="s">
        <v>1669</v>
      </c>
      <c r="AQ2173" s="4" t="s">
        <v>11</v>
      </c>
      <c r="AR2173" s="4">
        <v>400</v>
      </c>
      <c r="BD2173" s="4" t="s">
        <v>1670</v>
      </c>
      <c r="BI2173" s="4" t="s">
        <v>321</v>
      </c>
      <c r="BP2173" s="4">
        <v>1</v>
      </c>
      <c r="BS2173" s="4">
        <v>7.4</v>
      </c>
      <c r="BV2173" s="4" t="s">
        <v>796</v>
      </c>
      <c r="BW2173" s="4">
        <v>25</v>
      </c>
      <c r="BX2173" s="4">
        <v>60</v>
      </c>
      <c r="FX2173" s="1">
        <v>102.709847984137</v>
      </c>
      <c r="FY2173" s="1">
        <v>102.709847984137</v>
      </c>
      <c r="FZ2173" s="1">
        <v>0.925313945802998</v>
      </c>
      <c r="GA2173" s="1">
        <v>78.3873099801718</v>
      </c>
      <c r="GB2173" s="1">
        <v>0.925313945803012</v>
      </c>
    </row>
    <row r="2174" customHeight="1" spans="1:184">
      <c r="A2174" s="62">
        <v>78</v>
      </c>
      <c r="B2174" s="4" t="s">
        <v>1666</v>
      </c>
      <c r="C2174" s="5" t="s">
        <v>1672</v>
      </c>
      <c r="K2174" s="4" t="s">
        <v>328</v>
      </c>
      <c r="L2174" s="4">
        <v>200</v>
      </c>
      <c r="N2174" s="4" t="s">
        <v>567</v>
      </c>
      <c r="O2174" s="4" t="s">
        <v>343</v>
      </c>
      <c r="AG2174" s="4" t="s">
        <v>316</v>
      </c>
      <c r="AH2174" s="4" t="s">
        <v>543</v>
      </c>
      <c r="AI2174" s="4" t="s">
        <v>1668</v>
      </c>
      <c r="AL2174" s="4" t="s">
        <v>1669</v>
      </c>
      <c r="AQ2174" s="4" t="s">
        <v>11</v>
      </c>
      <c r="AR2174" s="4">
        <v>400</v>
      </c>
      <c r="BD2174" s="4" t="s">
        <v>1670</v>
      </c>
      <c r="BI2174" s="4" t="s">
        <v>321</v>
      </c>
      <c r="BP2174" s="4">
        <v>1</v>
      </c>
      <c r="BS2174" s="4">
        <v>7.4</v>
      </c>
      <c r="BV2174" s="4" t="s">
        <v>1671</v>
      </c>
      <c r="BW2174" s="4">
        <v>25</v>
      </c>
      <c r="BX2174" s="4">
        <v>60</v>
      </c>
      <c r="FX2174" s="1">
        <v>102.775941837409</v>
      </c>
      <c r="FY2174" s="1">
        <v>102.775941837409</v>
      </c>
      <c r="FZ2174" s="1">
        <v>0.925313945802998</v>
      </c>
      <c r="GA2174" s="1">
        <v>77.594183740912</v>
      </c>
      <c r="GB2174" s="1">
        <v>0.859220092531302</v>
      </c>
    </row>
    <row r="2175" customHeight="1" spans="1:184">
      <c r="A2175" s="62">
        <v>78</v>
      </c>
      <c r="B2175" s="4" t="s">
        <v>1666</v>
      </c>
      <c r="C2175" s="5" t="s">
        <v>1672</v>
      </c>
      <c r="K2175" s="4" t="s">
        <v>328</v>
      </c>
      <c r="L2175" s="4">
        <v>200</v>
      </c>
      <c r="N2175" s="4" t="s">
        <v>567</v>
      </c>
      <c r="O2175" s="4" t="s">
        <v>343</v>
      </c>
      <c r="AG2175" s="4" t="s">
        <v>316</v>
      </c>
      <c r="AH2175" s="4" t="s">
        <v>543</v>
      </c>
      <c r="AI2175" s="4" t="s">
        <v>1668</v>
      </c>
      <c r="AL2175" s="4" t="s">
        <v>1669</v>
      </c>
      <c r="AQ2175" s="4" t="s">
        <v>11</v>
      </c>
      <c r="AR2175" s="4">
        <v>400</v>
      </c>
      <c r="BD2175" s="4" t="s">
        <v>1670</v>
      </c>
      <c r="BI2175" s="4" t="s">
        <v>321</v>
      </c>
      <c r="BP2175" s="4">
        <v>3</v>
      </c>
      <c r="BS2175" s="4">
        <v>7.4</v>
      </c>
      <c r="BV2175" s="4" t="s">
        <v>488</v>
      </c>
      <c r="BW2175" s="4">
        <v>25</v>
      </c>
      <c r="BX2175" s="4">
        <v>60</v>
      </c>
      <c r="FX2175" s="1">
        <v>102.643754130865</v>
      </c>
      <c r="FY2175" s="1">
        <v>102.643754130865</v>
      </c>
      <c r="FZ2175" s="1">
        <v>0.859220092531004</v>
      </c>
      <c r="GA2175" s="1">
        <v>78.3212161269002</v>
      </c>
      <c r="GB2175" s="1">
        <v>0.793126239259792</v>
      </c>
    </row>
    <row r="2176" customHeight="1" spans="1:184">
      <c r="A2176" s="62">
        <v>78</v>
      </c>
      <c r="B2176" s="4" t="s">
        <v>1666</v>
      </c>
      <c r="C2176" s="5" t="s">
        <v>1672</v>
      </c>
      <c r="K2176" s="4" t="s">
        <v>328</v>
      </c>
      <c r="L2176" s="4">
        <v>200</v>
      </c>
      <c r="N2176" s="4" t="s">
        <v>567</v>
      </c>
      <c r="O2176" s="4" t="s">
        <v>343</v>
      </c>
      <c r="AG2176" s="4" t="s">
        <v>316</v>
      </c>
      <c r="AH2176" s="4" t="s">
        <v>543</v>
      </c>
      <c r="AI2176" s="4" t="s">
        <v>1668</v>
      </c>
      <c r="AL2176" s="4" t="s">
        <v>1669</v>
      </c>
      <c r="AQ2176" s="4" t="s">
        <v>11</v>
      </c>
      <c r="AR2176" s="4">
        <v>400</v>
      </c>
      <c r="BD2176" s="4" t="s">
        <v>1670</v>
      </c>
      <c r="BI2176" s="4" t="s">
        <v>321</v>
      </c>
      <c r="BP2176" s="4">
        <v>3</v>
      </c>
      <c r="BS2176" s="4">
        <v>7.4</v>
      </c>
      <c r="BV2176" s="4" t="s">
        <v>796</v>
      </c>
      <c r="BW2176" s="4">
        <v>25</v>
      </c>
      <c r="BX2176" s="4">
        <v>60</v>
      </c>
      <c r="FX2176" s="1">
        <v>102.709847984137</v>
      </c>
      <c r="FY2176" s="1">
        <v>102.709847984137</v>
      </c>
      <c r="FZ2176" s="1">
        <v>0.925313945802998</v>
      </c>
      <c r="GA2176" s="1">
        <v>74.5538664904163</v>
      </c>
      <c r="GB2176" s="1">
        <v>1.18968935888959</v>
      </c>
    </row>
    <row r="2177" customHeight="1" spans="1:184">
      <c r="A2177" s="62">
        <v>78</v>
      </c>
      <c r="B2177" s="4" t="s">
        <v>1666</v>
      </c>
      <c r="C2177" s="5" t="s">
        <v>1672</v>
      </c>
      <c r="K2177" s="4" t="s">
        <v>328</v>
      </c>
      <c r="L2177" s="4">
        <v>200</v>
      </c>
      <c r="N2177" s="4" t="s">
        <v>567</v>
      </c>
      <c r="O2177" s="4" t="s">
        <v>343</v>
      </c>
      <c r="AG2177" s="4" t="s">
        <v>316</v>
      </c>
      <c r="AH2177" s="4" t="s">
        <v>543</v>
      </c>
      <c r="AI2177" s="4" t="s">
        <v>1668</v>
      </c>
      <c r="AL2177" s="4" t="s">
        <v>1669</v>
      </c>
      <c r="AQ2177" s="4" t="s">
        <v>11</v>
      </c>
      <c r="AR2177" s="4">
        <v>400</v>
      </c>
      <c r="BD2177" s="4" t="s">
        <v>1670</v>
      </c>
      <c r="BI2177" s="4" t="s">
        <v>321</v>
      </c>
      <c r="BP2177" s="4">
        <v>3</v>
      </c>
      <c r="BS2177" s="4">
        <v>7.4</v>
      </c>
      <c r="BV2177" s="4" t="s">
        <v>1671</v>
      </c>
      <c r="BW2177" s="4">
        <v>25</v>
      </c>
      <c r="BX2177" s="4">
        <v>60</v>
      </c>
      <c r="FX2177" s="1">
        <v>102.775941837409</v>
      </c>
      <c r="FY2177" s="1">
        <v>102.775941837409</v>
      </c>
      <c r="FZ2177" s="1">
        <v>0.925313945802998</v>
      </c>
      <c r="GA2177" s="1">
        <v>73.4302709847984</v>
      </c>
      <c r="GB2177" s="1">
        <v>0.594844679444805</v>
      </c>
    </row>
    <row r="2178" customHeight="1" spans="1:184">
      <c r="A2178" s="62">
        <v>78</v>
      </c>
      <c r="B2178" s="4" t="s">
        <v>1666</v>
      </c>
      <c r="C2178" s="5" t="s">
        <v>1673</v>
      </c>
      <c r="K2178" s="4" t="s">
        <v>328</v>
      </c>
      <c r="L2178" s="4">
        <v>400</v>
      </c>
      <c r="N2178" s="4" t="s">
        <v>567</v>
      </c>
      <c r="O2178" s="4" t="s">
        <v>343</v>
      </c>
      <c r="AG2178" s="4" t="s">
        <v>316</v>
      </c>
      <c r="AH2178" s="4" t="s">
        <v>543</v>
      </c>
      <c r="AI2178" s="4" t="s">
        <v>1668</v>
      </c>
      <c r="AL2178" s="4" t="s">
        <v>1669</v>
      </c>
      <c r="AQ2178" s="4" t="s">
        <v>11</v>
      </c>
      <c r="AR2178" s="4">
        <v>400</v>
      </c>
      <c r="BD2178" s="4" t="s">
        <v>1670</v>
      </c>
      <c r="BI2178" s="4" t="s">
        <v>321</v>
      </c>
      <c r="BP2178" s="4">
        <v>1</v>
      </c>
      <c r="BS2178" s="4">
        <v>7.4</v>
      </c>
      <c r="BV2178" s="4" t="s">
        <v>488</v>
      </c>
      <c r="BW2178" s="4">
        <v>25</v>
      </c>
      <c r="BX2178" s="4">
        <v>60</v>
      </c>
      <c r="FX2178" s="1">
        <v>102.643754130865</v>
      </c>
      <c r="FY2178" s="1">
        <v>102.643754130865</v>
      </c>
      <c r="FZ2178" s="1">
        <v>0.859220092531004</v>
      </c>
      <c r="GA2178" s="1">
        <v>67.0852610707204</v>
      </c>
      <c r="GB2178" s="1">
        <v>1.18968935888961</v>
      </c>
    </row>
    <row r="2179" customHeight="1" spans="1:184">
      <c r="A2179" s="62">
        <v>78</v>
      </c>
      <c r="B2179" s="4" t="s">
        <v>1666</v>
      </c>
      <c r="C2179" s="5" t="s">
        <v>1673</v>
      </c>
      <c r="K2179" s="4" t="s">
        <v>328</v>
      </c>
      <c r="L2179" s="4">
        <v>400</v>
      </c>
      <c r="N2179" s="4" t="s">
        <v>567</v>
      </c>
      <c r="O2179" s="4" t="s">
        <v>343</v>
      </c>
      <c r="AG2179" s="4" t="s">
        <v>316</v>
      </c>
      <c r="AH2179" s="4" t="s">
        <v>543</v>
      </c>
      <c r="AI2179" s="4" t="s">
        <v>1668</v>
      </c>
      <c r="AL2179" s="4" t="s">
        <v>1669</v>
      </c>
      <c r="AQ2179" s="4" t="s">
        <v>11</v>
      </c>
      <c r="AR2179" s="4">
        <v>400</v>
      </c>
      <c r="BD2179" s="4" t="s">
        <v>1670</v>
      </c>
      <c r="BI2179" s="4" t="s">
        <v>321</v>
      </c>
      <c r="BP2179" s="4">
        <v>1</v>
      </c>
      <c r="BS2179" s="4">
        <v>7.4</v>
      </c>
      <c r="BV2179" s="4" t="s">
        <v>796</v>
      </c>
      <c r="BW2179" s="4">
        <v>25</v>
      </c>
      <c r="BX2179" s="4">
        <v>60</v>
      </c>
      <c r="FX2179" s="1">
        <v>102.709847984137</v>
      </c>
      <c r="FY2179" s="1">
        <v>102.709847984137</v>
      </c>
      <c r="FZ2179" s="1">
        <v>0.925313945802998</v>
      </c>
      <c r="GA2179" s="1">
        <v>62.7230667547918</v>
      </c>
      <c r="GB2179" s="1">
        <v>0.9914077990747</v>
      </c>
    </row>
    <row r="2180" customHeight="1" spans="1:184">
      <c r="A2180" s="62">
        <v>78</v>
      </c>
      <c r="B2180" s="4" t="s">
        <v>1666</v>
      </c>
      <c r="C2180" s="5" t="s">
        <v>1673</v>
      </c>
      <c r="K2180" s="4" t="s">
        <v>328</v>
      </c>
      <c r="L2180" s="4">
        <v>400</v>
      </c>
      <c r="N2180" s="4" t="s">
        <v>567</v>
      </c>
      <c r="O2180" s="4" t="s">
        <v>343</v>
      </c>
      <c r="AG2180" s="4" t="s">
        <v>316</v>
      </c>
      <c r="AH2180" s="4" t="s">
        <v>543</v>
      </c>
      <c r="AI2180" s="4" t="s">
        <v>1668</v>
      </c>
      <c r="AL2180" s="4" t="s">
        <v>1669</v>
      </c>
      <c r="AQ2180" s="4" t="s">
        <v>11</v>
      </c>
      <c r="AR2180" s="4">
        <v>400</v>
      </c>
      <c r="BD2180" s="4" t="s">
        <v>1670</v>
      </c>
      <c r="BI2180" s="4" t="s">
        <v>321</v>
      </c>
      <c r="BP2180" s="4">
        <v>1</v>
      </c>
      <c r="BS2180" s="4">
        <v>7.4</v>
      </c>
      <c r="BV2180" s="4" t="s">
        <v>1671</v>
      </c>
      <c r="BW2180" s="4">
        <v>25</v>
      </c>
      <c r="BX2180" s="4">
        <v>60</v>
      </c>
      <c r="FX2180" s="1">
        <v>102.775941837409</v>
      </c>
      <c r="FY2180" s="1">
        <v>102.775941837409</v>
      </c>
      <c r="FZ2180" s="1">
        <v>0.925313945802998</v>
      </c>
      <c r="GA2180" s="1">
        <v>62.1282220753469</v>
      </c>
      <c r="GB2180" s="1">
        <v>0.727032385988096</v>
      </c>
    </row>
    <row r="2181" customHeight="1" spans="1:184">
      <c r="A2181" s="62">
        <v>78</v>
      </c>
      <c r="B2181" s="4" t="s">
        <v>1666</v>
      </c>
      <c r="C2181" s="5" t="s">
        <v>1673</v>
      </c>
      <c r="K2181" s="4" t="s">
        <v>328</v>
      </c>
      <c r="L2181" s="4">
        <v>400</v>
      </c>
      <c r="N2181" s="4" t="s">
        <v>567</v>
      </c>
      <c r="O2181" s="4" t="s">
        <v>343</v>
      </c>
      <c r="AG2181" s="4" t="s">
        <v>316</v>
      </c>
      <c r="AH2181" s="4" t="s">
        <v>543</v>
      </c>
      <c r="AI2181" s="4" t="s">
        <v>1668</v>
      </c>
      <c r="AL2181" s="4" t="s">
        <v>1669</v>
      </c>
      <c r="AQ2181" s="4" t="s">
        <v>11</v>
      </c>
      <c r="AR2181" s="4">
        <v>400</v>
      </c>
      <c r="BD2181" s="4" t="s">
        <v>1670</v>
      </c>
      <c r="BI2181" s="4" t="s">
        <v>321</v>
      </c>
      <c r="BP2181" s="4">
        <v>3</v>
      </c>
      <c r="BS2181" s="4">
        <v>7.4</v>
      </c>
      <c r="BV2181" s="4" t="s">
        <v>488</v>
      </c>
      <c r="BW2181" s="4">
        <v>25</v>
      </c>
      <c r="BX2181" s="4">
        <v>60</v>
      </c>
      <c r="FX2181" s="1">
        <v>102.643754130865</v>
      </c>
      <c r="FY2181" s="1">
        <v>102.643754130865</v>
      </c>
      <c r="FZ2181" s="1">
        <v>0.859220092531004</v>
      </c>
      <c r="GA2181" s="1">
        <v>61.3350958360872</v>
      </c>
      <c r="GB2181" s="1">
        <v>0.793126239259699</v>
      </c>
    </row>
    <row r="2182" customHeight="1" spans="1:184">
      <c r="A2182" s="62">
        <v>78</v>
      </c>
      <c r="B2182" s="4" t="s">
        <v>1666</v>
      </c>
      <c r="C2182" s="5" t="s">
        <v>1673</v>
      </c>
      <c r="K2182" s="4" t="s">
        <v>328</v>
      </c>
      <c r="L2182" s="4">
        <v>400</v>
      </c>
      <c r="N2182" s="4" t="s">
        <v>567</v>
      </c>
      <c r="O2182" s="4" t="s">
        <v>343</v>
      </c>
      <c r="AG2182" s="4" t="s">
        <v>316</v>
      </c>
      <c r="AH2182" s="4" t="s">
        <v>543</v>
      </c>
      <c r="AI2182" s="4" t="s">
        <v>1668</v>
      </c>
      <c r="AL2182" s="4" t="s">
        <v>1669</v>
      </c>
      <c r="AQ2182" s="4" t="s">
        <v>11</v>
      </c>
      <c r="AR2182" s="4">
        <v>400</v>
      </c>
      <c r="BD2182" s="4" t="s">
        <v>1670</v>
      </c>
      <c r="BI2182" s="4" t="s">
        <v>321</v>
      </c>
      <c r="BP2182" s="4">
        <v>3</v>
      </c>
      <c r="BS2182" s="4">
        <v>7.4</v>
      </c>
      <c r="BV2182" s="4" t="s">
        <v>796</v>
      </c>
      <c r="BW2182" s="4">
        <v>25</v>
      </c>
      <c r="BX2182" s="4">
        <v>60</v>
      </c>
      <c r="FX2182" s="1">
        <v>102.709847984137</v>
      </c>
      <c r="FY2182" s="1">
        <v>102.709847984137</v>
      </c>
      <c r="FZ2182" s="1">
        <v>0.925313945802998</v>
      </c>
      <c r="GA2182" s="1">
        <v>52.1480502313284</v>
      </c>
      <c r="GB2182" s="1">
        <v>1.0575016523463</v>
      </c>
    </row>
    <row r="2183" customHeight="1" spans="1:184">
      <c r="A2183" s="62">
        <v>78</v>
      </c>
      <c r="B2183" s="4" t="s">
        <v>1666</v>
      </c>
      <c r="C2183" s="5" t="s">
        <v>1673</v>
      </c>
      <c r="K2183" s="4" t="s">
        <v>328</v>
      </c>
      <c r="L2183" s="4">
        <v>400</v>
      </c>
      <c r="N2183" s="4" t="s">
        <v>567</v>
      </c>
      <c r="O2183" s="4" t="s">
        <v>343</v>
      </c>
      <c r="AG2183" s="4" t="s">
        <v>316</v>
      </c>
      <c r="AH2183" s="4" t="s">
        <v>543</v>
      </c>
      <c r="AI2183" s="4" t="s">
        <v>1668</v>
      </c>
      <c r="AL2183" s="4" t="s">
        <v>1669</v>
      </c>
      <c r="AQ2183" s="4" t="s">
        <v>11</v>
      </c>
      <c r="AR2183" s="4">
        <v>400</v>
      </c>
      <c r="BD2183" s="4" t="s">
        <v>1670</v>
      </c>
      <c r="BI2183" s="4" t="s">
        <v>321</v>
      </c>
      <c r="BP2183" s="4">
        <v>3</v>
      </c>
      <c r="BS2183" s="4">
        <v>7.4</v>
      </c>
      <c r="BV2183" s="4" t="s">
        <v>1671</v>
      </c>
      <c r="BW2183" s="4">
        <v>25</v>
      </c>
      <c r="BX2183" s="4">
        <v>60</v>
      </c>
      <c r="FX2183" s="1">
        <v>102.775941837409</v>
      </c>
      <c r="FY2183" s="1">
        <v>102.775941837409</v>
      </c>
      <c r="FZ2183" s="1">
        <v>0.925313945802998</v>
      </c>
      <c r="GA2183" s="1">
        <v>50.9583608724388</v>
      </c>
      <c r="GB2183" s="1">
        <v>1.1896893588896</v>
      </c>
    </row>
    <row r="2184" customHeight="1" spans="1:184">
      <c r="A2184" s="62">
        <v>78</v>
      </c>
      <c r="B2184" s="4" t="s">
        <v>1666</v>
      </c>
      <c r="C2184" s="5" t="s">
        <v>1674</v>
      </c>
      <c r="K2184" s="4" t="s">
        <v>328</v>
      </c>
      <c r="L2184" s="4">
        <v>400</v>
      </c>
      <c r="N2184" s="4" t="s">
        <v>567</v>
      </c>
      <c r="O2184" s="4" t="s">
        <v>343</v>
      </c>
      <c r="AG2184" s="4" t="s">
        <v>316</v>
      </c>
      <c r="AH2184" s="4" t="s">
        <v>543</v>
      </c>
      <c r="AI2184" s="4" t="s">
        <v>1668</v>
      </c>
      <c r="AL2184" s="4" t="s">
        <v>1669</v>
      </c>
      <c r="AQ2184" s="4" t="s">
        <v>11</v>
      </c>
      <c r="AR2184" s="4">
        <v>400</v>
      </c>
      <c r="BD2184" s="4" t="s">
        <v>1670</v>
      </c>
      <c r="BI2184" s="4" t="s">
        <v>321</v>
      </c>
      <c r="BP2184" s="4">
        <v>1</v>
      </c>
      <c r="BS2184" s="4">
        <v>7.4</v>
      </c>
      <c r="BV2184" s="4" t="s">
        <v>488</v>
      </c>
      <c r="BW2184" s="4">
        <v>25</v>
      </c>
      <c r="BX2184" s="4">
        <v>60</v>
      </c>
      <c r="FX2184" s="1">
        <v>102.643754130865</v>
      </c>
      <c r="FY2184" s="1">
        <v>102.643754130865</v>
      </c>
      <c r="FZ2184" s="1">
        <v>0.859220092531004</v>
      </c>
      <c r="GA2184" s="1">
        <v>56.1136814276272</v>
      </c>
      <c r="GB2184" s="1">
        <v>0.9914077990747</v>
      </c>
    </row>
    <row r="2185" customHeight="1" spans="1:184">
      <c r="A2185" s="62">
        <v>78</v>
      </c>
      <c r="B2185" s="4" t="s">
        <v>1666</v>
      </c>
      <c r="C2185" s="5" t="s">
        <v>1674</v>
      </c>
      <c r="K2185" s="4" t="s">
        <v>328</v>
      </c>
      <c r="L2185" s="4">
        <v>400</v>
      </c>
      <c r="N2185" s="4" t="s">
        <v>567</v>
      </c>
      <c r="O2185" s="4" t="s">
        <v>343</v>
      </c>
      <c r="AG2185" s="4" t="s">
        <v>316</v>
      </c>
      <c r="AH2185" s="4" t="s">
        <v>543</v>
      </c>
      <c r="AI2185" s="4" t="s">
        <v>1668</v>
      </c>
      <c r="AL2185" s="4" t="s">
        <v>1669</v>
      </c>
      <c r="AQ2185" s="4" t="s">
        <v>11</v>
      </c>
      <c r="AR2185" s="4">
        <v>400</v>
      </c>
      <c r="BD2185" s="4" t="s">
        <v>1670</v>
      </c>
      <c r="BI2185" s="4" t="s">
        <v>321</v>
      </c>
      <c r="BP2185" s="4">
        <v>1</v>
      </c>
      <c r="BS2185" s="4">
        <v>7.4</v>
      </c>
      <c r="BV2185" s="4" t="s">
        <v>796</v>
      </c>
      <c r="BW2185" s="4">
        <v>25</v>
      </c>
      <c r="BX2185" s="4">
        <v>60</v>
      </c>
      <c r="FX2185" s="1">
        <v>102.709847984137</v>
      </c>
      <c r="FY2185" s="1">
        <v>102.709847984137</v>
      </c>
      <c r="FZ2185" s="1">
        <v>0.925313945802998</v>
      </c>
      <c r="GA2185" s="1">
        <v>47.7858559153998</v>
      </c>
      <c r="GB2185" s="1">
        <v>1.2557832121612</v>
      </c>
    </row>
    <row r="2186" customHeight="1" spans="1:184">
      <c r="A2186" s="62">
        <v>78</v>
      </c>
      <c r="B2186" s="4" t="s">
        <v>1666</v>
      </c>
      <c r="C2186" s="5" t="s">
        <v>1674</v>
      </c>
      <c r="K2186" s="4" t="s">
        <v>328</v>
      </c>
      <c r="L2186" s="4">
        <v>400</v>
      </c>
      <c r="N2186" s="4" t="s">
        <v>567</v>
      </c>
      <c r="O2186" s="4" t="s">
        <v>343</v>
      </c>
      <c r="AG2186" s="4" t="s">
        <v>316</v>
      </c>
      <c r="AH2186" s="4" t="s">
        <v>543</v>
      </c>
      <c r="AI2186" s="4" t="s">
        <v>1668</v>
      </c>
      <c r="AL2186" s="4" t="s">
        <v>1669</v>
      </c>
      <c r="AQ2186" s="4" t="s">
        <v>11</v>
      </c>
      <c r="AR2186" s="4">
        <v>400</v>
      </c>
      <c r="BD2186" s="4" t="s">
        <v>1670</v>
      </c>
      <c r="BI2186" s="4" t="s">
        <v>321</v>
      </c>
      <c r="BP2186" s="4">
        <v>1</v>
      </c>
      <c r="BS2186" s="4">
        <v>7.4</v>
      </c>
      <c r="BV2186" s="4" t="s">
        <v>1671</v>
      </c>
      <c r="BW2186" s="4">
        <v>25</v>
      </c>
      <c r="BX2186" s="4">
        <v>60</v>
      </c>
      <c r="FX2186" s="1">
        <v>102.775941837409</v>
      </c>
      <c r="FY2186" s="1">
        <v>102.775941837409</v>
      </c>
      <c r="FZ2186" s="1">
        <v>0.925313945802998</v>
      </c>
      <c r="GA2186" s="1">
        <v>47.38929279577</v>
      </c>
      <c r="GB2186" s="1">
        <v>1.3879709187046</v>
      </c>
    </row>
    <row r="2187" customHeight="1" spans="1:184">
      <c r="A2187" s="62">
        <v>78</v>
      </c>
      <c r="B2187" s="4" t="s">
        <v>1666</v>
      </c>
      <c r="C2187" s="5" t="s">
        <v>1674</v>
      </c>
      <c r="K2187" s="4" t="s">
        <v>328</v>
      </c>
      <c r="L2187" s="4">
        <v>400</v>
      </c>
      <c r="N2187" s="4" t="s">
        <v>567</v>
      </c>
      <c r="O2187" s="4" t="s">
        <v>343</v>
      </c>
      <c r="AG2187" s="4" t="s">
        <v>316</v>
      </c>
      <c r="AH2187" s="4" t="s">
        <v>543</v>
      </c>
      <c r="AI2187" s="4" t="s">
        <v>1668</v>
      </c>
      <c r="AL2187" s="4" t="s">
        <v>1669</v>
      </c>
      <c r="AQ2187" s="4" t="s">
        <v>11</v>
      </c>
      <c r="AR2187" s="4">
        <v>400</v>
      </c>
      <c r="BD2187" s="4" t="s">
        <v>1670</v>
      </c>
      <c r="BI2187" s="4" t="s">
        <v>321</v>
      </c>
      <c r="BP2187" s="4">
        <v>3</v>
      </c>
      <c r="BS2187" s="4">
        <v>7.4</v>
      </c>
      <c r="BV2187" s="4" t="s">
        <v>488</v>
      </c>
      <c r="BW2187" s="4">
        <v>25</v>
      </c>
      <c r="BX2187" s="4">
        <v>60</v>
      </c>
      <c r="FX2187" s="1">
        <v>102.643754130865</v>
      </c>
      <c r="FY2187" s="1">
        <v>102.643754130865</v>
      </c>
      <c r="FZ2187" s="1">
        <v>0.859220092531004</v>
      </c>
      <c r="GA2187" s="1">
        <v>41.8374091209517</v>
      </c>
      <c r="GB2187" s="1">
        <v>1.4540647719762</v>
      </c>
    </row>
    <row r="2188" customHeight="1" spans="1:184">
      <c r="A2188" s="62">
        <v>78</v>
      </c>
      <c r="B2188" s="4" t="s">
        <v>1666</v>
      </c>
      <c r="C2188" s="5" t="s">
        <v>1674</v>
      </c>
      <c r="K2188" s="4" t="s">
        <v>328</v>
      </c>
      <c r="L2188" s="4">
        <v>400</v>
      </c>
      <c r="N2188" s="4" t="s">
        <v>567</v>
      </c>
      <c r="O2188" s="4" t="s">
        <v>343</v>
      </c>
      <c r="AG2188" s="4" t="s">
        <v>316</v>
      </c>
      <c r="AH2188" s="4" t="s">
        <v>543</v>
      </c>
      <c r="AI2188" s="4" t="s">
        <v>1668</v>
      </c>
      <c r="AL2188" s="4" t="s">
        <v>1669</v>
      </c>
      <c r="AQ2188" s="4" t="s">
        <v>11</v>
      </c>
      <c r="AR2188" s="4">
        <v>400</v>
      </c>
      <c r="BD2188" s="4" t="s">
        <v>1670</v>
      </c>
      <c r="BI2188" s="4" t="s">
        <v>321</v>
      </c>
      <c r="BP2188" s="4">
        <v>3</v>
      </c>
      <c r="BS2188" s="4">
        <v>7.4</v>
      </c>
      <c r="BV2188" s="4" t="s">
        <v>796</v>
      </c>
      <c r="BW2188" s="4">
        <v>25</v>
      </c>
      <c r="BX2188" s="4">
        <v>60</v>
      </c>
      <c r="FX2188" s="1">
        <v>102.709847984137</v>
      </c>
      <c r="FY2188" s="1">
        <v>102.709847984137</v>
      </c>
      <c r="FZ2188" s="1">
        <v>0.925313945802998</v>
      </c>
      <c r="GA2188" s="1">
        <v>34.8314606741573</v>
      </c>
      <c r="GB2188" s="1">
        <v>0.925313945803097</v>
      </c>
    </row>
    <row r="2189" customHeight="1" spans="1:184">
      <c r="A2189" s="62">
        <v>78</v>
      </c>
      <c r="B2189" s="4" t="s">
        <v>1666</v>
      </c>
      <c r="C2189" s="5" t="s">
        <v>1674</v>
      </c>
      <c r="K2189" s="4" t="s">
        <v>328</v>
      </c>
      <c r="L2189" s="4">
        <v>400</v>
      </c>
      <c r="N2189" s="4" t="s">
        <v>567</v>
      </c>
      <c r="O2189" s="4" t="s">
        <v>343</v>
      </c>
      <c r="AG2189" s="4" t="s">
        <v>316</v>
      </c>
      <c r="AH2189" s="4" t="s">
        <v>543</v>
      </c>
      <c r="AI2189" s="4" t="s">
        <v>1668</v>
      </c>
      <c r="AL2189" s="4" t="s">
        <v>1669</v>
      </c>
      <c r="AQ2189" s="4" t="s">
        <v>11</v>
      </c>
      <c r="AR2189" s="4">
        <v>400</v>
      </c>
      <c r="BD2189" s="4" t="s">
        <v>1670</v>
      </c>
      <c r="BI2189" s="4" t="s">
        <v>321</v>
      </c>
      <c r="BP2189" s="4">
        <v>3</v>
      </c>
      <c r="BS2189" s="4">
        <v>7.4</v>
      </c>
      <c r="BV2189" s="4" t="s">
        <v>1671</v>
      </c>
      <c r="BW2189" s="4">
        <v>25</v>
      </c>
      <c r="BX2189" s="4">
        <v>60</v>
      </c>
      <c r="FX2189" s="1">
        <v>102.775941837409</v>
      </c>
      <c r="FY2189" s="1">
        <v>102.775941837409</v>
      </c>
      <c r="FZ2189" s="1">
        <v>0.925313945802998</v>
      </c>
      <c r="GA2189" s="1">
        <v>34.4348975545274</v>
      </c>
      <c r="GB2189" s="1">
        <v>1.3218770654329</v>
      </c>
    </row>
    <row r="2190" customHeight="1" spans="1:184">
      <c r="A2190" s="62">
        <v>78</v>
      </c>
      <c r="B2190" s="4" t="s">
        <v>1666</v>
      </c>
      <c r="C2190" s="5" t="s">
        <v>1675</v>
      </c>
      <c r="K2190" s="4" t="s">
        <v>328</v>
      </c>
      <c r="L2190" s="4">
        <v>400</v>
      </c>
      <c r="N2190" s="4" t="s">
        <v>567</v>
      </c>
      <c r="O2190" s="4" t="s">
        <v>343</v>
      </c>
      <c r="AG2190" s="4" t="s">
        <v>316</v>
      </c>
      <c r="AH2190" s="4" t="s">
        <v>543</v>
      </c>
      <c r="AI2190" s="4" t="s">
        <v>1668</v>
      </c>
      <c r="AL2190" s="4" t="s">
        <v>1669</v>
      </c>
      <c r="AQ2190" s="4" t="s">
        <v>11</v>
      </c>
      <c r="AR2190" s="4">
        <v>400</v>
      </c>
      <c r="BD2190" s="4" t="s">
        <v>1670</v>
      </c>
      <c r="BI2190" s="4" t="s">
        <v>321</v>
      </c>
      <c r="BP2190" s="4">
        <v>1</v>
      </c>
      <c r="BS2190" s="4">
        <v>7.4</v>
      </c>
      <c r="BV2190" s="4" t="s">
        <v>488</v>
      </c>
      <c r="BW2190" s="4">
        <v>25</v>
      </c>
      <c r="BX2190" s="4">
        <v>60</v>
      </c>
      <c r="FX2190" s="1">
        <v>102.643754130865</v>
      </c>
      <c r="FY2190" s="1">
        <v>102.643754130865</v>
      </c>
      <c r="FZ2190" s="1">
        <v>0.859220092531004</v>
      </c>
      <c r="GA2190" s="1">
        <v>65.102445472571</v>
      </c>
      <c r="GB2190" s="1">
        <v>1.0575016523463</v>
      </c>
    </row>
    <row r="2191" customHeight="1" spans="1:184">
      <c r="A2191" s="62">
        <v>78</v>
      </c>
      <c r="B2191" s="4" t="s">
        <v>1666</v>
      </c>
      <c r="C2191" s="5" t="s">
        <v>1675</v>
      </c>
      <c r="K2191" s="4" t="s">
        <v>328</v>
      </c>
      <c r="L2191" s="4">
        <v>800</v>
      </c>
      <c r="N2191" s="4" t="s">
        <v>567</v>
      </c>
      <c r="O2191" s="4" t="s">
        <v>343</v>
      </c>
      <c r="AG2191" s="4" t="s">
        <v>316</v>
      </c>
      <c r="AH2191" s="4" t="s">
        <v>543</v>
      </c>
      <c r="AI2191" s="4" t="s">
        <v>1668</v>
      </c>
      <c r="AL2191" s="4" t="s">
        <v>1669</v>
      </c>
      <c r="AQ2191" s="4" t="s">
        <v>11</v>
      </c>
      <c r="AR2191" s="4">
        <v>400</v>
      </c>
      <c r="BD2191" s="4" t="s">
        <v>1670</v>
      </c>
      <c r="BI2191" s="4" t="s">
        <v>321</v>
      </c>
      <c r="BP2191" s="4">
        <v>1</v>
      </c>
      <c r="BS2191" s="4">
        <v>7.4</v>
      </c>
      <c r="BV2191" s="4" t="s">
        <v>796</v>
      </c>
      <c r="BW2191" s="4">
        <v>25</v>
      </c>
      <c r="BX2191" s="4">
        <v>60</v>
      </c>
      <c r="FX2191" s="1">
        <v>102.709847984137</v>
      </c>
      <c r="FY2191" s="1">
        <v>102.709847984137</v>
      </c>
      <c r="FZ2191" s="1">
        <v>0.925313945802998</v>
      </c>
      <c r="GA2191" s="1">
        <v>57.633840052875</v>
      </c>
      <c r="GB2191" s="1">
        <v>1.3218770654329</v>
      </c>
    </row>
    <row r="2192" customHeight="1" spans="1:184">
      <c r="A2192" s="62">
        <v>78</v>
      </c>
      <c r="B2192" s="4" t="s">
        <v>1666</v>
      </c>
      <c r="C2192" s="5" t="s">
        <v>1675</v>
      </c>
      <c r="K2192" s="4" t="s">
        <v>328</v>
      </c>
      <c r="L2192" s="4">
        <v>800</v>
      </c>
      <c r="N2192" s="4" t="s">
        <v>567</v>
      </c>
      <c r="O2192" s="4" t="s">
        <v>343</v>
      </c>
      <c r="AG2192" s="4" t="s">
        <v>316</v>
      </c>
      <c r="AH2192" s="4" t="s">
        <v>543</v>
      </c>
      <c r="AI2192" s="4" t="s">
        <v>1668</v>
      </c>
      <c r="AL2192" s="4" t="s">
        <v>1669</v>
      </c>
      <c r="AQ2192" s="4" t="s">
        <v>11</v>
      </c>
      <c r="AR2192" s="4">
        <v>400</v>
      </c>
      <c r="BD2192" s="4" t="s">
        <v>1670</v>
      </c>
      <c r="BI2192" s="4" t="s">
        <v>321</v>
      </c>
      <c r="BP2192" s="4">
        <v>1</v>
      </c>
      <c r="BS2192" s="4">
        <v>7.4</v>
      </c>
      <c r="BV2192" s="4" t="s">
        <v>1671</v>
      </c>
      <c r="BW2192" s="4">
        <v>25</v>
      </c>
      <c r="BX2192" s="4">
        <v>60</v>
      </c>
      <c r="FX2192" s="1">
        <v>102.775941837409</v>
      </c>
      <c r="FY2192" s="1">
        <v>102.775941837409</v>
      </c>
      <c r="FZ2192" s="1">
        <v>0.925313945802998</v>
      </c>
      <c r="GA2192" s="1">
        <v>57.0389953734302</v>
      </c>
      <c r="GB2192" s="1">
        <v>1.3879709187045</v>
      </c>
    </row>
    <row r="2193" customHeight="1" spans="1:184">
      <c r="A2193" s="62">
        <v>78</v>
      </c>
      <c r="B2193" s="4" t="s">
        <v>1666</v>
      </c>
      <c r="C2193" s="5" t="s">
        <v>1675</v>
      </c>
      <c r="K2193" s="4" t="s">
        <v>328</v>
      </c>
      <c r="L2193" s="4">
        <v>800</v>
      </c>
      <c r="N2193" s="4" t="s">
        <v>567</v>
      </c>
      <c r="O2193" s="4" t="s">
        <v>343</v>
      </c>
      <c r="AG2193" s="4" t="s">
        <v>316</v>
      </c>
      <c r="AH2193" s="4" t="s">
        <v>543</v>
      </c>
      <c r="AI2193" s="4" t="s">
        <v>1668</v>
      </c>
      <c r="AL2193" s="4" t="s">
        <v>1669</v>
      </c>
      <c r="AQ2193" s="4" t="s">
        <v>11</v>
      </c>
      <c r="AR2193" s="4">
        <v>400</v>
      </c>
      <c r="BD2193" s="4" t="s">
        <v>1670</v>
      </c>
      <c r="BI2193" s="4" t="s">
        <v>321</v>
      </c>
      <c r="BP2193" s="4">
        <v>3</v>
      </c>
      <c r="BS2193" s="4">
        <v>7.4</v>
      </c>
      <c r="BV2193" s="4" t="s">
        <v>488</v>
      </c>
      <c r="BW2193" s="4">
        <v>25</v>
      </c>
      <c r="BX2193" s="4">
        <v>60</v>
      </c>
      <c r="FX2193" s="1">
        <v>102.643754130865</v>
      </c>
      <c r="FY2193" s="1">
        <v>102.643754130865</v>
      </c>
      <c r="FZ2193" s="1">
        <v>0.859220092531004</v>
      </c>
      <c r="GA2193" s="1">
        <v>58.757435558493</v>
      </c>
      <c r="GB2193" s="1">
        <v>0.727032385988004</v>
      </c>
    </row>
    <row r="2194" customHeight="1" spans="1:184">
      <c r="A2194" s="62">
        <v>78</v>
      </c>
      <c r="B2194" s="4" t="s">
        <v>1666</v>
      </c>
      <c r="C2194" s="5" t="s">
        <v>1675</v>
      </c>
      <c r="K2194" s="4" t="s">
        <v>328</v>
      </c>
      <c r="L2194" s="4">
        <v>800</v>
      </c>
      <c r="N2194" s="4" t="s">
        <v>567</v>
      </c>
      <c r="O2194" s="4" t="s">
        <v>343</v>
      </c>
      <c r="AG2194" s="4" t="s">
        <v>316</v>
      </c>
      <c r="AH2194" s="4" t="s">
        <v>543</v>
      </c>
      <c r="AI2194" s="4" t="s">
        <v>1668</v>
      </c>
      <c r="AL2194" s="4" t="s">
        <v>1669</v>
      </c>
      <c r="AQ2194" s="4" t="s">
        <v>11</v>
      </c>
      <c r="AR2194" s="4">
        <v>400</v>
      </c>
      <c r="BD2194" s="4" t="s">
        <v>1670</v>
      </c>
      <c r="BI2194" s="4" t="s">
        <v>321</v>
      </c>
      <c r="BP2194" s="4">
        <v>3</v>
      </c>
      <c r="BS2194" s="4">
        <v>7.4</v>
      </c>
      <c r="BV2194" s="4" t="s">
        <v>796</v>
      </c>
      <c r="BW2194" s="4">
        <v>25</v>
      </c>
      <c r="BX2194" s="4">
        <v>60</v>
      </c>
      <c r="FX2194" s="1">
        <v>102.709847984137</v>
      </c>
      <c r="FY2194" s="1">
        <v>102.709847984137</v>
      </c>
      <c r="FZ2194" s="1">
        <v>0.925313945802998</v>
      </c>
      <c r="GA2194" s="1">
        <v>47.9180436219431</v>
      </c>
      <c r="GB2194" s="1">
        <v>1.3218770654329</v>
      </c>
    </row>
    <row r="2195" customHeight="1" spans="1:184">
      <c r="A2195" s="62">
        <v>78</v>
      </c>
      <c r="B2195" s="4" t="s">
        <v>1666</v>
      </c>
      <c r="C2195" s="5" t="s">
        <v>1675</v>
      </c>
      <c r="K2195" s="4" t="s">
        <v>328</v>
      </c>
      <c r="L2195" s="4">
        <v>800</v>
      </c>
      <c r="N2195" s="4" t="s">
        <v>567</v>
      </c>
      <c r="O2195" s="4" t="s">
        <v>343</v>
      </c>
      <c r="AG2195" s="4" t="s">
        <v>316</v>
      </c>
      <c r="AH2195" s="4" t="s">
        <v>543</v>
      </c>
      <c r="AI2195" s="4" t="s">
        <v>1668</v>
      </c>
      <c r="AL2195" s="4" t="s">
        <v>1669</v>
      </c>
      <c r="AQ2195" s="4" t="s">
        <v>11</v>
      </c>
      <c r="AR2195" s="4">
        <v>400</v>
      </c>
      <c r="BD2195" s="4" t="s">
        <v>1670</v>
      </c>
      <c r="BI2195" s="4" t="s">
        <v>321</v>
      </c>
      <c r="BP2195" s="4">
        <v>3</v>
      </c>
      <c r="BS2195" s="4">
        <v>7.4</v>
      </c>
      <c r="BV2195" s="4" t="s">
        <v>1671</v>
      </c>
      <c r="BW2195" s="4">
        <v>25</v>
      </c>
      <c r="BX2195" s="4">
        <v>60</v>
      </c>
      <c r="FX2195" s="1">
        <v>102.775941837409</v>
      </c>
      <c r="FY2195" s="1">
        <v>102.775941837409</v>
      </c>
      <c r="FZ2195" s="1">
        <v>0.925313945802998</v>
      </c>
      <c r="GA2195" s="1">
        <v>47.38929279577</v>
      </c>
      <c r="GB2195" s="1">
        <v>1.123595505618</v>
      </c>
    </row>
    <row r="2196" customHeight="1" spans="1:184">
      <c r="A2196" s="3">
        <v>79</v>
      </c>
      <c r="B2196" s="4" t="s">
        <v>1676</v>
      </c>
      <c r="C2196" s="5" t="s">
        <v>1677</v>
      </c>
      <c r="D2196" s="4" t="s">
        <v>300</v>
      </c>
      <c r="H2196" s="4" t="s">
        <v>328</v>
      </c>
      <c r="I2196" s="4" t="s">
        <v>1678</v>
      </c>
      <c r="N2196" s="4" t="s">
        <v>567</v>
      </c>
      <c r="O2196" s="4" t="s">
        <v>502</v>
      </c>
      <c r="AG2196" s="4" t="s">
        <v>1679</v>
      </c>
      <c r="AH2196" s="4" t="s">
        <v>1680</v>
      </c>
      <c r="AI2196" s="4" t="s">
        <v>1335</v>
      </c>
      <c r="AL2196" s="4" t="s">
        <v>1681</v>
      </c>
      <c r="AM2196" s="4">
        <v>6.3</v>
      </c>
      <c r="AN2196" s="4">
        <v>7.12</v>
      </c>
      <c r="AQ2196" s="4" t="s">
        <v>424</v>
      </c>
      <c r="AR2196" s="4">
        <v>112.523</v>
      </c>
      <c r="AS2196" s="4" t="s">
        <v>11</v>
      </c>
      <c r="AT2196" s="4">
        <v>26.022</v>
      </c>
      <c r="AU2196" s="4" t="s">
        <v>12</v>
      </c>
      <c r="AV2196" s="4">
        <v>40.653</v>
      </c>
      <c r="AW2196" s="4" t="s">
        <v>14</v>
      </c>
      <c r="AX2196" s="4">
        <v>74.454</v>
      </c>
      <c r="BF2196" s="4" t="s">
        <v>328</v>
      </c>
      <c r="BI2196" s="4" t="s">
        <v>321</v>
      </c>
      <c r="BP2196" s="4">
        <v>5</v>
      </c>
      <c r="BV2196" s="4" t="s">
        <v>1682</v>
      </c>
      <c r="FI2196" s="1">
        <v>0.493657</v>
      </c>
      <c r="FJ2196" s="1">
        <v>0.493657</v>
      </c>
      <c r="FL2196" s="1">
        <v>14.534</v>
      </c>
      <c r="FR2196" s="1">
        <v>0</v>
      </c>
      <c r="FT2196" s="1">
        <v>97.06</v>
      </c>
      <c r="FW2196" s="1">
        <v>97.06</v>
      </c>
    </row>
  </sheetData>
  <mergeCells count="3">
    <mergeCell ref="N1:AA1"/>
    <mergeCell ref="CX1:DA1"/>
    <mergeCell ref="DB1:DL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zoomScale="115" zoomScaleNormal="115" workbookViewId="0">
      <selection activeCell="B19" sqref="B19"/>
    </sheetView>
  </sheetViews>
  <sheetFormatPr defaultColWidth="8.725" defaultRowHeight="13.5" outlineLevelCol="1"/>
  <sheetData>
    <row r="1" spans="1:2">
      <c r="A1">
        <v>66</v>
      </c>
      <c r="B1" t="s">
        <v>1683</v>
      </c>
    </row>
    <row r="2" spans="1:2">
      <c r="A2">
        <v>67</v>
      </c>
      <c r="B2" t="s">
        <v>1684</v>
      </c>
    </row>
    <row r="3" spans="1:2">
      <c r="A3">
        <v>68</v>
      </c>
      <c r="B3" t="s">
        <v>1685</v>
      </c>
    </row>
    <row r="4" spans="1:2">
      <c r="A4">
        <v>69</v>
      </c>
      <c r="B4" t="s">
        <v>1686</v>
      </c>
    </row>
    <row r="5" spans="1:2">
      <c r="A5">
        <v>70</v>
      </c>
      <c r="B5" t="s">
        <v>1687</v>
      </c>
    </row>
    <row r="6" spans="1:2">
      <c r="A6">
        <v>71</v>
      </c>
      <c r="B6" t="s">
        <v>1688</v>
      </c>
    </row>
    <row r="7" spans="1:2">
      <c r="A7">
        <v>72</v>
      </c>
      <c r="B7" t="s">
        <v>1689</v>
      </c>
    </row>
    <row r="8" spans="1:2">
      <c r="A8">
        <v>73</v>
      </c>
      <c r="B8" t="s">
        <v>1690</v>
      </c>
    </row>
    <row r="9" spans="1:2">
      <c r="A9">
        <v>74</v>
      </c>
      <c r="B9" t="s">
        <v>1691</v>
      </c>
    </row>
    <row r="10" spans="1:2">
      <c r="A10">
        <v>75</v>
      </c>
      <c r="B10" t="s">
        <v>1692</v>
      </c>
    </row>
    <row r="11" spans="1:2">
      <c r="A11">
        <v>76</v>
      </c>
      <c r="B11" t="s">
        <v>1693</v>
      </c>
    </row>
    <row r="12" spans="1:2">
      <c r="A12">
        <v>77</v>
      </c>
      <c r="B12" t="s">
        <v>1694</v>
      </c>
    </row>
    <row r="13" spans="1:2">
      <c r="A13">
        <v>78</v>
      </c>
      <c r="B13" t="s">
        <v>1695</v>
      </c>
    </row>
    <row r="14" spans="1:2">
      <c r="A14">
        <v>79</v>
      </c>
      <c r="B14" t="s">
        <v>1696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8:EI2121"/>
  <sheetViews>
    <sheetView zoomScale="85" zoomScaleNormal="85" topLeftCell="A22" workbookViewId="0">
      <selection activeCell="C66" sqref="C32 C34 C36 C38 C40 C42 C44 C46 C48 C50 C52 C54 C56 C58 C60 C62 C64 C66"/>
    </sheetView>
  </sheetViews>
  <sheetFormatPr defaultColWidth="8.725" defaultRowHeight="13.5"/>
  <cols>
    <col min="1" max="3" width="12.8166666666667"/>
    <col min="4" max="6" width="12.625"/>
    <col min="9" max="10" width="12.625"/>
  </cols>
  <sheetData>
    <row r="18" spans="1:10">
      <c r="E18" t="s">
        <v>1697</v>
      </c>
    </row>
    <row r="19" spans="1:10">
      <c r="E19" t="s">
        <v>1698</v>
      </c>
    </row>
    <row r="20" spans="1:10">
      <c r="E20" t="s">
        <v>1699</v>
      </c>
    </row>
    <row r="21" spans="1:10">
      <c r="E21" t="s">
        <v>1700</v>
      </c>
    </row>
    <row r="22" spans="1:10">
      <c r="E22" t="s">
        <v>1701</v>
      </c>
      <c r="F22">
        <v>0.545454545454545</v>
      </c>
      <c r="I22" t="s">
        <v>1697</v>
      </c>
      <c r="J22">
        <v>0.676363636363636</v>
      </c>
    </row>
    <row r="23" spans="1:10">
      <c r="E23" t="s">
        <v>1702</v>
      </c>
      <c r="F23">
        <v>0.685714285714285</v>
      </c>
      <c r="I23" t="s">
        <v>1698</v>
      </c>
      <c r="J23">
        <v>0.738701298701298</v>
      </c>
    </row>
    <row r="24" spans="1:10">
      <c r="E24" t="s">
        <v>1703</v>
      </c>
      <c r="F24">
        <v>0.601558441558441</v>
      </c>
      <c r="I24" t="s">
        <v>1699</v>
      </c>
      <c r="J24">
        <v>0.564155844155844</v>
      </c>
    </row>
    <row r="25" spans="1:10">
      <c r="E25" t="s">
        <v>1704</v>
      </c>
      <c r="F25">
        <v>0.336623376623376</v>
      </c>
      <c r="I25" t="s">
        <v>1700</v>
      </c>
      <c r="J25">
        <v>0.386493506493506</v>
      </c>
    </row>
    <row r="26" spans="1:10">
      <c r="E26" t="s">
        <v>1705</v>
      </c>
      <c r="F26">
        <v>0.451948051948051</v>
      </c>
      <c r="I26" t="s">
        <v>1701</v>
      </c>
      <c r="J26">
        <v>0.501818181818181</v>
      </c>
    </row>
    <row r="27" spans="1:10">
      <c r="E27" t="s">
        <v>1706</v>
      </c>
      <c r="F27">
        <v>0.604675324675324</v>
      </c>
      <c r="I27" t="s">
        <v>1702</v>
      </c>
      <c r="J27">
        <v>0.539220779220779</v>
      </c>
    </row>
    <row r="28" spans="1:10">
      <c r="E28" t="s">
        <v>1707</v>
      </c>
      <c r="F28">
        <v>0.551688311688311</v>
      </c>
      <c r="I28" t="s">
        <v>1703</v>
      </c>
      <c r="J28">
        <v>0.495584415584415</v>
      </c>
    </row>
    <row r="29" spans="1:10">
      <c r="E29" t="s">
        <v>1708</v>
      </c>
      <c r="F29">
        <v>0.336623376623376</v>
      </c>
      <c r="I29" t="s">
        <v>1704</v>
      </c>
      <c r="J29">
        <v>0.339740259740259</v>
      </c>
    </row>
    <row r="30" spans="1:10">
      <c r="E30" t="s">
        <v>1709</v>
      </c>
      <c r="F30">
        <v>0.38025974025974</v>
      </c>
      <c r="I30" t="s">
        <v>1705</v>
      </c>
      <c r="J30">
        <v>0.355324675324675</v>
      </c>
    </row>
    <row r="31" spans="1:10">
      <c r="A31" t="s">
        <v>1710</v>
      </c>
      <c r="B31">
        <v>67.0852610707204</v>
      </c>
      <c r="E31" t="s">
        <v>1711</v>
      </c>
      <c r="F31">
        <v>0.451948051948051</v>
      </c>
      <c r="I31" t="s">
        <v>1706</v>
      </c>
      <c r="J31">
        <v>0.442597402597402</v>
      </c>
    </row>
    <row r="32" spans="1:10">
      <c r="A32" t="s">
        <v>1712</v>
      </c>
      <c r="B32">
        <v>65.8955717118308</v>
      </c>
      <c r="C32">
        <f t="shared" ref="C30:C34" si="0">B31-B32</f>
        <v>1.18968935888961</v>
      </c>
      <c r="D32">
        <f>ABS(C32)</f>
        <v>1.18968935888961</v>
      </c>
      <c r="E32" t="s">
        <v>1713</v>
      </c>
      <c r="F32">
        <v>0.464415584415584</v>
      </c>
      <c r="I32" t="s">
        <v>1707</v>
      </c>
      <c r="J32">
        <v>0.405194805194805</v>
      </c>
    </row>
    <row r="33" spans="1:10">
      <c r="A33" t="s">
        <v>1714</v>
      </c>
      <c r="B33">
        <v>62.7230667547918</v>
      </c>
      <c r="E33" t="s">
        <v>1715</v>
      </c>
      <c r="F33">
        <v>0.239999999999999</v>
      </c>
      <c r="I33" t="s">
        <v>1708</v>
      </c>
      <c r="J33">
        <v>0.261818181818181</v>
      </c>
    </row>
    <row r="34" spans="1:10">
      <c r="A34" t="s">
        <v>1716</v>
      </c>
      <c r="B34">
        <v>61.7316589557171</v>
      </c>
      <c r="C34">
        <f t="shared" si="0"/>
        <v>0.9914077990747</v>
      </c>
      <c r="D34">
        <f t="shared" ref="D34:D38" si="1">ABS(C34)</f>
        <v>0.9914077990747</v>
      </c>
    </row>
    <row r="35" spans="1:10">
      <c r="A35" t="s">
        <v>1717</v>
      </c>
      <c r="B35">
        <v>62.1282220753469</v>
      </c>
    </row>
    <row r="36" spans="1:10">
      <c r="A36" t="s">
        <v>1718</v>
      </c>
      <c r="B36">
        <v>61.4011896893588</v>
      </c>
      <c r="C36">
        <f t="shared" ref="C36:C40" si="2">B35-B36</f>
        <v>0.727032385988096</v>
      </c>
      <c r="D36">
        <f t="shared" si="1"/>
        <v>0.727032385988096</v>
      </c>
    </row>
    <row r="37" spans="1:10">
      <c r="A37" t="s">
        <v>1719</v>
      </c>
      <c r="B37">
        <v>61.3350958360872</v>
      </c>
    </row>
    <row r="38" spans="1:10">
      <c r="A38" t="s">
        <v>1720</v>
      </c>
      <c r="B38">
        <v>60.5419695968275</v>
      </c>
      <c r="C38">
        <f t="shared" si="2"/>
        <v>0.793126239259699</v>
      </c>
      <c r="D38">
        <f t="shared" si="1"/>
        <v>0.793126239259699</v>
      </c>
    </row>
    <row r="39" spans="1:10">
      <c r="A39" t="s">
        <v>1721</v>
      </c>
      <c r="B39">
        <v>52.1480502313284</v>
      </c>
      <c r="E39" t="s">
        <v>1697</v>
      </c>
      <c r="F39">
        <v>0.612435233160621</v>
      </c>
      <c r="I39" t="s">
        <v>1697</v>
      </c>
      <c r="J39">
        <v>0.643523316062176</v>
      </c>
    </row>
    <row r="40" spans="1:10">
      <c r="A40" t="s">
        <v>1722</v>
      </c>
      <c r="B40">
        <v>51.0905485789821</v>
      </c>
      <c r="C40">
        <f t="shared" si="2"/>
        <v>1.0575016523463</v>
      </c>
      <c r="D40">
        <f t="shared" ref="D40:D44" si="3">ABS(C40)</f>
        <v>1.0575016523463</v>
      </c>
      <c r="E40" t="s">
        <v>1698</v>
      </c>
      <c r="F40">
        <v>0.830051813471502</v>
      </c>
      <c r="I40" t="s">
        <v>1698</v>
      </c>
      <c r="J40">
        <v>0.845595854922279</v>
      </c>
    </row>
    <row r="41" spans="1:10">
      <c r="A41" t="s">
        <v>1723</v>
      </c>
      <c r="B41">
        <v>50.9583608724388</v>
      </c>
      <c r="E41" t="s">
        <v>1699</v>
      </c>
      <c r="F41">
        <v>0.587564766839377</v>
      </c>
      <c r="I41" t="s">
        <v>1699</v>
      </c>
      <c r="J41">
        <v>0.74922279792746</v>
      </c>
    </row>
    <row r="42" spans="1:10">
      <c r="A42" t="s">
        <v>1724</v>
      </c>
      <c r="B42">
        <v>49.7686715135492</v>
      </c>
      <c r="C42">
        <f t="shared" ref="C42:C46" si="4">B41-B42</f>
        <v>1.1896893588896</v>
      </c>
      <c r="D42">
        <f t="shared" si="3"/>
        <v>1.1896893588896</v>
      </c>
      <c r="E42" t="s">
        <v>1700</v>
      </c>
      <c r="F42">
        <v>0.369948186528497</v>
      </c>
      <c r="I42" t="s">
        <v>1700</v>
      </c>
      <c r="J42">
        <v>0.500518134715025</v>
      </c>
    </row>
    <row r="43" spans="1:10">
      <c r="A43" t="s">
        <v>1725</v>
      </c>
      <c r="B43">
        <v>56.1136814276272</v>
      </c>
      <c r="E43" t="s">
        <v>1701</v>
      </c>
      <c r="F43">
        <v>0.506735751295336</v>
      </c>
      <c r="I43" t="s">
        <v>1701</v>
      </c>
      <c r="J43">
        <v>0.556476683937823</v>
      </c>
    </row>
    <row r="44" spans="1:10">
      <c r="A44" t="s">
        <v>1726</v>
      </c>
      <c r="B44">
        <v>55.1222736285525</v>
      </c>
      <c r="C44">
        <f t="shared" si="4"/>
        <v>0.9914077990747</v>
      </c>
      <c r="D44">
        <f t="shared" si="3"/>
        <v>0.9914077990747</v>
      </c>
      <c r="E44" t="s">
        <v>1702</v>
      </c>
      <c r="F44">
        <v>0.749222797927461</v>
      </c>
      <c r="I44" t="s">
        <v>1702</v>
      </c>
      <c r="J44">
        <v>0.814507772020725</v>
      </c>
    </row>
    <row r="45" spans="1:10">
      <c r="A45" t="s">
        <v>1727</v>
      </c>
      <c r="B45">
        <v>47.7858559153998</v>
      </c>
      <c r="E45" t="s">
        <v>1703</v>
      </c>
      <c r="F45">
        <v>0.655958549222797</v>
      </c>
      <c r="I45" t="s">
        <v>1703</v>
      </c>
      <c r="J45">
        <v>0.680829015544041</v>
      </c>
    </row>
    <row r="46" spans="1:10">
      <c r="A46" t="s">
        <v>1728</v>
      </c>
      <c r="B46">
        <v>46.5300727032386</v>
      </c>
      <c r="C46">
        <f t="shared" si="4"/>
        <v>1.2557832121612</v>
      </c>
      <c r="D46">
        <f t="shared" ref="D46:D50" si="5">ABS(C46)</f>
        <v>1.2557832121612</v>
      </c>
      <c r="E46" t="s">
        <v>1704</v>
      </c>
      <c r="F46">
        <v>0.357512953367875</v>
      </c>
      <c r="I46" t="s">
        <v>1704</v>
      </c>
      <c r="J46">
        <v>0.419689119170984</v>
      </c>
    </row>
    <row r="47" spans="1:10">
      <c r="A47" t="s">
        <v>1729</v>
      </c>
      <c r="B47">
        <v>47.38929279577</v>
      </c>
      <c r="E47" t="s">
        <v>1705</v>
      </c>
      <c r="F47">
        <v>0.469430051813471</v>
      </c>
      <c r="I47" t="s">
        <v>1705</v>
      </c>
      <c r="J47">
        <v>0.550259067357512</v>
      </c>
    </row>
    <row r="48" spans="1:10">
      <c r="A48" t="s">
        <v>1730</v>
      </c>
      <c r="B48">
        <v>46.0013218770654</v>
      </c>
      <c r="C48">
        <f t="shared" ref="C48:C52" si="6">B47-B48</f>
        <v>1.3879709187046</v>
      </c>
      <c r="D48">
        <f t="shared" si="5"/>
        <v>1.3879709187046</v>
      </c>
      <c r="E48" t="s">
        <v>1706</v>
      </c>
      <c r="F48">
        <v>0.693264248704663</v>
      </c>
      <c r="I48" t="s">
        <v>1706</v>
      </c>
      <c r="J48">
        <v>0.680829015544041</v>
      </c>
    </row>
    <row r="49" spans="1:10">
      <c r="A49" t="s">
        <v>1731</v>
      </c>
      <c r="B49">
        <v>41.8374091209517</v>
      </c>
      <c r="E49" t="s">
        <v>1707</v>
      </c>
      <c r="F49">
        <v>0.441450777202072</v>
      </c>
      <c r="I49" t="s">
        <v>1707</v>
      </c>
      <c r="J49">
        <v>0.568911917098445</v>
      </c>
    </row>
    <row r="50" spans="1:10">
      <c r="A50" t="s">
        <v>1732</v>
      </c>
      <c r="B50">
        <v>40.3833443489755</v>
      </c>
      <c r="C50">
        <f t="shared" si="6"/>
        <v>1.4540647719762</v>
      </c>
      <c r="D50">
        <f t="shared" si="5"/>
        <v>1.4540647719762</v>
      </c>
      <c r="E50" t="s">
        <v>1708</v>
      </c>
      <c r="F50">
        <v>0.245595854922279</v>
      </c>
      <c r="I50" t="s">
        <v>1708</v>
      </c>
      <c r="J50">
        <v>0.301554404145077</v>
      </c>
    </row>
    <row r="51" spans="1:10">
      <c r="A51" t="s">
        <v>1733</v>
      </c>
      <c r="B51">
        <v>34.8314606741573</v>
      </c>
    </row>
    <row r="52" spans="1:10">
      <c r="A52" t="s">
        <v>1734</v>
      </c>
      <c r="B52">
        <v>33.9061467283542</v>
      </c>
      <c r="C52">
        <f t="shared" si="6"/>
        <v>0.925313945803097</v>
      </c>
      <c r="D52">
        <f t="shared" ref="D52:D56" si="7">ABS(C52)</f>
        <v>0.925313945803097</v>
      </c>
    </row>
    <row r="53" spans="1:10">
      <c r="A53" t="s">
        <v>1735</v>
      </c>
      <c r="B53">
        <v>34.4348975545274</v>
      </c>
    </row>
    <row r="54" spans="1:10">
      <c r="A54" t="s">
        <v>1736</v>
      </c>
      <c r="B54">
        <v>33.1130204890945</v>
      </c>
      <c r="C54">
        <f t="shared" ref="C54:C58" si="8">B53-B54</f>
        <v>1.3218770654329</v>
      </c>
      <c r="D54">
        <f t="shared" si="7"/>
        <v>1.3218770654329</v>
      </c>
    </row>
    <row r="55" spans="1:10">
      <c r="A55" t="s">
        <v>1737</v>
      </c>
      <c r="B55">
        <v>65.102445472571</v>
      </c>
      <c r="E55" t="s">
        <v>1701</v>
      </c>
      <c r="F55">
        <v>0.043454038997214</v>
      </c>
      <c r="I55" t="s">
        <v>1701</v>
      </c>
      <c r="J55">
        <v>0.137047353760445</v>
      </c>
    </row>
    <row r="56" spans="1:10">
      <c r="A56" t="s">
        <v>1738</v>
      </c>
      <c r="B56">
        <v>64.0449438202247</v>
      </c>
      <c r="C56">
        <f t="shared" si="8"/>
        <v>1.0575016523463</v>
      </c>
      <c r="D56">
        <f t="shared" si="7"/>
        <v>1.0575016523463</v>
      </c>
      <c r="E56" t="s">
        <v>1702</v>
      </c>
      <c r="F56">
        <v>0.0724233983286905</v>
      </c>
      <c r="I56" t="s">
        <v>1702</v>
      </c>
      <c r="J56">
        <v>0.154874651810584</v>
      </c>
    </row>
    <row r="57" spans="1:10">
      <c r="A57" t="s">
        <v>1739</v>
      </c>
      <c r="B57">
        <v>57.633840052875</v>
      </c>
      <c r="E57" t="s">
        <v>1703</v>
      </c>
      <c r="F57">
        <v>0.0412256267409465</v>
      </c>
      <c r="I57" t="s">
        <v>1703</v>
      </c>
      <c r="J57">
        <v>0.0668523676880219</v>
      </c>
    </row>
    <row r="58" spans="1:10">
      <c r="A58" t="s">
        <v>1740</v>
      </c>
      <c r="B58">
        <v>56.3119629874421</v>
      </c>
      <c r="C58">
        <f t="shared" si="8"/>
        <v>1.3218770654329</v>
      </c>
      <c r="D58">
        <f t="shared" ref="D58:D62" si="9">ABS(C58)</f>
        <v>1.3218770654329</v>
      </c>
      <c r="E58" t="s">
        <v>1704</v>
      </c>
      <c r="F58">
        <v>0.0412256267409465</v>
      </c>
      <c r="I58" t="s">
        <v>1704</v>
      </c>
      <c r="J58">
        <v>0.0601671309192197</v>
      </c>
    </row>
    <row r="59" spans="1:10">
      <c r="A59" t="s">
        <v>1741</v>
      </c>
      <c r="B59">
        <v>57.0389953734302</v>
      </c>
      <c r="E59" t="s">
        <v>1705</v>
      </c>
      <c r="F59">
        <v>0.0434540389972136</v>
      </c>
      <c r="I59" t="s">
        <v>1705</v>
      </c>
      <c r="J59">
        <v>0.059052924791086</v>
      </c>
    </row>
    <row r="60" spans="1:10">
      <c r="A60" t="s">
        <v>1742</v>
      </c>
      <c r="B60">
        <v>55.6510244547257</v>
      </c>
      <c r="C60">
        <f t="shared" ref="C60:C64" si="10">B59-B60</f>
        <v>1.3879709187045</v>
      </c>
      <c r="D60">
        <f t="shared" si="9"/>
        <v>1.3879709187045</v>
      </c>
      <c r="E60" t="s">
        <v>1706</v>
      </c>
      <c r="F60">
        <v>0.0713091922005568</v>
      </c>
      <c r="I60" t="s">
        <v>1706</v>
      </c>
      <c r="J60">
        <v>0.0657381615598882</v>
      </c>
    </row>
    <row r="61" spans="1:10">
      <c r="A61" t="s">
        <v>1743</v>
      </c>
      <c r="B61">
        <v>58.757435558493</v>
      </c>
      <c r="E61" t="s">
        <v>1707</v>
      </c>
      <c r="F61">
        <v>0.0345403899721445</v>
      </c>
      <c r="I61" t="s">
        <v>1707</v>
      </c>
      <c r="J61">
        <v>0.0289693593314768</v>
      </c>
    </row>
    <row r="62" spans="1:10">
      <c r="A62" t="s">
        <v>1744</v>
      </c>
      <c r="B62">
        <v>58.030403172505</v>
      </c>
      <c r="C62">
        <f t="shared" si="10"/>
        <v>0.727032385988004</v>
      </c>
      <c r="D62">
        <f t="shared" si="9"/>
        <v>0.727032385988004</v>
      </c>
      <c r="E62" t="s">
        <v>1708</v>
      </c>
      <c r="F62">
        <v>0.0300835654596096</v>
      </c>
      <c r="I62" t="s">
        <v>1708</v>
      </c>
      <c r="J62">
        <v>0.0323119777158782</v>
      </c>
    </row>
    <row r="63" spans="1:10">
      <c r="A63" t="s">
        <v>1745</v>
      </c>
      <c r="B63">
        <v>47.9180436219431</v>
      </c>
      <c r="E63" t="s">
        <v>1709</v>
      </c>
      <c r="F63">
        <v>0.0256267409470747</v>
      </c>
      <c r="I63" t="s">
        <v>1709</v>
      </c>
      <c r="J63">
        <v>0.0245125348189412</v>
      </c>
    </row>
    <row r="64" spans="1:10">
      <c r="A64" t="s">
        <v>1746</v>
      </c>
      <c r="B64">
        <v>46.5961665565102</v>
      </c>
      <c r="C64">
        <f t="shared" si="10"/>
        <v>1.3218770654329</v>
      </c>
      <c r="D64">
        <f t="shared" ref="D64:D68" si="11">ABS(C64)</f>
        <v>1.3218770654329</v>
      </c>
      <c r="E64" t="s">
        <v>1711</v>
      </c>
      <c r="F64">
        <v>0.0345403899721445</v>
      </c>
      <c r="I64" t="s">
        <v>1711</v>
      </c>
      <c r="J64">
        <v>0.0434540389972136</v>
      </c>
    </row>
    <row r="65" spans="1:10">
      <c r="A65" t="s">
        <v>1747</v>
      </c>
      <c r="B65">
        <v>47.38929279577</v>
      </c>
      <c r="E65" t="s">
        <v>1713</v>
      </c>
      <c r="F65">
        <v>0.0256267409470747</v>
      </c>
      <c r="I65" t="s">
        <v>1713</v>
      </c>
      <c r="J65">
        <v>0.0267409470752079</v>
      </c>
    </row>
    <row r="66" spans="1:10">
      <c r="A66" t="s">
        <v>1748</v>
      </c>
      <c r="B66">
        <v>46.265697290152</v>
      </c>
      <c r="C66">
        <f t="shared" ref="C66:C70" si="12">B65-B66</f>
        <v>1.123595505618</v>
      </c>
      <c r="D66">
        <f t="shared" si="11"/>
        <v>1.123595505618</v>
      </c>
      <c r="E66" t="s">
        <v>1715</v>
      </c>
      <c r="F66">
        <v>0.018941504178272</v>
      </c>
      <c r="I66" t="s">
        <v>1715</v>
      </c>
      <c r="J66">
        <v>0.0178272980501388</v>
      </c>
    </row>
    <row r="68" spans="1:10">
      <c r="C68">
        <f t="shared" si="12"/>
        <v>0</v>
      </c>
      <c r="D68">
        <f t="shared" si="11"/>
        <v>0</v>
      </c>
    </row>
    <row r="70" spans="1:10">
      <c r="C70">
        <f t="shared" si="12"/>
        <v>0</v>
      </c>
      <c r="D70">
        <f t="shared" ref="D70:D74" si="13">ABS(C70)</f>
        <v>0</v>
      </c>
    </row>
    <row r="72" spans="1:10">
      <c r="C72">
        <f t="shared" ref="C72:C76" si="14">B71-B72</f>
        <v>0</v>
      </c>
      <c r="D72">
        <f t="shared" si="13"/>
        <v>0</v>
      </c>
    </row>
    <row r="74" spans="1:10">
      <c r="C74">
        <f t="shared" si="14"/>
        <v>0</v>
      </c>
      <c r="D74">
        <f t="shared" si="13"/>
        <v>0</v>
      </c>
      <c r="E74" t="s">
        <v>1701</v>
      </c>
      <c r="F74">
        <v>0.0491620111731845</v>
      </c>
      <c r="I74" t="s">
        <v>1701</v>
      </c>
      <c r="J74">
        <v>0.0759776536312848</v>
      </c>
    </row>
    <row r="75" spans="1:10">
      <c r="E75" t="s">
        <v>1702</v>
      </c>
      <c r="F75">
        <v>0.0670391061452519</v>
      </c>
      <c r="I75" t="s">
        <v>1702</v>
      </c>
      <c r="J75">
        <v>0.0983240223463687</v>
      </c>
    </row>
    <row r="76" spans="1:10">
      <c r="C76">
        <f t="shared" si="14"/>
        <v>0</v>
      </c>
      <c r="D76">
        <f t="shared" ref="D76:D80" si="15">ABS(C76)</f>
        <v>0</v>
      </c>
      <c r="E76" t="s">
        <v>1703</v>
      </c>
      <c r="F76">
        <v>0.0402234636871508</v>
      </c>
      <c r="I76" t="s">
        <v>1703</v>
      </c>
      <c r="J76">
        <v>0.0670391061452515</v>
      </c>
    </row>
    <row r="77" spans="1:10">
      <c r="E77" t="s">
        <v>1704</v>
      </c>
      <c r="F77">
        <v>0.0636871508379887</v>
      </c>
      <c r="I77" t="s">
        <v>1704</v>
      </c>
      <c r="J77">
        <v>0.0849162011173185</v>
      </c>
    </row>
    <row r="78" spans="1:10">
      <c r="C78">
        <f t="shared" ref="C78:C82" si="16">B77-B78</f>
        <v>0</v>
      </c>
      <c r="D78">
        <f t="shared" si="15"/>
        <v>0</v>
      </c>
      <c r="E78" t="s">
        <v>1705</v>
      </c>
      <c r="F78">
        <v>0.035754189944134</v>
      </c>
      <c r="I78" t="s">
        <v>1705</v>
      </c>
      <c r="J78">
        <v>0.0402234636871508</v>
      </c>
    </row>
    <row r="79" spans="1:10">
      <c r="E79" t="s">
        <v>1706</v>
      </c>
      <c r="F79">
        <v>0.0581005586592178</v>
      </c>
      <c r="I79" t="s">
        <v>1706</v>
      </c>
      <c r="J79">
        <v>0.0603351955307262</v>
      </c>
    </row>
    <row r="80" spans="1:10">
      <c r="C80">
        <f t="shared" si="16"/>
        <v>0</v>
      </c>
      <c r="D80">
        <f t="shared" si="15"/>
        <v>0</v>
      </c>
      <c r="E80" t="s">
        <v>1707</v>
      </c>
      <c r="F80">
        <v>0.0368715083798876</v>
      </c>
      <c r="I80" t="s">
        <v>1707</v>
      </c>
      <c r="J80">
        <v>0.0513966480446918</v>
      </c>
    </row>
    <row r="81" spans="3:10">
      <c r="E81" t="s">
        <v>1708</v>
      </c>
      <c r="F81">
        <v>0.035754189944134</v>
      </c>
      <c r="I81" t="s">
        <v>1708</v>
      </c>
      <c r="J81">
        <v>0.0413407821229048</v>
      </c>
    </row>
    <row r="82" spans="3:10">
      <c r="C82">
        <f t="shared" si="16"/>
        <v>0</v>
      </c>
      <c r="D82">
        <f t="shared" ref="D82:D86" si="17">ABS(C82)</f>
        <v>0</v>
      </c>
      <c r="E82" t="s">
        <v>1709</v>
      </c>
      <c r="F82">
        <v>0.054748603351955</v>
      </c>
      <c r="I82" t="s">
        <v>1709</v>
      </c>
      <c r="J82">
        <v>0.0234636871508386</v>
      </c>
    </row>
    <row r="83" spans="3:10">
      <c r="E83" t="s">
        <v>1711</v>
      </c>
      <c r="F83">
        <v>0.0670391061452515</v>
      </c>
      <c r="I83" t="s">
        <v>1711</v>
      </c>
      <c r="J83">
        <v>0.0513966480446925</v>
      </c>
    </row>
    <row r="84" spans="3:10">
      <c r="C84">
        <f>B83-B84</f>
        <v>0</v>
      </c>
      <c r="D84">
        <f t="shared" si="17"/>
        <v>0</v>
      </c>
      <c r="E84" t="s">
        <v>1713</v>
      </c>
      <c r="F84">
        <v>0.0335195530726255</v>
      </c>
      <c r="I84" t="s">
        <v>1713</v>
      </c>
      <c r="J84">
        <v>0.0245810055865922</v>
      </c>
    </row>
    <row r="85" spans="3:10">
      <c r="E85" t="s">
        <v>1715</v>
      </c>
      <c r="F85">
        <v>0.0491620111731845</v>
      </c>
      <c r="I85" t="s">
        <v>1715</v>
      </c>
      <c r="J85">
        <v>0.0223463687150838</v>
      </c>
    </row>
    <row r="86" spans="3:10">
      <c r="C86">
        <f>B85-B86</f>
        <v>0</v>
      </c>
      <c r="D86">
        <f t="shared" si="17"/>
        <v>0</v>
      </c>
    </row>
    <row r="2106" spans="136:139">
      <c r="EG2106">
        <v>4.22386483632499</v>
      </c>
      <c r="EI2106">
        <v>4.22386483632499</v>
      </c>
    </row>
    <row r="2107" spans="136:139">
      <c r="EG2107">
        <v>4.22386483632499</v>
      </c>
      <c r="EI2107">
        <v>8.02534318901802</v>
      </c>
    </row>
    <row r="2108" spans="136:139">
      <c r="EG2108">
        <v>4.22386483632499</v>
      </c>
      <c r="EI2108">
        <v>1.26715945089751</v>
      </c>
    </row>
    <row r="2109" spans="136:139">
      <c r="EG2109">
        <v>4.22386483632499</v>
      </c>
      <c r="EI2109">
        <v>2.74551214361119</v>
      </c>
    </row>
    <row r="2110" spans="136:139">
      <c r="EF2110">
        <v>262.935586061246</v>
      </c>
      <c r="EG2110">
        <v>10.559662090813</v>
      </c>
      <c r="EH2110">
        <v>262.935586061246</v>
      </c>
      <c r="EI2110">
        <v>10.559662090813</v>
      </c>
    </row>
    <row r="2111" spans="136:139">
      <c r="EF2111">
        <v>262.935586061246</v>
      </c>
      <c r="EG2111">
        <v>10.559662090813</v>
      </c>
      <c r="EH2111">
        <v>122.703273495248</v>
      </c>
      <c r="EI2111">
        <v>4.012671594509</v>
      </c>
    </row>
    <row r="2112" spans="136:139">
      <c r="EF2112">
        <v>262.935586061246</v>
      </c>
      <c r="EG2112">
        <v>10.559662090813</v>
      </c>
      <c r="EH2112">
        <v>80.8870116156283</v>
      </c>
      <c r="EI2112">
        <v>0.844772967265001</v>
      </c>
    </row>
    <row r="2113" spans="136:139">
      <c r="EF2113">
        <v>262.935586061246</v>
      </c>
      <c r="EG2113">
        <v>10.559662090813</v>
      </c>
      <c r="EH2113">
        <v>64.4139387539598</v>
      </c>
      <c r="EI2113">
        <v>3.37909186906</v>
      </c>
    </row>
    <row r="2114" spans="136:139">
      <c r="EF2114">
        <v>261.668426610348</v>
      </c>
      <c r="EG2114">
        <v>7.18057022175299</v>
      </c>
      <c r="EH2114">
        <v>261.668426610348</v>
      </c>
      <c r="EI2114">
        <v>7.18057022175299</v>
      </c>
    </row>
    <row r="2115" spans="136:139">
      <c r="EF2115">
        <v>261.668426610348</v>
      </c>
      <c r="EG2115">
        <v>7.18057022175299</v>
      </c>
      <c r="EH2115">
        <v>113.410770855332</v>
      </c>
      <c r="EI2115">
        <v>1.478352692714</v>
      </c>
    </row>
    <row r="2116" spans="136:139">
      <c r="EF2116">
        <v>261.668426610348</v>
      </c>
      <c r="EG2116">
        <v>7.18057022175299</v>
      </c>
      <c r="EH2116">
        <v>78.7750791974656</v>
      </c>
      <c r="EI2116">
        <v>0.422386483632508</v>
      </c>
    </row>
    <row r="2117" spans="136:139">
      <c r="EF2117">
        <v>261.668426610348</v>
      </c>
      <c r="EG2117">
        <v>7.18057022175299</v>
      </c>
      <c r="EH2117">
        <v>61.8796198521647</v>
      </c>
      <c r="EI2117">
        <v>1.4783526927138</v>
      </c>
    </row>
    <row r="2118" spans="136:139">
      <c r="EF2118">
        <v>258.71172122492</v>
      </c>
      <c r="EG2118">
        <v>8.87011615628299</v>
      </c>
      <c r="EH2118">
        <v>258.71172122492</v>
      </c>
      <c r="EI2118">
        <v>8.87011615628299</v>
      </c>
    </row>
    <row r="2119" spans="136:139">
      <c r="EF2119">
        <v>258.71172122492</v>
      </c>
      <c r="EG2119">
        <v>8.87011615628299</v>
      </c>
      <c r="EH2119">
        <v>110.031678986272</v>
      </c>
      <c r="EI2119">
        <v>1.26715945089799</v>
      </c>
    </row>
    <row r="2120" spans="136:139">
      <c r="EF2120">
        <v>258.71172122492</v>
      </c>
      <c r="EG2120">
        <v>8.87011615628299</v>
      </c>
      <c r="EH2120">
        <v>77.9303062302006</v>
      </c>
      <c r="EI2120">
        <v>0.633579725448797</v>
      </c>
    </row>
    <row r="2121" spans="136:139">
      <c r="EF2121">
        <v>258.71172122492</v>
      </c>
      <c r="EG2121">
        <v>8.87011615628299</v>
      </c>
      <c r="EH2121">
        <v>61.0348468848997</v>
      </c>
      <c r="EI2121">
        <v>0.211193241816304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86151</dc:creator>
  <cp:lastModifiedBy>冯中晴</cp:lastModifiedBy>
  <dcterms:created xsi:type="dcterms:W3CDTF">2025-04-02T09:26:00Z</dcterms:created>
  <dcterms:modified xsi:type="dcterms:W3CDTF">2026-07-14T05:24:56Z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B4C7B792191E43D6BB38B2B371A116CD_11</vt:lpwstr>
  </property>
  <property fmtid="{D5CDD505-2E9C-101B-9397-08002B2CF9AE}" pid="3" name="KSOProductBuildVer">
    <vt:lpwstr>2052-12.1.0.26895</vt:lpwstr>
  </property>
  <property fmtid="{D5CDD505-2E9C-101B-9397-08002B2CF9AE}" pid="4" name="CalculationRule">
    <vt:i4>0</vt:i4>
  </property>
</Properties>
</file>